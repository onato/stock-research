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<sst xmlns="http://schemas.openxmlformats.org/spreadsheetml/2006/main" count="390" uniqueCount="175">
  <si>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</si>
  <si>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FDX</t>
  </si>
  <si>
    <t xml:space="preserve">Company</t>
  </si>
  <si>
    <t xml:space="preserve">FedEx Corporation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</si>
  <si>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</si>
  <si>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</si>
  <si>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</si>
  <si>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</si>
  <si>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(Friday); not after-hours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</si>
  <si>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</si>
  <si>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</si>
  <si>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</si>
  <si>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</si>
  <si>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</si>
  <si>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</si>
  <si>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</si>
  <si>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</si>
  <si>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</si>
  <si>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</si>
  <si>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</si>
  <si>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</si>
  <si>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2026-09-28T08:14:37Z</t>
  </si>
  <si>
    <t xml:space="preserve">Drivers file</t>
  </si>
  <si>
    <t xml:space="preserve">FDX_Drivers.json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</si>
  <si>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</si>
  <si>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</si>
  <si>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</si>
  <si>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post-spin parcel/express carrier on unlevered owner FCF built from a GAAP, post-operating-lease EBITDA margin that expands only as fast as the transformation programme has historically converted savings into margin; capitalise at 15x FCF or Gordon, whichever is lower; bridge the Freight dividend and the retained FDXF stake explicitly rather than guessing a post-spin balance sheet. The valuation depends far more on the terminal EBITDA margin (each 1pp is worth ~$35-40/share) than on growth.
key_risks_to_valuation: FY0 is a pro forma ex-Freight estimate (Freight FY2026 revenue ~8.9bn / EBITDA ~2.0bn assumed); the transition-period 10-K recast could move the base margin by +/-0.5pp; Terminal EBITDA margin: 11% base vs 9.1% FY0 assumes half the guided Network 2.0 savings are retained; DRIVE precedent suggests retention can be lower; Amazon Shipping opening to third parties: volume and yield pressure on the SMB/e-commerce book is the bear axis and is not yet visible in reported numbers; Trade policy: de-minimis elimination and tariffs cost ~1bn in FY2026; a further contraction in Asia-US lanes hits the highest-yield international express volumes; Balance sheet: post-spin net debt ~8.2bn plus 17.2bn operating leases and a capex cycle turning up (aircraft); 31-May-2026 anchors predate the spin and must be refreshed from the Aug-2026 10-Q; FDXF stake (3.3bn at market) is marked without haircut; disposal method and FDXF price both uncertain; Fiscal-year change (May -&gt; December) breaks period comparability through 2027 and the Metrics CSV currently mislabels the last four quarters</t>
  </si>
  <si>
    <t xml:space="preserve">Data sources</t>
  </si>
  <si>
    <t xml:space="preserve">price: Yahoo Finance chart API at inputs.price_as_of; 52-week range 180.99-345.37 (range is unadjusted for the 1-Jun-2026 Freight distribution worth ~$56/FDX share at FDXF's current price)
financials: SEC XBRL companyfacts (CIK 1048911): FY2026 10-K filed 2026-07-20 (12m to 31-May-2026) for revenue, operating income, D&amp;A, OCF, capex, SBC, dividends, buybacks, interest, taxes paid, cash, debt, finance and operating leases, diluted shares; FDX_Metrics.csv for the annual history. Freight segment split is an estimate (see inputs.base_revenue_basis).
qualitative: FDX_Analysis.json (2026-09-28): spin-off terms, fiscal-year change, CY2026 guidance, Network 2.0 targets, stranded-cost and de-minimis headwinds, bull/bear axes; FDXF price from Yahoo Finance for the retained stake.</t>
  </si>
  <si>
    <t xml:space="preserve">Scenario narrative: bear</t>
  </si>
  <si>
    <t xml:space="preserve">Amazon Shipping and price competition erode the SMB e-commerce book while a tariff-driven trade contraction and a weaker US consumer shrink international express and domestic volumes; operating leverage cuts the wrong way, Network 2.0 savings are given back in pricing, and revenue stalls for three years before resuming 2% growth at a 9% EBITDA margin. Elevated post-spin leverage (~8bn net debt plus 17bn of operating leases) limits buybacks but does not threaten solvency.</t>
  </si>
  <si>
    <t xml:space="preserve">Scenario narrative: base</t>
  </si>
  <si>
    <t xml:space="preserve">Pure-play parcel/express FedEx grows revenue 6% in the first post-spin year on rate increases, peak surcharges and B2B strength, fading to 2.5% nominal by year 8 (industry-mature parcel growth). GAAP EBITDA margin expands from ~9.1% ex-Freight to 11% by Y6 as roughly half of the guided Network 2.0 savings and the ~600m stranded-overhead removal reach the bottom line while the rest is absorbed by wage, purchased-transport and fuel inflation, as with DRIVE. Capex normalises to ~4.5% of revenue (~D&amp;A). The 4.1bn Freight dividend and the 19.9% FDXF stake are bridged to equity at cost/market.</t>
  </si>
  <si>
    <t xml:space="preserve">Scenario narrative: bull</t>
  </si>
  <si>
    <t xml:space="preserve">Network 2.0 delivers its full 2bn and the stranded overhead is gone by end-2027; CY2026 guidance (~11% revenue growth, adj. EPS ~19.70) proves a floor, AI-infrastructure/data-centre freight and healthcare logistics compound, international export lanes recover as tariff policy settles, and the margin reaches 12.5% - the level UPS earned pre-2023.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</si>
  <si>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</si>
  <si>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</si>
  <si>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</si>
  <si>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</si>
  <si>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</si>
  <si>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</si>
  <si>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</si>
  <si>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</si>
  <si>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</si>
  <si>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</si>
  <si>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</si>
  <si>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</si>
  <si>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</si>
  <si>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</si>
  <si>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</si>
  <si>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</si>
  <si>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</si>
  <si>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</si>
  <si>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</si>
  <si>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</si>
  <si>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</si>
  <si>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</si>
  <si>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</si>
  <si>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</si>
  <si>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</si>
  <si>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</si>
  <si>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</si>
  <si>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</si>
  <si>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</si>
  <si>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</si>
  <si>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</si>
  <si>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</si>
  <si>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</si>
  <si>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</si>
  <si>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</si>
  <si>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</si>
  <si>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</si>
  <si>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</si>
  <si>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</si>
  <si>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</si>
  <si>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</si>
  <si>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</si>
  <si>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</si>
  <si>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</si>
  <si>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</si>
  <si>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</si>
  <si>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</si>
  <si>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</si>
  <si>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</si>
  <si>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</si>
  <si>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</si>
  <si>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</si>
  <si>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</si>
  <si>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</si>
  <si>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</si>
  <si>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</si>
  <si>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</si>
  <si>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</si>
  <si>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</si>
  <si>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</si>
  <si>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</si>
  <si>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</si>
  <si>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</si>
  <si>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</si>
  <si>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</si>
  <si>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</si>
  <si>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</si>
  <si>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</si>
  <si>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</si>
  <si>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</si>
  <si>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</si>
  <si>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</si>
  <si>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</si>
  <si>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</si>
  <si>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</si>
  <si>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</si>
  <si>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</si>
  <si>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</si>
  <si>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</si>
  <si>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</si>
  <si>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</si>
  <si>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</si>
  <si>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</si>
  <si>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</si>
  <si>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FDX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</si>
  <si>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</si>
  <si>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</si>
  <si>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</si>
  <si>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</si>
  <si>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</si>
  <si>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</si>
  <si>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</si>
  <si>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</si>
  <si>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</si>
  <si>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</si>
  <si>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</si>
  <si>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</si>
  <si>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</si>
  <si>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</si>
  <si>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</si>
  <si>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</si>
  <si>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</si>
  <si>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</si>
  <si>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</si>
  <si>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</si>
  <si>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</si>
  <si>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</si>
  <si>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</si>
  <si>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</si>
  <si>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</si>
  <si>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</si>
  <si>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</si>
  <si>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</si>
  <si>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</si>
  <si>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</si>
  <si>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FDX owner-FCF component DCF: base case (millions, USD)</t>
  </si>
  <si>
    <t xml:space="preserve">FDX owner-FCF component DCF: bull case (millions, USD)</t>
  </si>
  <si>
    <t xml:space="preserve">FDX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</si>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</sst>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285.85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12656</v>
      </c>
      <c r="S2" s="0" t="n">
        <v>1569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37953</v>
      </c>
      <c r="F3" s="0" t="n">
        <v>2075</v>
      </c>
      <c r="G3" s="0" t="n">
        <v>5.46728848839354</v>
      </c>
      <c r="H3" s="0" t="n">
        <v>4021</v>
      </c>
      <c r="I3" s="0" t="n">
        <v>1125</v>
      </c>
      <c r="J3" s="0" t="n">
        <v>2.9641925539483</v>
      </c>
      <c r="L3" s="0" t="n">
        <v>3465</v>
      </c>
      <c r="M3" s="0" t="n">
        <v>2947</v>
      </c>
      <c r="N3" s="0" t="n">
        <v>518</v>
      </c>
      <c r="O3" s="0" t="n">
        <v>14851</v>
      </c>
      <c r="S3" s="0" t="n">
        <v>1539</v>
      </c>
      <c r="U3" s="0" t="n">
        <v>101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35497</v>
      </c>
      <c r="F4" s="0" t="n">
        <v>747</v>
      </c>
      <c r="G4" s="0" t="n">
        <v>2.10440318900189</v>
      </c>
      <c r="H4" s="0" t="n">
        <v>2722</v>
      </c>
      <c r="I4" s="0" t="n">
        <v>98</v>
      </c>
      <c r="J4" s="0" t="n">
        <v>0.276079668704398</v>
      </c>
      <c r="K4" s="0" t="n">
        <v>0.31</v>
      </c>
      <c r="L4" s="0" t="n">
        <v>2753</v>
      </c>
      <c r="M4" s="0" t="n">
        <v>2459</v>
      </c>
      <c r="N4" s="0" t="n">
        <v>294</v>
      </c>
      <c r="O4" s="0" t="n">
        <v>13626</v>
      </c>
      <c r="P4" s="0" t="n">
        <v>24244</v>
      </c>
      <c r="R4" s="0" t="n">
        <v>2583</v>
      </c>
      <c r="S4" s="0" t="n">
        <v>2292</v>
      </c>
      <c r="T4" s="0" t="n">
        <v>312</v>
      </c>
      <c r="U4" s="0" t="n">
        <v>99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34734</v>
      </c>
      <c r="F5" s="0" t="n">
        <v>1998</v>
      </c>
      <c r="G5" s="0" t="n">
        <v>5.75228882363103</v>
      </c>
      <c r="H5" s="0" t="n">
        <v>3956</v>
      </c>
      <c r="I5" s="0" t="n">
        <v>1184</v>
      </c>
      <c r="J5" s="0" t="n">
        <v>3.4087637473369</v>
      </c>
      <c r="K5" s="0" t="n">
        <v>3.78</v>
      </c>
      <c r="L5" s="0" t="n">
        <v>3138</v>
      </c>
      <c r="M5" s="0" t="n">
        <v>2816</v>
      </c>
      <c r="N5" s="0" t="n">
        <v>322</v>
      </c>
      <c r="O5" s="0" t="n">
        <v>13811</v>
      </c>
      <c r="P5" s="0" t="n">
        <v>24902</v>
      </c>
      <c r="R5" s="0" t="n">
        <v>2051</v>
      </c>
      <c r="S5" s="0" t="n">
        <v>1952</v>
      </c>
      <c r="T5" s="0" t="n">
        <v>314</v>
      </c>
      <c r="U5" s="0" t="n">
        <v>101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39304</v>
      </c>
      <c r="F6" s="0" t="n">
        <v>2378</v>
      </c>
      <c r="G6" s="0" t="n">
        <v>6.05027478119275</v>
      </c>
      <c r="H6" s="0" t="n">
        <v>4351</v>
      </c>
      <c r="I6" s="0" t="n">
        <v>1452</v>
      </c>
      <c r="J6" s="0" t="n">
        <v>3.69428048035823</v>
      </c>
      <c r="K6" s="0" t="n">
        <v>4.61</v>
      </c>
      <c r="L6" s="0" t="n">
        <v>4041</v>
      </c>
      <c r="M6" s="0" t="n">
        <v>3434</v>
      </c>
      <c r="N6" s="0" t="n">
        <v>607</v>
      </c>
      <c r="O6" s="0" t="n">
        <v>15220</v>
      </c>
      <c r="P6" s="0" t="n">
        <v>27385</v>
      </c>
      <c r="R6" s="0" t="n">
        <v>1685</v>
      </c>
      <c r="S6" s="0" t="n">
        <v>2328</v>
      </c>
      <c r="T6" s="0" t="n">
        <v>317</v>
      </c>
      <c r="U6" s="0" t="n">
        <v>98</v>
      </c>
      <c r="V6" s="0" t="n">
        <v>0.48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42680</v>
      </c>
      <c r="F7" s="0" t="n">
        <v>3186</v>
      </c>
      <c r="G7" s="0" t="n">
        <v>7.46485473289597</v>
      </c>
      <c r="H7" s="0" t="n">
        <v>5299</v>
      </c>
      <c r="I7" s="0" t="n">
        <v>2032</v>
      </c>
      <c r="J7" s="0" t="n">
        <v>4.7610121836926</v>
      </c>
      <c r="K7" s="0" t="n">
        <v>6.44</v>
      </c>
      <c r="L7" s="0" t="n">
        <v>4835</v>
      </c>
      <c r="M7" s="0" t="n">
        <v>4007</v>
      </c>
      <c r="N7" s="0" t="n">
        <v>828</v>
      </c>
      <c r="O7" s="0" t="n">
        <v>14727</v>
      </c>
      <c r="P7" s="0" t="n">
        <v>29903</v>
      </c>
      <c r="R7" s="0" t="n">
        <v>1667</v>
      </c>
      <c r="S7" s="0" t="n">
        <v>2843</v>
      </c>
      <c r="T7" s="0" t="n">
        <v>317</v>
      </c>
      <c r="U7" s="0" t="n">
        <v>105</v>
      </c>
      <c r="V7" s="0" t="n">
        <v>0.52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44287</v>
      </c>
      <c r="F8" s="0" t="n">
        <v>4434</v>
      </c>
      <c r="G8" s="0" t="n">
        <v>10.011967394495</v>
      </c>
      <c r="H8" s="0" t="n">
        <v>6820</v>
      </c>
      <c r="I8" s="0" t="n">
        <v>2716</v>
      </c>
      <c r="J8" s="0" t="n">
        <v>6.13272517894642</v>
      </c>
      <c r="K8" s="0" t="n">
        <v>8.61</v>
      </c>
      <c r="L8" s="0" t="n">
        <v>4688</v>
      </c>
      <c r="M8" s="0" t="n">
        <v>3375</v>
      </c>
      <c r="N8" s="0" t="n">
        <v>1313</v>
      </c>
      <c r="O8" s="0" t="n">
        <v>17398</v>
      </c>
      <c r="P8" s="0" t="n">
        <v>33567</v>
      </c>
      <c r="R8" s="0" t="n">
        <v>2990</v>
      </c>
      <c r="S8" s="0" t="n">
        <v>4917</v>
      </c>
      <c r="T8" s="0" t="n">
        <v>317</v>
      </c>
      <c r="U8" s="0" t="n">
        <v>109</v>
      </c>
      <c r="V8" s="0" t="n">
        <v>0.56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45567</v>
      </c>
      <c r="F9" s="0" t="n">
        <v>3815</v>
      </c>
      <c r="G9" s="0" t="n">
        <v>8.37228696205587</v>
      </c>
      <c r="H9" s="0" t="n">
        <v>6402</v>
      </c>
      <c r="I9" s="0" t="n">
        <v>2324</v>
      </c>
      <c r="J9" s="0" t="n">
        <v>5.10018214936248</v>
      </c>
      <c r="K9" s="0" t="n">
        <v>7.56</v>
      </c>
      <c r="L9" s="0" t="n">
        <v>4264</v>
      </c>
      <c r="M9" s="0" t="n">
        <v>3533</v>
      </c>
      <c r="N9" s="0" t="n">
        <v>731</v>
      </c>
      <c r="O9" s="0" t="n">
        <v>15277</v>
      </c>
      <c r="P9" s="0" t="n">
        <v>33070</v>
      </c>
      <c r="R9" s="0" t="n">
        <v>4737</v>
      </c>
      <c r="S9" s="0" t="n">
        <v>2908</v>
      </c>
      <c r="T9" s="0" t="n">
        <v>310</v>
      </c>
      <c r="U9" s="0" t="n">
        <v>117</v>
      </c>
      <c r="V9" s="0" t="n">
        <v>0.6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47453</v>
      </c>
      <c r="F10" s="0" t="n">
        <v>1867</v>
      </c>
      <c r="G10" s="0" t="n">
        <v>3.93441932016943</v>
      </c>
      <c r="H10" s="0" t="n">
        <v>4478</v>
      </c>
      <c r="I10" s="0" t="n">
        <v>1050</v>
      </c>
      <c r="J10" s="0" t="n">
        <v>2.21271573978463</v>
      </c>
      <c r="K10" s="0" t="n">
        <v>3.7</v>
      </c>
      <c r="L10" s="0" t="n">
        <v>5366</v>
      </c>
      <c r="M10" s="0" t="n">
        <v>4347</v>
      </c>
      <c r="N10" s="0" t="n">
        <v>1019</v>
      </c>
      <c r="O10" s="0" t="n">
        <v>14993</v>
      </c>
      <c r="P10" s="0" t="n">
        <v>36469</v>
      </c>
      <c r="R10" s="0" t="n">
        <v>7268</v>
      </c>
      <c r="S10" s="0" t="n">
        <v>3763</v>
      </c>
      <c r="T10" s="0" t="n">
        <v>287</v>
      </c>
      <c r="U10" s="0" t="n">
        <v>133</v>
      </c>
      <c r="V10" s="0" t="n">
        <v>0.8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50365</v>
      </c>
      <c r="F11" s="0" t="n">
        <v>3077</v>
      </c>
      <c r="G11" s="0" t="n">
        <v>6.10940136999901</v>
      </c>
      <c r="H11" s="0" t="n">
        <v>5708</v>
      </c>
      <c r="I11" s="0" t="n">
        <v>1820</v>
      </c>
      <c r="J11" s="0" t="n">
        <v>3.61362056984017</v>
      </c>
      <c r="K11" s="0" t="n">
        <v>6.59</v>
      </c>
      <c r="L11" s="0" t="n">
        <v>5708</v>
      </c>
      <c r="M11" s="0" t="n">
        <v>4818</v>
      </c>
      <c r="N11" s="0" t="n">
        <v>890</v>
      </c>
      <c r="O11" s="0" t="n">
        <v>13784</v>
      </c>
      <c r="P11" s="0" t="n">
        <v>45959</v>
      </c>
      <c r="R11" s="0" t="n">
        <v>13762</v>
      </c>
      <c r="S11" s="0" t="n">
        <v>3534</v>
      </c>
      <c r="T11" s="0" t="n">
        <v>279</v>
      </c>
      <c r="U11" s="0" t="n">
        <v>144</v>
      </c>
      <c r="V11" s="0" t="n">
        <v>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60319</v>
      </c>
      <c r="C12" s="0" t="n">
        <v>13630</v>
      </c>
      <c r="F12" s="0" t="n">
        <v>4566</v>
      </c>
      <c r="G12" s="0" t="n">
        <v>7.56975414048641</v>
      </c>
      <c r="H12" s="0" t="n">
        <v>7561</v>
      </c>
      <c r="I12" s="0" t="n">
        <v>2997</v>
      </c>
      <c r="J12" s="0" t="n">
        <v>4.96858369667932</v>
      </c>
      <c r="K12" s="0" t="n">
        <v>11.24</v>
      </c>
      <c r="L12" s="0" t="n">
        <v>4930</v>
      </c>
      <c r="M12" s="0" t="n">
        <v>5116</v>
      </c>
      <c r="N12" s="0" t="n">
        <v>-186</v>
      </c>
      <c r="O12" s="0" t="n">
        <v>16073</v>
      </c>
      <c r="P12" s="0" t="n">
        <v>48552</v>
      </c>
      <c r="R12" s="0" t="n">
        <v>14931</v>
      </c>
      <c r="S12" s="0" t="n">
        <v>3969</v>
      </c>
      <c r="T12" s="0" t="n">
        <v>270</v>
      </c>
      <c r="U12" s="0" t="n">
        <v>154</v>
      </c>
      <c r="V12" s="0" t="n">
        <v>1.6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65450</v>
      </c>
      <c r="C13" s="0" t="n">
        <v>15101</v>
      </c>
      <c r="F13" s="0" t="n">
        <v>4272</v>
      </c>
      <c r="G13" s="0" t="n">
        <v>6.52711993888465</v>
      </c>
      <c r="H13" s="0" t="n">
        <v>7367</v>
      </c>
      <c r="I13" s="0" t="n">
        <v>4572</v>
      </c>
      <c r="J13" s="0" t="n">
        <v>6.98548510313216</v>
      </c>
      <c r="K13" s="0" t="n">
        <v>17.08</v>
      </c>
      <c r="L13" s="0" t="n">
        <v>4674</v>
      </c>
      <c r="M13" s="0" t="n">
        <v>5663</v>
      </c>
      <c r="N13" s="0" t="n">
        <v>-989</v>
      </c>
      <c r="O13" s="0" t="n">
        <v>19416</v>
      </c>
      <c r="P13" s="0" t="n">
        <v>52330</v>
      </c>
      <c r="R13" s="0" t="n">
        <v>17852</v>
      </c>
      <c r="S13" s="0" t="n">
        <v>3265</v>
      </c>
      <c r="T13" s="0" t="n">
        <v>272</v>
      </c>
      <c r="U13" s="0" t="n">
        <v>167</v>
      </c>
      <c r="V13" s="0" t="n">
        <v>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69693</v>
      </c>
      <c r="C14" s="0" t="n">
        <v>16654</v>
      </c>
      <c r="F14" s="0" t="n">
        <v>4466</v>
      </c>
      <c r="G14" s="0" t="n">
        <v>6.40810411375604</v>
      </c>
      <c r="H14" s="0" t="n">
        <v>7819</v>
      </c>
      <c r="I14" s="0" t="n">
        <v>540</v>
      </c>
      <c r="J14" s="0" t="n">
        <v>0.774826740131721</v>
      </c>
      <c r="K14" s="0" t="n">
        <v>2.06</v>
      </c>
      <c r="L14" s="0" t="n">
        <v>5613</v>
      </c>
      <c r="M14" s="0" t="n">
        <v>5490</v>
      </c>
      <c r="N14" s="0" t="n">
        <v>123</v>
      </c>
      <c r="O14" s="0" t="n">
        <v>17757</v>
      </c>
      <c r="P14" s="0" t="n">
        <v>54403</v>
      </c>
      <c r="R14" s="0" t="n">
        <v>18482</v>
      </c>
      <c r="S14" s="0" t="n">
        <v>2319</v>
      </c>
      <c r="T14" s="0" t="n">
        <v>265</v>
      </c>
      <c r="U14" s="0" t="n">
        <v>174</v>
      </c>
      <c r="V14" s="0" t="n">
        <v>2.6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69217</v>
      </c>
      <c r="F15" s="0" t="n">
        <v>2417</v>
      </c>
      <c r="G15" s="0" t="n">
        <v>3.49191672565988</v>
      </c>
      <c r="H15" s="0" t="n">
        <v>6032</v>
      </c>
      <c r="I15" s="0" t="n">
        <v>1286</v>
      </c>
      <c r="J15" s="0" t="n">
        <v>1.8579250762096</v>
      </c>
      <c r="K15" s="0" t="n">
        <v>4.92</v>
      </c>
      <c r="L15" s="0" t="n">
        <v>5097</v>
      </c>
      <c r="M15" s="0" t="n">
        <v>5868</v>
      </c>
      <c r="N15" s="0" t="n">
        <v>-771</v>
      </c>
      <c r="O15" s="0" t="n">
        <v>18295</v>
      </c>
      <c r="P15" s="0" t="n">
        <v>73537</v>
      </c>
      <c r="R15" s="0" t="n">
        <v>22003</v>
      </c>
      <c r="S15" s="0" t="n">
        <v>4881</v>
      </c>
      <c r="T15" s="0" t="n">
        <v>262</v>
      </c>
      <c r="U15" s="0" t="n">
        <v>168</v>
      </c>
      <c r="V15" s="0" t="n">
        <v>2.6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83959</v>
      </c>
      <c r="F16" s="0" t="n">
        <v>5857</v>
      </c>
      <c r="G16" s="0" t="n">
        <v>6.97602401172001</v>
      </c>
      <c r="H16" s="0" t="n">
        <v>9650</v>
      </c>
      <c r="I16" s="0" t="n">
        <v>5231</v>
      </c>
      <c r="J16" s="0" t="n">
        <v>6.23042199168642</v>
      </c>
      <c r="K16" s="0" t="n">
        <v>19.79</v>
      </c>
      <c r="L16" s="0" t="n">
        <v>10135</v>
      </c>
      <c r="M16" s="0" t="n">
        <v>5884</v>
      </c>
      <c r="N16" s="0" t="n">
        <v>4251</v>
      </c>
      <c r="O16" s="0" t="n">
        <v>24168</v>
      </c>
      <c r="P16" s="0" t="n">
        <v>82777</v>
      </c>
      <c r="R16" s="0" t="n">
        <v>20879</v>
      </c>
      <c r="S16" s="0" t="n">
        <v>7087</v>
      </c>
      <c r="T16" s="0" t="n">
        <v>268</v>
      </c>
      <c r="U16" s="0" t="n">
        <v>200</v>
      </c>
      <c r="V16" s="0" t="n">
        <v>2.6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93512</v>
      </c>
      <c r="F17" s="0" t="n">
        <v>6245</v>
      </c>
      <c r="G17" s="0" t="n">
        <v>6.67828727863804</v>
      </c>
      <c r="H17" s="0" t="n">
        <v>10215</v>
      </c>
      <c r="I17" s="0" t="n">
        <v>3826</v>
      </c>
      <c r="J17" s="0" t="n">
        <v>4.09145350329369</v>
      </c>
      <c r="K17" s="0" t="n">
        <v>14.54</v>
      </c>
      <c r="L17" s="0" t="n">
        <v>9832</v>
      </c>
      <c r="M17" s="0" t="n">
        <v>6763</v>
      </c>
      <c r="N17" s="0" t="n">
        <v>3069</v>
      </c>
      <c r="O17" s="0" t="n">
        <v>24939</v>
      </c>
      <c r="P17" s="0" t="n">
        <v>85994</v>
      </c>
      <c r="R17" s="0" t="n">
        <v>20264</v>
      </c>
      <c r="S17" s="0" t="n">
        <v>6897</v>
      </c>
      <c r="T17" s="0" t="n">
        <v>266</v>
      </c>
      <c r="U17" s="0" t="n">
        <v>190</v>
      </c>
      <c r="V17" s="0" t="n">
        <v>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90155</v>
      </c>
      <c r="F18" s="0" t="n">
        <v>4912</v>
      </c>
      <c r="G18" s="0" t="n">
        <v>5.44839443181188</v>
      </c>
      <c r="H18" s="0" t="n">
        <v>9088</v>
      </c>
      <c r="I18" s="0" t="n">
        <v>3972</v>
      </c>
      <c r="J18" s="0" t="n">
        <v>4.40574566025179</v>
      </c>
      <c r="K18" s="0" t="n">
        <v>15.6</v>
      </c>
      <c r="L18" s="0" t="n">
        <v>8848</v>
      </c>
      <c r="M18" s="0" t="n">
        <v>6174</v>
      </c>
      <c r="N18" s="0" t="n">
        <v>2674</v>
      </c>
      <c r="O18" s="0" t="n">
        <v>26088</v>
      </c>
      <c r="P18" s="0" t="n">
        <v>87143</v>
      </c>
      <c r="R18" s="0" t="n">
        <v>20579</v>
      </c>
      <c r="S18" s="0" t="n">
        <v>6856</v>
      </c>
      <c r="T18" s="0" t="n">
        <v>256</v>
      </c>
      <c r="U18" s="0" t="n">
        <v>182</v>
      </c>
      <c r="V18" s="0" t="n">
        <v>5.86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87693</v>
      </c>
      <c r="F19" s="0" t="n">
        <v>5559</v>
      </c>
      <c r="G19" s="0" t="n">
        <v>6.339160480312</v>
      </c>
      <c r="H19" s="0" t="n">
        <v>9846</v>
      </c>
      <c r="I19" s="0" t="n">
        <v>4331</v>
      </c>
      <c r="J19" s="0" t="n">
        <v>4.9388206584334</v>
      </c>
      <c r="K19" s="0" t="n">
        <v>17.41</v>
      </c>
      <c r="L19" s="0" t="n">
        <v>8312</v>
      </c>
      <c r="M19" s="0" t="n">
        <v>5176</v>
      </c>
      <c r="N19" s="0" t="n">
        <v>3136</v>
      </c>
      <c r="O19" s="0" t="n">
        <v>27582</v>
      </c>
      <c r="P19" s="0" t="n">
        <v>87007</v>
      </c>
      <c r="R19" s="0" t="n">
        <v>20203</v>
      </c>
      <c r="S19" s="0" t="n">
        <v>6501</v>
      </c>
      <c r="T19" s="0" t="n">
        <v>251</v>
      </c>
      <c r="U19" s="0" t="n">
        <v>163</v>
      </c>
      <c r="V19" s="0" t="n">
        <v>3.78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87926</v>
      </c>
      <c r="F20" s="0" t="n">
        <v>5217</v>
      </c>
      <c r="G20" s="0" t="n">
        <v>5.9333985396811</v>
      </c>
      <c r="H20" s="0" t="n">
        <v>9481</v>
      </c>
      <c r="I20" s="0" t="n">
        <v>4092</v>
      </c>
      <c r="J20" s="0" t="n">
        <v>4.65391351818575</v>
      </c>
      <c r="K20" s="0" t="n">
        <v>16.96</v>
      </c>
      <c r="L20" s="0" t="n">
        <v>7036</v>
      </c>
      <c r="M20" s="0" t="n">
        <v>4055</v>
      </c>
      <c r="N20" s="0" t="n">
        <v>2981</v>
      </c>
      <c r="O20" s="0" t="n">
        <v>28074</v>
      </c>
      <c r="P20" s="0" t="n">
        <v>87627</v>
      </c>
      <c r="R20" s="0" t="n">
        <v>20579</v>
      </c>
      <c r="S20" s="0" t="n">
        <v>5502</v>
      </c>
      <c r="T20" s="0" t="n">
        <v>243</v>
      </c>
      <c r="U20" s="0" t="n">
        <v>154</v>
      </c>
      <c r="V20" s="0" t="n">
        <v>5.52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94720</v>
      </c>
      <c r="F21" s="0" t="n">
        <v>5463</v>
      </c>
      <c r="G21" s="0" t="n">
        <v>5.76752533783784</v>
      </c>
      <c r="H21" s="0" t="n">
        <v>9832</v>
      </c>
      <c r="I21" s="0" t="n">
        <v>4433</v>
      </c>
      <c r="J21" s="0" t="n">
        <v>4.6801097972973</v>
      </c>
      <c r="K21" s="0" t="n">
        <v>18.71</v>
      </c>
      <c r="L21" s="0" t="n">
        <v>8925</v>
      </c>
      <c r="M21" s="0" t="n">
        <v>3809</v>
      </c>
      <c r="N21" s="0" t="n">
        <v>5116</v>
      </c>
      <c r="O21" s="0" t="n">
        <v>31647</v>
      </c>
      <c r="P21" s="0" t="n">
        <v>98937</v>
      </c>
      <c r="R21" s="0" t="n">
        <v>25131</v>
      </c>
      <c r="S21" s="0" t="n">
        <v>13311</v>
      </c>
      <c r="T21" s="0" t="n">
        <v>239</v>
      </c>
      <c r="U21" s="0" t="n">
        <v>177</v>
      </c>
      <c r="V21" s="0" t="n">
        <v>5.8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285.85</v>
      </c>
    </row>
    <row r="3" customFormat="false" ht="15" hidden="false" customHeight="false" outlineLevel="0" collapsed="false">
      <c r="A3" s="0" t="s">
        <v>86</v>
      </c>
      <c r="B3" s="3" t="n">
        <v>239</v>
      </c>
    </row>
    <row r="4" customFormat="false" ht="15" hidden="false" customHeight="false" outlineLevel="0" collapsed="false">
      <c r="A4" s="0" t="s">
        <v>87</v>
      </c>
      <c r="B4" s="3" t="n">
        <v>11820</v>
      </c>
    </row>
    <row r="5" customFormat="false" ht="15" hidden="false" customHeight="false" outlineLevel="0" collapsed="false">
      <c r="A5" s="0" t="s">
        <v>88</v>
      </c>
      <c r="B5" s="3" t="n">
        <v>6930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85800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0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8.8</v>
      </c>
      <c r="D14" s="3" t="n">
        <v>8.5</v>
      </c>
      <c r="E14" s="3" t="n">
        <v>8.5</v>
      </c>
      <c r="F14" s="3" t="n">
        <v>8.7</v>
      </c>
      <c r="G14" s="3" t="n">
        <v>8.9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108</v>
      </c>
      <c r="C15" s="3" t="n">
        <v>0.19</v>
      </c>
      <c r="D15" s="3" t="n">
        <v>0.19</v>
      </c>
      <c r="E15" s="3" t="n">
        <v>0.19</v>
      </c>
      <c r="F15" s="3" t="n">
        <v>0.19</v>
      </c>
      <c r="G15" s="3" t="n">
        <v>0.19</v>
      </c>
      <c r="H15" s="3" t="n">
        <v>0.19</v>
      </c>
      <c r="I15" s="3" t="n">
        <v>0.19</v>
      </c>
      <c r="J15" s="3" t="n">
        <v>0.19</v>
      </c>
      <c r="K15" s="3" t="n">
        <v>0.19</v>
      </c>
      <c r="L15" s="3" t="n">
        <v>0.19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4.5</v>
      </c>
      <c r="D17" s="3" t="n">
        <v>4.5</v>
      </c>
      <c r="E17" s="3" t="n">
        <v>4.5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111</v>
      </c>
      <c r="C18" s="3" t="n">
        <v>4</v>
      </c>
      <c r="D18" s="3" t="n">
        <v>4.2</v>
      </c>
      <c r="E18" s="3" t="n">
        <v>4.4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-3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9.3</v>
      </c>
      <c r="D28" s="3" t="n">
        <v>9.8</v>
      </c>
      <c r="E28" s="3" t="n">
        <v>10.3</v>
      </c>
      <c r="F28" s="3" t="n">
        <v>10.6</v>
      </c>
      <c r="G28" s="3" t="n">
        <v>10.8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108</v>
      </c>
      <c r="C29" s="3" t="n">
        <v>0.19</v>
      </c>
      <c r="D29" s="3" t="n">
        <v>0.19</v>
      </c>
      <c r="E29" s="3" t="n">
        <v>0.19</v>
      </c>
      <c r="F29" s="3" t="n">
        <v>0.19</v>
      </c>
      <c r="G29" s="3" t="n">
        <v>0.19</v>
      </c>
      <c r="H29" s="3" t="n">
        <v>0.19</v>
      </c>
      <c r="I29" s="3" t="n">
        <v>0.19</v>
      </c>
      <c r="J29" s="3" t="n">
        <v>0.19</v>
      </c>
      <c r="K29" s="3" t="n">
        <v>0.19</v>
      </c>
      <c r="L29" s="3" t="n">
        <v>0.19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4.5</v>
      </c>
      <c r="D31" s="3" t="n">
        <v>4.5</v>
      </c>
      <c r="E31" s="3" t="n">
        <v>4.5</v>
      </c>
      <c r="F31" s="3" t="n">
        <v>4.5</v>
      </c>
      <c r="G31" s="3" t="n">
        <v>4.5</v>
      </c>
      <c r="H31" s="3" t="n">
        <v>4.4</v>
      </c>
      <c r="I31" s="3" t="n">
        <v>4.4</v>
      </c>
      <c r="J31" s="3" t="n">
        <v>4.4</v>
      </c>
      <c r="K31" s="3" t="n">
        <v>4.4</v>
      </c>
      <c r="L31" s="3" t="n">
        <v>4.4</v>
      </c>
    </row>
    <row r="32" customFormat="false" ht="15" hidden="false" customHeight="false" outlineLevel="0" collapsed="false">
      <c r="A32" s="0" t="s">
        <v>111</v>
      </c>
      <c r="C32" s="3" t="n">
        <v>4</v>
      </c>
      <c r="D32" s="3" t="n">
        <v>4.2</v>
      </c>
      <c r="E32" s="3" t="n">
        <v>4.4</v>
      </c>
      <c r="F32" s="3" t="n">
        <v>4.5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-3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7</v>
      </c>
      <c r="E41" s="3" t="n">
        <v>6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9.6</v>
      </c>
      <c r="D42" s="3" t="n">
        <v>10.5</v>
      </c>
      <c r="E42" s="3" t="n">
        <v>11.3</v>
      </c>
      <c r="F42" s="3" t="n">
        <v>11.8</v>
      </c>
      <c r="G42" s="3" t="n">
        <v>12.2</v>
      </c>
      <c r="H42" s="3" t="n">
        <v>12.5</v>
      </c>
      <c r="I42" s="3" t="n">
        <v>12.5</v>
      </c>
      <c r="J42" s="3" t="n">
        <v>12.5</v>
      </c>
      <c r="K42" s="3" t="n">
        <v>12.5</v>
      </c>
      <c r="L42" s="3" t="n">
        <v>12.5</v>
      </c>
    </row>
    <row r="43" customFormat="false" ht="15" hidden="false" customHeight="false" outlineLevel="0" collapsed="false">
      <c r="A43" s="0" t="s">
        <v>108</v>
      </c>
      <c r="C43" s="3" t="n">
        <v>0.19</v>
      </c>
      <c r="D43" s="3" t="n">
        <v>0.19</v>
      </c>
      <c r="E43" s="3" t="n">
        <v>0.19</v>
      </c>
      <c r="F43" s="3" t="n">
        <v>0.19</v>
      </c>
      <c r="G43" s="3" t="n">
        <v>0.19</v>
      </c>
      <c r="H43" s="3" t="n">
        <v>0.19</v>
      </c>
      <c r="I43" s="3" t="n">
        <v>0.19</v>
      </c>
      <c r="J43" s="3" t="n">
        <v>0.19</v>
      </c>
      <c r="K43" s="3" t="n">
        <v>0.19</v>
      </c>
      <c r="L43" s="3" t="n">
        <v>0.19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4.5</v>
      </c>
      <c r="D45" s="3" t="n">
        <v>4.5</v>
      </c>
      <c r="E45" s="3" t="n">
        <v>4.5</v>
      </c>
      <c r="F45" s="3" t="n">
        <v>4.5</v>
      </c>
      <c r="G45" s="3" t="n">
        <v>4.5</v>
      </c>
      <c r="H45" s="3" t="n">
        <v>4.4</v>
      </c>
      <c r="I45" s="3" t="n">
        <v>4.4</v>
      </c>
      <c r="J45" s="3" t="n">
        <v>4.4</v>
      </c>
      <c r="K45" s="3" t="n">
        <v>4.4</v>
      </c>
      <c r="L45" s="3" t="n">
        <v>4.4</v>
      </c>
    </row>
    <row r="46" customFormat="false" ht="15" hidden="false" customHeight="false" outlineLevel="0" collapsed="false">
      <c r="A46" s="0" t="s">
        <v>111</v>
      </c>
      <c r="C46" s="3" t="n">
        <v>4</v>
      </c>
      <c r="D46" s="3" t="n">
        <v>4.2</v>
      </c>
      <c r="E46" s="3" t="n">
        <v>4.3</v>
      </c>
      <c r="F46" s="3" t="n">
        <v>4.4</v>
      </c>
      <c r="G46" s="3" t="n">
        <v>4.4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85800</v>
      </c>
      <c r="C6" s="0" t="n">
        <f aca="false">B6*(1+C5/100)</f>
        <v>86658</v>
      </c>
      <c r="D6" s="0" t="n">
        <f aca="false">C6*(1+D5/100)</f>
        <v>86658</v>
      </c>
      <c r="E6" s="0" t="n">
        <f aca="false">D6*(1+E5/100)</f>
        <v>87524.58</v>
      </c>
      <c r="F6" s="0" t="n">
        <f aca="false">E6*(1+F5/100)</f>
        <v>89275.0716</v>
      </c>
      <c r="G6" s="0" t="n">
        <f aca="false">F6*(1+G5/100)</f>
        <v>91060.573032</v>
      </c>
      <c r="H6" s="0" t="n">
        <f aca="false">G6*(1+H5/100)</f>
        <v>92881.78449264</v>
      </c>
      <c r="I6" s="0" t="n">
        <f aca="false">H6*(1+I5/100)</f>
        <v>94739.4201824928</v>
      </c>
      <c r="J6" s="0" t="n">
        <f aca="false">I6*(1+J5/100)</f>
        <v>96634.2085861427</v>
      </c>
      <c r="K6" s="0" t="n">
        <f aca="false">J6*(1+K5/100)</f>
        <v>98566.8927578655</v>
      </c>
      <c r="L6" s="0" t="n">
        <f aca="false">K6*(1+L5/100)</f>
        <v>100538.230613023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8.8</v>
      </c>
      <c r="D7" s="4" t="n">
        <f aca="false">Assumptions!D14</f>
        <v>8.5</v>
      </c>
      <c r="E7" s="4" t="n">
        <f aca="false">Assumptions!E14</f>
        <v>8.5</v>
      </c>
      <c r="F7" s="4" t="n">
        <f aca="false">Assumptions!F14</f>
        <v>8.7</v>
      </c>
      <c r="G7" s="4" t="n">
        <f aca="false">Assumptions!G14</f>
        <v>8.9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7625.904</v>
      </c>
      <c r="D8" s="0" t="n">
        <f aca="false">D6*D7/100</f>
        <v>7365.93</v>
      </c>
      <c r="E8" s="0" t="n">
        <f aca="false">E6*E7/100</f>
        <v>7439.5893</v>
      </c>
      <c r="F8" s="0" t="n">
        <f aca="false">F6*F7/100</f>
        <v>7766.9312292</v>
      </c>
      <c r="G8" s="0" t="n">
        <f aca="false">G6*G7/100</f>
        <v>8104.390999848</v>
      </c>
      <c r="H8" s="0" t="n">
        <f aca="false">H6*H7/100</f>
        <v>8359.3606043376</v>
      </c>
      <c r="I8" s="0" t="n">
        <f aca="false">I6*I7/100</f>
        <v>8526.54781642435</v>
      </c>
      <c r="J8" s="0" t="n">
        <f aca="false">J6*J7/100</f>
        <v>8697.07877275284</v>
      </c>
      <c r="K8" s="0" t="n">
        <f aca="false">K6*K7/100</f>
        <v>8871.0203482079</v>
      </c>
      <c r="L8" s="0" t="n">
        <f aca="false">L6*L7/100</f>
        <v>9048.44075517206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0.19</v>
      </c>
      <c r="D9" s="4" t="n">
        <f aca="false">Assumptions!D15</f>
        <v>0.19</v>
      </c>
      <c r="E9" s="4" t="n">
        <f aca="false">Assumptions!E15</f>
        <v>0.19</v>
      </c>
      <c r="F9" s="4" t="n">
        <f aca="false">Assumptions!F15</f>
        <v>0.19</v>
      </c>
      <c r="G9" s="4" t="n">
        <f aca="false">Assumptions!G15</f>
        <v>0.19</v>
      </c>
      <c r="H9" s="4" t="n">
        <f aca="false">Assumptions!H15</f>
        <v>0.19</v>
      </c>
      <c r="I9" s="4" t="n">
        <f aca="false">Assumptions!I15</f>
        <v>0.19</v>
      </c>
      <c r="J9" s="4" t="n">
        <f aca="false">Assumptions!J15</f>
        <v>0.19</v>
      </c>
      <c r="K9" s="4" t="n">
        <f aca="false">Assumptions!K15</f>
        <v>0.19</v>
      </c>
      <c r="L9" s="4" t="n">
        <f aca="false">Assumptions!L15</f>
        <v>0.19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-164.6502</v>
      </c>
      <c r="D10" s="0" t="n">
        <f aca="false">-D6*D9/100</f>
        <v>-164.6502</v>
      </c>
      <c r="E10" s="0" t="n">
        <f aca="false">-E6*E9/100</f>
        <v>-166.296702</v>
      </c>
      <c r="F10" s="0" t="n">
        <f aca="false">-F6*F9/100</f>
        <v>-169.62263604</v>
      </c>
      <c r="G10" s="0" t="n">
        <f aca="false">-G6*G9/100</f>
        <v>-173.0150887608</v>
      </c>
      <c r="H10" s="0" t="n">
        <f aca="false">-H6*H9/100</f>
        <v>-176.475390536016</v>
      </c>
      <c r="I10" s="0" t="n">
        <f aca="false">-I6*I9/100</f>
        <v>-180.004898346736</v>
      </c>
      <c r="J10" s="0" t="n">
        <f aca="false">-J6*J9/100</f>
        <v>-183.604996313671</v>
      </c>
      <c r="K10" s="0" t="n">
        <f aca="false">-K6*K9/100</f>
        <v>-187.277096239945</v>
      </c>
      <c r="L10" s="0" t="n">
        <f aca="false">-L6*L9/100</f>
        <v>-191.022638164743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7461.2538</v>
      </c>
      <c r="D11" s="0" t="n">
        <f aca="false">D8+D10+D24</f>
        <v>7201.2798</v>
      </c>
      <c r="E11" s="0" t="n">
        <f aca="false">E8+E10+E24</f>
        <v>7273.292598</v>
      </c>
      <c r="F11" s="0" t="n">
        <f aca="false">F8+F10+F24</f>
        <v>7597.30859316</v>
      </c>
      <c r="G11" s="0" t="n">
        <f aca="false">G8+G10+G24</f>
        <v>7931.3759110872</v>
      </c>
      <c r="H11" s="0" t="n">
        <f aca="false">H8+H10+H24</f>
        <v>8182.88521380159</v>
      </c>
      <c r="I11" s="0" t="n">
        <f aca="false">I8+I10+I24</f>
        <v>8346.54291807762</v>
      </c>
      <c r="J11" s="0" t="n">
        <f aca="false">J8+J10+J24</f>
        <v>8513.47377643917</v>
      </c>
      <c r="K11" s="0" t="n">
        <f aca="false">K8+K10+K24</f>
        <v>8683.74325196795</v>
      </c>
      <c r="L11" s="0" t="n">
        <f aca="false">L8+L10+L24</f>
        <v>8857.41811700731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-3899.61</v>
      </c>
      <c r="D12" s="4" t="n">
        <f aca="false">-D6*Assumptions!D17/100</f>
        <v>-3899.61</v>
      </c>
      <c r="E12" s="4" t="n">
        <f aca="false">-E6*Assumptions!E17/100</f>
        <v>-3938.6061</v>
      </c>
      <c r="F12" s="4" t="n">
        <f aca="false">-F6*Assumptions!F17/100</f>
        <v>-4017.378222</v>
      </c>
      <c r="G12" s="4" t="n">
        <f aca="false">-G6*Assumptions!G17/100</f>
        <v>-4097.72578644</v>
      </c>
      <c r="H12" s="4" t="n">
        <f aca="false">-H6*Assumptions!H17/100</f>
        <v>-4179.6803021688</v>
      </c>
      <c r="I12" s="4" t="n">
        <f aca="false">-I6*Assumptions!I17/100</f>
        <v>-4263.27390821218</v>
      </c>
      <c r="J12" s="4" t="n">
        <f aca="false">-J6*Assumptions!J17/100</f>
        <v>-4348.53938637642</v>
      </c>
      <c r="K12" s="4" t="n">
        <f aca="false">-K6*Assumptions!K17/100</f>
        <v>-4435.51017410395</v>
      </c>
      <c r="L12" s="4" t="n">
        <f aca="false">-L6*Assumptions!L17/100</f>
        <v>-4524.22037758603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3561.6438</v>
      </c>
      <c r="D13" s="0" t="n">
        <f aca="false">D11+D12</f>
        <v>3301.6698</v>
      </c>
      <c r="E13" s="0" t="n">
        <f aca="false">E11+E12</f>
        <v>3334.686498</v>
      </c>
      <c r="F13" s="0" t="n">
        <f aca="false">F11+F12</f>
        <v>3579.93037116</v>
      </c>
      <c r="G13" s="0" t="n">
        <f aca="false">G11+G12</f>
        <v>3833.6501246472</v>
      </c>
      <c r="H13" s="0" t="n">
        <f aca="false">H11+H12</f>
        <v>4003.20491163279</v>
      </c>
      <c r="I13" s="0" t="n">
        <f aca="false">I11+I12</f>
        <v>4083.26900986544</v>
      </c>
      <c r="J13" s="0" t="n">
        <f aca="false">J11+J12</f>
        <v>4164.93439006275</v>
      </c>
      <c r="K13" s="0" t="n">
        <f aca="false">K11+K12</f>
        <v>4248.233077864</v>
      </c>
      <c r="L13" s="0" t="n">
        <f aca="false">L11+L12</f>
        <v>4333.19773942129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2706.849288</v>
      </c>
      <c r="D15" s="0" t="n">
        <f aca="false">D13-MAX(0,D13)*D14/100</f>
        <v>2509.269048</v>
      </c>
      <c r="E15" s="0" t="n">
        <f aca="false">E13-MAX(0,E13)*E14/100</f>
        <v>2534.36173848</v>
      </c>
      <c r="F15" s="0" t="n">
        <f aca="false">F13-MAX(0,F13)*F14/100</f>
        <v>2720.7470820816</v>
      </c>
      <c r="G15" s="0" t="n">
        <f aca="false">G13-MAX(0,G13)*G14/100</f>
        <v>2913.57409473187</v>
      </c>
      <c r="H15" s="0" t="n">
        <f aca="false">H13-MAX(0,H13)*H14/100</f>
        <v>3042.43573284092</v>
      </c>
      <c r="I15" s="0" t="n">
        <f aca="false">I13-MAX(0,I13)*I14/100</f>
        <v>3103.28444749773</v>
      </c>
      <c r="J15" s="0" t="n">
        <f aca="false">J13-MAX(0,J13)*J14/100</f>
        <v>3165.35013644769</v>
      </c>
      <c r="K15" s="0" t="n">
        <f aca="false">K13-MAX(0,K13)*K14/100</f>
        <v>3228.65713917664</v>
      </c>
      <c r="L15" s="0" t="n">
        <f aca="false">L13-MAX(0,L13)*L14/100</f>
        <v>3293.23028196018</v>
      </c>
    </row>
    <row r="16" customFormat="false" ht="15" hidden="false" customHeight="false" outlineLevel="0" collapsed="false">
      <c r="A16" s="0" t="s">
        <v>128</v>
      </c>
      <c r="C16" s="0" t="n">
        <f aca="false">-C12</f>
        <v>3899.61</v>
      </c>
      <c r="D16" s="0" t="n">
        <f aca="false">-D12</f>
        <v>3899.61</v>
      </c>
      <c r="E16" s="0" t="n">
        <f aca="false">-E12</f>
        <v>3938.6061</v>
      </c>
      <c r="F16" s="0" t="n">
        <f aca="false">-F12</f>
        <v>4017.378222</v>
      </c>
      <c r="G16" s="0" t="n">
        <f aca="false">-G12</f>
        <v>4097.72578644</v>
      </c>
      <c r="H16" s="0" t="n">
        <f aca="false">-H12</f>
        <v>4179.6803021688</v>
      </c>
      <c r="I16" s="0" t="n">
        <f aca="false">-I12</f>
        <v>4263.27390821218</v>
      </c>
      <c r="J16" s="0" t="n">
        <f aca="false">-J12</f>
        <v>4348.53938637642</v>
      </c>
      <c r="K16" s="0" t="n">
        <f aca="false">-K12</f>
        <v>4435.51017410395</v>
      </c>
      <c r="L16" s="0" t="n">
        <f aca="false">-L12</f>
        <v>4524.22037758603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-3466.32</v>
      </c>
      <c r="D17" s="4" t="n">
        <f aca="false">-D6*Assumptions!D18/100</f>
        <v>-3639.636</v>
      </c>
      <c r="E17" s="4" t="n">
        <f aca="false">-E6*Assumptions!E18/100</f>
        <v>-3851.08152</v>
      </c>
      <c r="F17" s="4" t="n">
        <f aca="false">-F6*Assumptions!F18/100</f>
        <v>-4017.378222</v>
      </c>
      <c r="G17" s="4" t="n">
        <f aca="false">-G6*Assumptions!G18/100</f>
        <v>-4097.72578644</v>
      </c>
      <c r="H17" s="4" t="n">
        <f aca="false">-H6*Assumptions!H18/100</f>
        <v>-4179.6803021688</v>
      </c>
      <c r="I17" s="4" t="n">
        <f aca="false">-I6*Assumptions!I18/100</f>
        <v>-4263.27390821218</v>
      </c>
      <c r="J17" s="4" t="n">
        <f aca="false">-J6*Assumptions!J18/100</f>
        <v>-4348.53938637642</v>
      </c>
      <c r="K17" s="4" t="n">
        <f aca="false">-K6*Assumptions!K18/100</f>
        <v>-4435.51017410395</v>
      </c>
      <c r="L17" s="4" t="n">
        <f aca="false">-L6*Assumptions!L18/100</f>
        <v>-4524.22037758603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-25.74</v>
      </c>
      <c r="D18" s="4" t="n">
        <f aca="false">(D6-C6)*Assumptions!$B$23/100</f>
        <v>-0</v>
      </c>
      <c r="E18" s="4" t="n">
        <f aca="false">(E6-D6)*Assumptions!$B$23/100</f>
        <v>-25.9974000000001</v>
      </c>
      <c r="F18" s="4" t="n">
        <f aca="false">(F6-E6)*Assumptions!$B$23/100</f>
        <v>-52.5147480000003</v>
      </c>
      <c r="G18" s="4" t="n">
        <f aca="false">(G6-F6)*Assumptions!$B$23/100</f>
        <v>-53.5650429600001</v>
      </c>
      <c r="H18" s="4" t="n">
        <f aca="false">(H6-G6)*Assumptions!$B$23/100</f>
        <v>-54.6363438192</v>
      </c>
      <c r="I18" s="4" t="n">
        <f aca="false">(I6-H6)*Assumptions!$B$23/100</f>
        <v>-55.7290706955841</v>
      </c>
      <c r="J18" s="4" t="n">
        <f aca="false">(J6-I6)*Assumptions!$B$23/100</f>
        <v>-56.8436521094957</v>
      </c>
      <c r="K18" s="4" t="n">
        <f aca="false">(K6-J6)*Assumptions!$B$23/100</f>
        <v>-57.9805251516856</v>
      </c>
      <c r="L18" s="4" t="n">
        <f aca="false">(L6-K6)*Assumptions!$B$23/100</f>
        <v>-59.1401356547193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3114.399288</v>
      </c>
      <c r="D19" s="0" t="n">
        <f aca="false">D15+D16+D17+D18</f>
        <v>2769.243048</v>
      </c>
      <c r="E19" s="0" t="n">
        <f aca="false">E15+E16+E17+E18</f>
        <v>2595.88891848</v>
      </c>
      <c r="F19" s="0" t="n">
        <f aca="false">F15+F16+F17+F18</f>
        <v>2668.2323340816</v>
      </c>
      <c r="G19" s="0" t="n">
        <f aca="false">G15+G16+G17+G18</f>
        <v>2860.00905177187</v>
      </c>
      <c r="H19" s="0" t="n">
        <f aca="false">H15+H16+H17+H18</f>
        <v>2987.79938902172</v>
      </c>
      <c r="I19" s="0" t="n">
        <f aca="false">I15+I16+I17+I18</f>
        <v>3047.55537680215</v>
      </c>
      <c r="J19" s="0" t="n">
        <f aca="false">J15+J16+J17+J18</f>
        <v>3108.50648433819</v>
      </c>
      <c r="K19" s="0" t="n">
        <f aca="false">K15+K16+K17+K18</f>
        <v>3170.67661402496</v>
      </c>
      <c r="L19" s="0" t="n">
        <f aca="false">L15+L16+L17+L18</f>
        <v>3234.09014630546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2870.41409032258</v>
      </c>
      <c r="D21" s="0" t="n">
        <f aca="false">D19*D20</f>
        <v>2352.34814755038</v>
      </c>
      <c r="E21" s="0" t="n">
        <f aca="false">E19*E20</f>
        <v>2032.34245690458</v>
      </c>
      <c r="F21" s="0" t="n">
        <f aca="false">F19*F20</f>
        <v>1925.32783672554</v>
      </c>
      <c r="G21" s="0" t="n">
        <f aca="false">G19*G20</f>
        <v>1902.03593044438</v>
      </c>
      <c r="H21" s="0" t="n">
        <f aca="false">H19*H20</f>
        <v>1831.35696716394</v>
      </c>
      <c r="I21" s="0" t="n">
        <f aca="false">I19*I20</f>
        <v>1721.64433779467</v>
      </c>
      <c r="J21" s="0" t="n">
        <f aca="false">J19*J20</f>
        <v>1618.50435442449</v>
      </c>
      <c r="K21" s="0" t="n">
        <f aca="false">K19*K20</f>
        <v>1521.54326406726</v>
      </c>
      <c r="L21" s="0" t="n">
        <f aca="false">L19*L20</f>
        <v>1430.39090262544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19205.9082880233</v>
      </c>
    </row>
    <row r="31" customFormat="false" ht="15" hidden="false" customHeight="false" outlineLevel="0" collapsed="false">
      <c r="A31" s="0" t="s">
        <v>137</v>
      </c>
      <c r="B31" s="0" t="n">
        <f aca="false">L19</f>
        <v>3234.09014630546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50750.3376804856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48511.3521945819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48511.3521945819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21455.8635393816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40661.7718274049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35771.7718274049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149.672685470313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-0.476394313554964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1139.08132469366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1325.78857443352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159.985948646578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25375.1688402428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66.9167667980042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85800</v>
      </c>
      <c r="C6" s="0" t="n">
        <f aca="false">B6*(1+C5/100)</f>
        <v>90948</v>
      </c>
      <c r="D6" s="0" t="n">
        <f aca="false">C6*(1+D5/100)</f>
        <v>95495.4</v>
      </c>
      <c r="E6" s="0" t="n">
        <f aca="false">D6*(1+E5/100)</f>
        <v>99792.693</v>
      </c>
      <c r="F6" s="0" t="n">
        <f aca="false">E6*(1+F5/100)</f>
        <v>103784.40072</v>
      </c>
      <c r="G6" s="0" t="n">
        <f aca="false">F6*(1+G5/100)</f>
        <v>107416.8547452</v>
      </c>
      <c r="H6" s="0" t="n">
        <f aca="false">G6*(1+H5/100)</f>
        <v>110639.360387556</v>
      </c>
      <c r="I6" s="0" t="n">
        <f aca="false">H6*(1+I5/100)</f>
        <v>113958.541199183</v>
      </c>
      <c r="J6" s="0" t="n">
        <f aca="false">I6*(1+J5/100)</f>
        <v>116807.504729162</v>
      </c>
      <c r="K6" s="0" t="n">
        <f aca="false">J6*(1+K5/100)</f>
        <v>119727.692347391</v>
      </c>
      <c r="L6" s="0" t="n">
        <f aca="false">K6*(1+L5/100)</f>
        <v>122720.884656076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9.3</v>
      </c>
      <c r="D7" s="4" t="n">
        <f aca="false">Assumptions!D28</f>
        <v>9.8</v>
      </c>
      <c r="E7" s="4" t="n">
        <f aca="false">Assumptions!E28</f>
        <v>10.3</v>
      </c>
      <c r="F7" s="4" t="n">
        <f aca="false">Assumptions!F28</f>
        <v>10.6</v>
      </c>
      <c r="G7" s="4" t="n">
        <f aca="false">Assumptions!G28</f>
        <v>10.8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8458.164</v>
      </c>
      <c r="D8" s="0" t="n">
        <f aca="false">D6*D7/100</f>
        <v>9358.5492</v>
      </c>
      <c r="E8" s="0" t="n">
        <f aca="false">E6*E7/100</f>
        <v>10278.647379</v>
      </c>
      <c r="F8" s="0" t="n">
        <f aca="false">F6*F7/100</f>
        <v>11001.14647632</v>
      </c>
      <c r="G8" s="0" t="n">
        <f aca="false">G6*G7/100</f>
        <v>11601.0203124816</v>
      </c>
      <c r="H8" s="0" t="n">
        <f aca="false">H6*H7/100</f>
        <v>12170.3296426312</v>
      </c>
      <c r="I8" s="0" t="n">
        <f aca="false">I6*I7/100</f>
        <v>12535.4395319101</v>
      </c>
      <c r="J8" s="0" t="n">
        <f aca="false">J6*J7/100</f>
        <v>12848.8255202078</v>
      </c>
      <c r="K8" s="0" t="n">
        <f aca="false">K6*K7/100</f>
        <v>13170.046158213</v>
      </c>
      <c r="L8" s="0" t="n">
        <f aca="false">L6*L7/100</f>
        <v>13499.2973121684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0.19</v>
      </c>
      <c r="D9" s="4" t="n">
        <f aca="false">Assumptions!D29</f>
        <v>0.19</v>
      </c>
      <c r="E9" s="4" t="n">
        <f aca="false">Assumptions!E29</f>
        <v>0.19</v>
      </c>
      <c r="F9" s="4" t="n">
        <f aca="false">Assumptions!F29</f>
        <v>0.19</v>
      </c>
      <c r="G9" s="4" t="n">
        <f aca="false">Assumptions!G29</f>
        <v>0.19</v>
      </c>
      <c r="H9" s="4" t="n">
        <f aca="false">Assumptions!H29</f>
        <v>0.19</v>
      </c>
      <c r="I9" s="4" t="n">
        <f aca="false">Assumptions!I29</f>
        <v>0.19</v>
      </c>
      <c r="J9" s="4" t="n">
        <f aca="false">Assumptions!J29</f>
        <v>0.19</v>
      </c>
      <c r="K9" s="4" t="n">
        <f aca="false">Assumptions!K29</f>
        <v>0.19</v>
      </c>
      <c r="L9" s="4" t="n">
        <f aca="false">Assumptions!L29</f>
        <v>0.19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-172.8012</v>
      </c>
      <c r="D10" s="0" t="n">
        <f aca="false">-D6*D9/100</f>
        <v>-181.44126</v>
      </c>
      <c r="E10" s="0" t="n">
        <f aca="false">-E6*E9/100</f>
        <v>-189.6061167</v>
      </c>
      <c r="F10" s="0" t="n">
        <f aca="false">-F6*F9/100</f>
        <v>-197.190361368</v>
      </c>
      <c r="G10" s="0" t="n">
        <f aca="false">-G6*G9/100</f>
        <v>-204.09202401588</v>
      </c>
      <c r="H10" s="0" t="n">
        <f aca="false">-H6*H9/100</f>
        <v>-210.214784736356</v>
      </c>
      <c r="I10" s="0" t="n">
        <f aca="false">-I6*I9/100</f>
        <v>-216.521228278447</v>
      </c>
      <c r="J10" s="0" t="n">
        <f aca="false">-J6*J9/100</f>
        <v>-221.934258985408</v>
      </c>
      <c r="K10" s="0" t="n">
        <f aca="false">-K6*K9/100</f>
        <v>-227.482615460043</v>
      </c>
      <c r="L10" s="0" t="n">
        <f aca="false">-L6*L9/100</f>
        <v>-233.169680846544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8285.3628</v>
      </c>
      <c r="D11" s="0" t="n">
        <f aca="false">D8+D10+D24</f>
        <v>9177.10794</v>
      </c>
      <c r="E11" s="0" t="n">
        <f aca="false">E8+E10+E24</f>
        <v>10089.0412623</v>
      </c>
      <c r="F11" s="0" t="n">
        <f aca="false">F8+F10+F24</f>
        <v>10803.956114952</v>
      </c>
      <c r="G11" s="0" t="n">
        <f aca="false">G8+G10+G24</f>
        <v>11396.9282884657</v>
      </c>
      <c r="H11" s="0" t="n">
        <f aca="false">H8+H10+H24</f>
        <v>11960.1148578948</v>
      </c>
      <c r="I11" s="0" t="n">
        <f aca="false">I8+I10+I24</f>
        <v>12318.9183036316</v>
      </c>
      <c r="J11" s="0" t="n">
        <f aca="false">J8+J10+J24</f>
        <v>12626.8912612224</v>
      </c>
      <c r="K11" s="0" t="n">
        <f aca="false">K8+K10+K24</f>
        <v>12942.563542753</v>
      </c>
      <c r="L11" s="0" t="n">
        <f aca="false">L8+L10+L24</f>
        <v>13266.1276313218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-4092.66</v>
      </c>
      <c r="D12" s="4" t="n">
        <f aca="false">-D6*Assumptions!D31/100</f>
        <v>-4297.293</v>
      </c>
      <c r="E12" s="4" t="n">
        <f aca="false">-E6*Assumptions!E31/100</f>
        <v>-4490.671185</v>
      </c>
      <c r="F12" s="4" t="n">
        <f aca="false">-F6*Assumptions!F31/100</f>
        <v>-4670.2980324</v>
      </c>
      <c r="G12" s="4" t="n">
        <f aca="false">-G6*Assumptions!G31/100</f>
        <v>-4833.758463534</v>
      </c>
      <c r="H12" s="4" t="n">
        <f aca="false">-H6*Assumptions!H31/100</f>
        <v>-4868.13185705246</v>
      </c>
      <c r="I12" s="4" t="n">
        <f aca="false">-I6*Assumptions!I31/100</f>
        <v>-5014.17581276404</v>
      </c>
      <c r="J12" s="4" t="n">
        <f aca="false">-J6*Assumptions!J31/100</f>
        <v>-5139.53020808314</v>
      </c>
      <c r="K12" s="4" t="n">
        <f aca="false">-K6*Assumptions!K31/100</f>
        <v>-5268.01846328522</v>
      </c>
      <c r="L12" s="4" t="n">
        <f aca="false">-L6*Assumptions!L31/100</f>
        <v>-5399.71892486735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4192.7028</v>
      </c>
      <c r="D13" s="0" t="n">
        <f aca="false">D11+D12</f>
        <v>4879.81494</v>
      </c>
      <c r="E13" s="0" t="n">
        <f aca="false">E11+E12</f>
        <v>5598.3700773</v>
      </c>
      <c r="F13" s="0" t="n">
        <f aca="false">F11+F12</f>
        <v>6133.658082552</v>
      </c>
      <c r="G13" s="0" t="n">
        <f aca="false">G11+G12</f>
        <v>6563.16982493172</v>
      </c>
      <c r="H13" s="0" t="n">
        <f aca="false">H11+H12</f>
        <v>7091.98300084234</v>
      </c>
      <c r="I13" s="0" t="n">
        <f aca="false">I11+I12</f>
        <v>7304.74249086761</v>
      </c>
      <c r="J13" s="0" t="n">
        <f aca="false">J11+J12</f>
        <v>7487.3610531393</v>
      </c>
      <c r="K13" s="0" t="n">
        <f aca="false">K11+K12</f>
        <v>7674.54507946778</v>
      </c>
      <c r="L13" s="0" t="n">
        <f aca="false">L11+L12</f>
        <v>7866.40870645447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3186.454128</v>
      </c>
      <c r="D15" s="0" t="n">
        <f aca="false">D13-MAX(0,D13)*D14/100</f>
        <v>3708.6593544</v>
      </c>
      <c r="E15" s="0" t="n">
        <f aca="false">E13-MAX(0,E13)*E14/100</f>
        <v>4254.761258748</v>
      </c>
      <c r="F15" s="0" t="n">
        <f aca="false">F13-MAX(0,F13)*F14/100</f>
        <v>4661.58014273952</v>
      </c>
      <c r="G15" s="0" t="n">
        <f aca="false">G13-MAX(0,G13)*G14/100</f>
        <v>4988.00906694811</v>
      </c>
      <c r="H15" s="0" t="n">
        <f aca="false">H13-MAX(0,H13)*H14/100</f>
        <v>5389.90708064018</v>
      </c>
      <c r="I15" s="0" t="n">
        <f aca="false">I13-MAX(0,I13)*I14/100</f>
        <v>5551.60429305938</v>
      </c>
      <c r="J15" s="0" t="n">
        <f aca="false">J13-MAX(0,J13)*J14/100</f>
        <v>5690.39440038587</v>
      </c>
      <c r="K15" s="0" t="n">
        <f aca="false">K13-MAX(0,K13)*K14/100</f>
        <v>5832.65426039551</v>
      </c>
      <c r="L15" s="0" t="n">
        <f aca="false">L13-MAX(0,L13)*L14/100</f>
        <v>5978.4706169054</v>
      </c>
    </row>
    <row r="16" customFormat="false" ht="15" hidden="false" customHeight="false" outlineLevel="0" collapsed="false">
      <c r="A16" s="0" t="s">
        <v>128</v>
      </c>
      <c r="C16" s="0" t="n">
        <f aca="false">-C12</f>
        <v>4092.66</v>
      </c>
      <c r="D16" s="0" t="n">
        <f aca="false">-D12</f>
        <v>4297.293</v>
      </c>
      <c r="E16" s="0" t="n">
        <f aca="false">-E12</f>
        <v>4490.671185</v>
      </c>
      <c r="F16" s="0" t="n">
        <f aca="false">-F12</f>
        <v>4670.2980324</v>
      </c>
      <c r="G16" s="0" t="n">
        <f aca="false">-G12</f>
        <v>4833.758463534</v>
      </c>
      <c r="H16" s="0" t="n">
        <f aca="false">-H12</f>
        <v>4868.13185705246</v>
      </c>
      <c r="I16" s="0" t="n">
        <f aca="false">-I12</f>
        <v>5014.17581276404</v>
      </c>
      <c r="J16" s="0" t="n">
        <f aca="false">-J12</f>
        <v>5139.53020808314</v>
      </c>
      <c r="K16" s="0" t="n">
        <f aca="false">-K12</f>
        <v>5268.01846328522</v>
      </c>
      <c r="L16" s="0" t="n">
        <f aca="false">-L12</f>
        <v>5399.71892486735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-3637.92</v>
      </c>
      <c r="D17" s="4" t="n">
        <f aca="false">-D6*Assumptions!D32/100</f>
        <v>-4010.8068</v>
      </c>
      <c r="E17" s="4" t="n">
        <f aca="false">-E6*Assumptions!E32/100</f>
        <v>-4390.878492</v>
      </c>
      <c r="F17" s="4" t="n">
        <f aca="false">-F6*Assumptions!F32/100</f>
        <v>-4670.2980324</v>
      </c>
      <c r="G17" s="4" t="n">
        <f aca="false">-G6*Assumptions!G32/100</f>
        <v>-4833.758463534</v>
      </c>
      <c r="H17" s="4" t="n">
        <f aca="false">-H6*Assumptions!H32/100</f>
        <v>-4978.77121744002</v>
      </c>
      <c r="I17" s="4" t="n">
        <f aca="false">-I6*Assumptions!I32/100</f>
        <v>-5128.13435396322</v>
      </c>
      <c r="J17" s="4" t="n">
        <f aca="false">-J6*Assumptions!J32/100</f>
        <v>-5256.3377128123</v>
      </c>
      <c r="K17" s="4" t="n">
        <f aca="false">-K6*Assumptions!K32/100</f>
        <v>-5387.74615563261</v>
      </c>
      <c r="L17" s="4" t="n">
        <f aca="false">-L6*Assumptions!L32/100</f>
        <v>-5522.43980952342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-154.44</v>
      </c>
      <c r="D18" s="4" t="n">
        <f aca="false">(D6-C6)*Assumptions!$B$37/100</f>
        <v>-136.422</v>
      </c>
      <c r="E18" s="4" t="n">
        <f aca="false">(E6-D6)*Assumptions!$B$37/100</f>
        <v>-128.91879</v>
      </c>
      <c r="F18" s="4" t="n">
        <f aca="false">(F6-E6)*Assumptions!$B$37/100</f>
        <v>-119.7512316</v>
      </c>
      <c r="G18" s="4" t="n">
        <f aca="false">(G6-F6)*Assumptions!$B$37/100</f>
        <v>-108.973620756</v>
      </c>
      <c r="H18" s="4" t="n">
        <f aca="false">(H6-G6)*Assumptions!$B$37/100</f>
        <v>-96.6751692706801</v>
      </c>
      <c r="I18" s="4" t="n">
        <f aca="false">(I6-H6)*Assumptions!$B$37/100</f>
        <v>-99.5754243488003</v>
      </c>
      <c r="J18" s="4" t="n">
        <f aca="false">(J6-I6)*Assumptions!$B$37/100</f>
        <v>-85.4689058993869</v>
      </c>
      <c r="K18" s="4" t="n">
        <f aca="false">(K6-J6)*Assumptions!$B$37/100</f>
        <v>-87.6056285468713</v>
      </c>
      <c r="L18" s="4" t="n">
        <f aca="false">(L6-K6)*Assumptions!$B$37/100</f>
        <v>-89.795769260543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3486.754128</v>
      </c>
      <c r="D19" s="0" t="n">
        <f aca="false">D15+D16+D17+D18</f>
        <v>3858.7235544</v>
      </c>
      <c r="E19" s="0" t="n">
        <f aca="false">E15+E16+E17+E18</f>
        <v>4225.635161748</v>
      </c>
      <c r="F19" s="0" t="n">
        <f aca="false">F15+F16+F17+F18</f>
        <v>4541.82891113952</v>
      </c>
      <c r="G19" s="0" t="n">
        <f aca="false">G15+G16+G17+G18</f>
        <v>4879.03544619211</v>
      </c>
      <c r="H19" s="0" t="n">
        <f aca="false">H15+H16+H17+H18</f>
        <v>5182.59255098194</v>
      </c>
      <c r="I19" s="0" t="n">
        <f aca="false">I15+I16+I17+I18</f>
        <v>5338.0703275114</v>
      </c>
      <c r="J19" s="0" t="n">
        <f aca="false">J15+J16+J17+J18</f>
        <v>5488.11798975732</v>
      </c>
      <c r="K19" s="0" t="n">
        <f aca="false">K15+K16+K17+K18</f>
        <v>5625.32093950125</v>
      </c>
      <c r="L19" s="0" t="n">
        <f aca="false">L15+L16+L17+L18</f>
        <v>5765.95396298878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3213.59827465438</v>
      </c>
      <c r="D21" s="0" t="n">
        <f aca="false">D19*D20</f>
        <v>3277.81312357451</v>
      </c>
      <c r="E21" s="0" t="n">
        <f aca="false">E19*E20</f>
        <v>3308.28398914615</v>
      </c>
      <c r="F21" s="0" t="n">
        <f aca="false">F19*F20</f>
        <v>3277.266945823</v>
      </c>
      <c r="G21" s="0" t="n">
        <f aca="false">G19*G20</f>
        <v>3244.78019355211</v>
      </c>
      <c r="H21" s="0" t="n">
        <f aca="false">H19*H20</f>
        <v>3176.6446606445</v>
      </c>
      <c r="I21" s="0" t="n">
        <f aca="false">I19*I20</f>
        <v>3015.61659028925</v>
      </c>
      <c r="J21" s="0" t="n">
        <f aca="false">J19*J20</f>
        <v>2857.49536273163</v>
      </c>
      <c r="K21" s="0" t="n">
        <f aca="false">K19*K20</f>
        <v>2699.47718599071</v>
      </c>
      <c r="L21" s="0" t="n">
        <f aca="false">L19*L20</f>
        <v>2550.19734160413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30621.1736680104</v>
      </c>
    </row>
    <row r="31" customFormat="false" ht="15" hidden="false" customHeight="false" outlineLevel="0" collapsed="false">
      <c r="A31" s="0" t="s">
        <v>137</v>
      </c>
      <c r="B31" s="0" t="n">
        <f aca="false">L19</f>
        <v>5765.95396298878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98501.7135343917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86489.3094448317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86489.3094448317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38252.9601240619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68874.1337920722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63984.1337920722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267.716040971014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-0.063438723207929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1318.86702939735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1761.76229656525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280.60570342274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47280.822496508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123.905993003923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85800</v>
      </c>
      <c r="C6" s="0" t="n">
        <f aca="false">B6*(1+C5/100)</f>
        <v>93522</v>
      </c>
      <c r="D6" s="0" t="n">
        <f aca="false">C6*(1+D5/100)</f>
        <v>100068.54</v>
      </c>
      <c r="E6" s="0" t="n">
        <f aca="false">D6*(1+E5/100)</f>
        <v>106072.6524</v>
      </c>
      <c r="F6" s="0" t="n">
        <f aca="false">E6*(1+F5/100)</f>
        <v>111376.28502</v>
      </c>
      <c r="G6" s="0" t="n">
        <f aca="false">F6*(1+G5/100)</f>
        <v>116388.2178459</v>
      </c>
      <c r="H6" s="0" t="n">
        <f aca="false">G6*(1+H5/100)</f>
        <v>121043.746559736</v>
      </c>
      <c r="I6" s="0" t="n">
        <f aca="false">H6*(1+I5/100)</f>
        <v>125280.277689327</v>
      </c>
      <c r="J6" s="0" t="n">
        <f aca="false">I6*(1+J5/100)</f>
        <v>129038.686020007</v>
      </c>
      <c r="K6" s="0" t="n">
        <f aca="false">J6*(1+K5/100)</f>
        <v>132909.846600607</v>
      </c>
      <c r="L6" s="0" t="n">
        <f aca="false">K6*(1+L5/100)</f>
        <v>136897.141998625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9.6</v>
      </c>
      <c r="D7" s="4" t="n">
        <f aca="false">Assumptions!D42</f>
        <v>10.5</v>
      </c>
      <c r="E7" s="4" t="n">
        <f aca="false">Assumptions!E42</f>
        <v>11.3</v>
      </c>
      <c r="F7" s="4" t="n">
        <f aca="false">Assumptions!F42</f>
        <v>11.8</v>
      </c>
      <c r="G7" s="4" t="n">
        <f aca="false">Assumptions!G42</f>
        <v>12.2</v>
      </c>
      <c r="H7" s="4" t="n">
        <f aca="false">Assumptions!H42</f>
        <v>12.5</v>
      </c>
      <c r="I7" s="4" t="n">
        <f aca="false">Assumptions!I42</f>
        <v>12.5</v>
      </c>
      <c r="J7" s="4" t="n">
        <f aca="false">Assumptions!J42</f>
        <v>12.5</v>
      </c>
      <c r="K7" s="4" t="n">
        <f aca="false">Assumptions!K42</f>
        <v>12.5</v>
      </c>
      <c r="L7" s="4" t="n">
        <f aca="false">Assumptions!L42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8978.112</v>
      </c>
      <c r="D8" s="0" t="n">
        <f aca="false">D6*D7/100</f>
        <v>10507.1967</v>
      </c>
      <c r="E8" s="0" t="n">
        <f aca="false">E6*E7/100</f>
        <v>11986.2097212</v>
      </c>
      <c r="F8" s="0" t="n">
        <f aca="false">F6*F7/100</f>
        <v>13142.40163236</v>
      </c>
      <c r="G8" s="0" t="n">
        <f aca="false">G6*G7/100</f>
        <v>14199.3625771998</v>
      </c>
      <c r="H8" s="0" t="n">
        <f aca="false">H6*H7/100</f>
        <v>15130.468319967</v>
      </c>
      <c r="I8" s="0" t="n">
        <f aca="false">I6*I7/100</f>
        <v>15660.0347111658</v>
      </c>
      <c r="J8" s="0" t="n">
        <f aca="false">J6*J7/100</f>
        <v>16129.8357525008</v>
      </c>
      <c r="K8" s="0" t="n">
        <f aca="false">K6*K7/100</f>
        <v>16613.7308250758</v>
      </c>
      <c r="L8" s="0" t="n">
        <f aca="false">L6*L7/100</f>
        <v>17112.1427498281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0.19</v>
      </c>
      <c r="D9" s="4" t="n">
        <f aca="false">Assumptions!D43</f>
        <v>0.19</v>
      </c>
      <c r="E9" s="4" t="n">
        <f aca="false">Assumptions!E43</f>
        <v>0.19</v>
      </c>
      <c r="F9" s="4" t="n">
        <f aca="false">Assumptions!F43</f>
        <v>0.19</v>
      </c>
      <c r="G9" s="4" t="n">
        <f aca="false">Assumptions!G43</f>
        <v>0.19</v>
      </c>
      <c r="H9" s="4" t="n">
        <f aca="false">Assumptions!H43</f>
        <v>0.19</v>
      </c>
      <c r="I9" s="4" t="n">
        <f aca="false">Assumptions!I43</f>
        <v>0.19</v>
      </c>
      <c r="J9" s="4" t="n">
        <f aca="false">Assumptions!J43</f>
        <v>0.19</v>
      </c>
      <c r="K9" s="4" t="n">
        <f aca="false">Assumptions!K43</f>
        <v>0.19</v>
      </c>
      <c r="L9" s="4" t="n">
        <f aca="false">Assumptions!L43</f>
        <v>0.19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-177.6918</v>
      </c>
      <c r="D10" s="0" t="n">
        <f aca="false">-D6*D9/100</f>
        <v>-190.130226</v>
      </c>
      <c r="E10" s="0" t="n">
        <f aca="false">-E6*E9/100</f>
        <v>-201.53803956</v>
      </c>
      <c r="F10" s="0" t="n">
        <f aca="false">-F6*F9/100</f>
        <v>-211.614941538</v>
      </c>
      <c r="G10" s="0" t="n">
        <f aca="false">-G6*G9/100</f>
        <v>-221.13761390721</v>
      </c>
      <c r="H10" s="0" t="n">
        <f aca="false">-H6*H9/100</f>
        <v>-229.983118463498</v>
      </c>
      <c r="I10" s="0" t="n">
        <f aca="false">-I6*I9/100</f>
        <v>-238.032527609721</v>
      </c>
      <c r="J10" s="0" t="n">
        <f aca="false">-J6*J9/100</f>
        <v>-245.173503438013</v>
      </c>
      <c r="K10" s="0" t="n">
        <f aca="false">-K6*K9/100</f>
        <v>-252.528708541153</v>
      </c>
      <c r="L10" s="0" t="n">
        <f aca="false">-L6*L9/100</f>
        <v>-260.104569797388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8800.4202</v>
      </c>
      <c r="D11" s="0" t="n">
        <f aca="false">D8+D10+D24</f>
        <v>10317.066474</v>
      </c>
      <c r="E11" s="0" t="n">
        <f aca="false">E8+E10+E24</f>
        <v>11784.67168164</v>
      </c>
      <c r="F11" s="0" t="n">
        <f aca="false">F8+F10+F24</f>
        <v>12930.786690822</v>
      </c>
      <c r="G11" s="0" t="n">
        <f aca="false">G8+G10+G24</f>
        <v>13978.2249632926</v>
      </c>
      <c r="H11" s="0" t="n">
        <f aca="false">H8+H10+H24</f>
        <v>14900.4852015035</v>
      </c>
      <c r="I11" s="0" t="n">
        <f aca="false">I8+I10+I24</f>
        <v>15422.0021835561</v>
      </c>
      <c r="J11" s="0" t="n">
        <f aca="false">J8+J10+J24</f>
        <v>15884.6622490628</v>
      </c>
      <c r="K11" s="0" t="n">
        <f aca="false">K8+K10+K24</f>
        <v>16361.2021165347</v>
      </c>
      <c r="L11" s="0" t="n">
        <f aca="false">L8+L10+L24</f>
        <v>16852.0381800307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-4208.49</v>
      </c>
      <c r="D12" s="4" t="n">
        <f aca="false">-D6*Assumptions!D45/100</f>
        <v>-4503.0843</v>
      </c>
      <c r="E12" s="4" t="n">
        <f aca="false">-E6*Assumptions!E45/100</f>
        <v>-4773.269358</v>
      </c>
      <c r="F12" s="4" t="n">
        <f aca="false">-F6*Assumptions!F45/100</f>
        <v>-5011.9328259</v>
      </c>
      <c r="G12" s="4" t="n">
        <f aca="false">-G6*Assumptions!G45/100</f>
        <v>-5237.4698030655</v>
      </c>
      <c r="H12" s="4" t="n">
        <f aca="false">-H6*Assumptions!H45/100</f>
        <v>-5325.92484862839</v>
      </c>
      <c r="I12" s="4" t="n">
        <f aca="false">-I6*Assumptions!I45/100</f>
        <v>-5512.33221833038</v>
      </c>
      <c r="J12" s="4" t="n">
        <f aca="false">-J6*Assumptions!J45/100</f>
        <v>-5677.70218488029</v>
      </c>
      <c r="K12" s="4" t="n">
        <f aca="false">-K6*Assumptions!K45/100</f>
        <v>-5848.0332504267</v>
      </c>
      <c r="L12" s="4" t="n">
        <f aca="false">-L6*Assumptions!L45/100</f>
        <v>-6023.4742479395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4591.9302</v>
      </c>
      <c r="D13" s="0" t="n">
        <f aca="false">D11+D12</f>
        <v>5813.982174</v>
      </c>
      <c r="E13" s="0" t="n">
        <f aca="false">E11+E12</f>
        <v>7011.40232364</v>
      </c>
      <c r="F13" s="0" t="n">
        <f aca="false">F11+F12</f>
        <v>7918.853864922</v>
      </c>
      <c r="G13" s="0" t="n">
        <f aca="false">G11+G12</f>
        <v>8740.75516022709</v>
      </c>
      <c r="H13" s="0" t="n">
        <f aca="false">H11+H12</f>
        <v>9574.56035287512</v>
      </c>
      <c r="I13" s="0" t="n">
        <f aca="false">I11+I12</f>
        <v>9909.66996522575</v>
      </c>
      <c r="J13" s="0" t="n">
        <f aca="false">J11+J12</f>
        <v>10206.9600641825</v>
      </c>
      <c r="K13" s="0" t="n">
        <f aca="false">K11+K12</f>
        <v>10513.168866108</v>
      </c>
      <c r="L13" s="0" t="n">
        <f aca="false">L11+L12</f>
        <v>10828.5639320912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3489.866952</v>
      </c>
      <c r="D15" s="0" t="n">
        <f aca="false">D13-MAX(0,D13)*D14/100</f>
        <v>4418.62645224</v>
      </c>
      <c r="E15" s="0" t="n">
        <f aca="false">E13-MAX(0,E13)*E14/100</f>
        <v>5328.6657659664</v>
      </c>
      <c r="F15" s="0" t="n">
        <f aca="false">F13-MAX(0,F13)*F14/100</f>
        <v>6018.32893734072</v>
      </c>
      <c r="G15" s="0" t="n">
        <f aca="false">G13-MAX(0,G13)*G14/100</f>
        <v>6642.97392177259</v>
      </c>
      <c r="H15" s="0" t="n">
        <f aca="false">H13-MAX(0,H13)*H14/100</f>
        <v>7276.66586818509</v>
      </c>
      <c r="I15" s="0" t="n">
        <f aca="false">I13-MAX(0,I13)*I14/100</f>
        <v>7531.34917357157</v>
      </c>
      <c r="J15" s="0" t="n">
        <f aca="false">J13-MAX(0,J13)*J14/100</f>
        <v>7757.28964877872</v>
      </c>
      <c r="K15" s="0" t="n">
        <f aca="false">K13-MAX(0,K13)*K14/100</f>
        <v>7990.00833824208</v>
      </c>
      <c r="L15" s="0" t="n">
        <f aca="false">L13-MAX(0,L13)*L14/100</f>
        <v>8229.70858838934</v>
      </c>
    </row>
    <row r="16" customFormat="false" ht="15" hidden="false" customHeight="false" outlineLevel="0" collapsed="false">
      <c r="A16" s="0" t="s">
        <v>128</v>
      </c>
      <c r="C16" s="0" t="n">
        <f aca="false">-C12</f>
        <v>4208.49</v>
      </c>
      <c r="D16" s="0" t="n">
        <f aca="false">-D12</f>
        <v>4503.0843</v>
      </c>
      <c r="E16" s="0" t="n">
        <f aca="false">-E12</f>
        <v>4773.269358</v>
      </c>
      <c r="F16" s="0" t="n">
        <f aca="false">-F12</f>
        <v>5011.9328259</v>
      </c>
      <c r="G16" s="0" t="n">
        <f aca="false">-G12</f>
        <v>5237.4698030655</v>
      </c>
      <c r="H16" s="0" t="n">
        <f aca="false">-H12</f>
        <v>5325.92484862839</v>
      </c>
      <c r="I16" s="0" t="n">
        <f aca="false">-I12</f>
        <v>5512.33221833038</v>
      </c>
      <c r="J16" s="0" t="n">
        <f aca="false">-J12</f>
        <v>5677.70218488029</v>
      </c>
      <c r="K16" s="0" t="n">
        <f aca="false">-K12</f>
        <v>5848.0332504267</v>
      </c>
      <c r="L16" s="0" t="n">
        <f aca="false">-L12</f>
        <v>6023.4742479395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-3740.88</v>
      </c>
      <c r="D17" s="4" t="n">
        <f aca="false">-D6*Assumptions!D46/100</f>
        <v>-4202.87868</v>
      </c>
      <c r="E17" s="4" t="n">
        <f aca="false">-E6*Assumptions!E46/100</f>
        <v>-4561.1240532</v>
      </c>
      <c r="F17" s="4" t="n">
        <f aca="false">-F6*Assumptions!F46/100</f>
        <v>-4900.55654088</v>
      </c>
      <c r="G17" s="4" t="n">
        <f aca="false">-G6*Assumptions!G46/100</f>
        <v>-5121.0815852196</v>
      </c>
      <c r="H17" s="4" t="n">
        <f aca="false">-H6*Assumptions!H46/100</f>
        <v>-5325.92484862839</v>
      </c>
      <c r="I17" s="4" t="n">
        <f aca="false">-I6*Assumptions!I46/100</f>
        <v>-5512.33221833038</v>
      </c>
      <c r="J17" s="4" t="n">
        <f aca="false">-J6*Assumptions!J46/100</f>
        <v>-5677.70218488029</v>
      </c>
      <c r="K17" s="4" t="n">
        <f aca="false">-K6*Assumptions!K46/100</f>
        <v>-5848.0332504267</v>
      </c>
      <c r="L17" s="4" t="n">
        <f aca="false">-L6*Assumptions!L46/100</f>
        <v>-6023.4742479395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-231.66</v>
      </c>
      <c r="D18" s="4" t="n">
        <f aca="false">(D6-C6)*Assumptions!$B$51/100</f>
        <v>-196.3962</v>
      </c>
      <c r="E18" s="4" t="n">
        <f aca="false">(E6-D6)*Assumptions!$B$51/100</f>
        <v>-180.123372</v>
      </c>
      <c r="F18" s="4" t="n">
        <f aca="false">(F6-E6)*Assumptions!$B$51/100</f>
        <v>-159.1089786</v>
      </c>
      <c r="G18" s="4" t="n">
        <f aca="false">(G6-F6)*Assumptions!$B$51/100</f>
        <v>-150.357984777</v>
      </c>
      <c r="H18" s="4" t="n">
        <f aca="false">(H6-G6)*Assumptions!$B$51/100</f>
        <v>-139.66586141508</v>
      </c>
      <c r="I18" s="4" t="n">
        <f aca="false">(I6-H6)*Assumptions!$B$51/100</f>
        <v>-127.095933887722</v>
      </c>
      <c r="J18" s="4" t="n">
        <f aca="false">(J6-I6)*Assumptions!$B$51/100</f>
        <v>-112.752249920394</v>
      </c>
      <c r="K18" s="4" t="n">
        <f aca="false">(K6-J6)*Assumptions!$B$51/100</f>
        <v>-116.134817418006</v>
      </c>
      <c r="L18" s="4" t="n">
        <f aca="false">(L6-K6)*Assumptions!$B$51/100</f>
        <v>-119.618861940546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3725.816952</v>
      </c>
      <c r="D19" s="0" t="n">
        <f aca="false">D15+D16+D17+D18</f>
        <v>4522.43587224</v>
      </c>
      <c r="E19" s="0" t="n">
        <f aca="false">E15+E16+E17+E18</f>
        <v>5360.6876987664</v>
      </c>
      <c r="F19" s="0" t="n">
        <f aca="false">F15+F16+F17+F18</f>
        <v>5970.59624376072</v>
      </c>
      <c r="G19" s="0" t="n">
        <f aca="false">G15+G16+G17+G18</f>
        <v>6609.00415484149</v>
      </c>
      <c r="H19" s="0" t="n">
        <f aca="false">H15+H16+H17+H18</f>
        <v>7137.00000677001</v>
      </c>
      <c r="I19" s="0" t="n">
        <f aca="false">I15+I16+I17+I18</f>
        <v>7404.25323968384</v>
      </c>
      <c r="J19" s="0" t="n">
        <f aca="false">J15+J16+J17+J18</f>
        <v>7644.53739885832</v>
      </c>
      <c r="K19" s="0" t="n">
        <f aca="false">K15+K16+K17+K18</f>
        <v>7873.87352082407</v>
      </c>
      <c r="L19" s="0" t="n">
        <f aca="false">L15+L16+L17+L18</f>
        <v>8110.0897264488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3433.93267465438</v>
      </c>
      <c r="D21" s="0" t="n">
        <f aca="false">D19*D20</f>
        <v>3841.60706087621</v>
      </c>
      <c r="E21" s="0" t="n">
        <f aca="false">E19*E20</f>
        <v>4196.92581252221</v>
      </c>
      <c r="F21" s="0" t="n">
        <f aca="false">F19*F20</f>
        <v>4308.22871124457</v>
      </c>
      <c r="G21" s="0" t="n">
        <f aca="false">G19*G20</f>
        <v>4395.28796567159</v>
      </c>
      <c r="H21" s="0" t="n">
        <f aca="false">H19*H20</f>
        <v>4374.5891156792</v>
      </c>
      <c r="I21" s="0" t="n">
        <f aca="false">I19*I20</f>
        <v>4182.85776289182</v>
      </c>
      <c r="J21" s="0" t="n">
        <f aca="false">J19*J20</f>
        <v>3980.27706551405</v>
      </c>
      <c r="K21" s="0" t="n">
        <f aca="false">K19*K20</f>
        <v>3778.51186864468</v>
      </c>
      <c r="L21" s="0" t="n">
        <f aca="false">L19*L20</f>
        <v>3586.97440064887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40079.1924383476</v>
      </c>
    </row>
    <row r="31" customFormat="false" ht="15" hidden="false" customHeight="false" outlineLevel="0" collapsed="false">
      <c r="A31" s="0" t="s">
        <v>137</v>
      </c>
      <c r="B31" s="0" t="n">
        <f aca="false">L19</f>
        <v>8110.0897264488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151879.862149859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121651.345896732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121651.345896732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53804.616009733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93883.8084480806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88993.8084480806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372.359031163517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0.302637856090666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1422.14266670162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2154.39402425465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387.323619828606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69611.6034853522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174.944227002942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149.672685470313</v>
      </c>
      <c r="C4" s="0" t="n">
        <f aca="false">B4/Assumptions!$B$2-1</f>
        <v>-0.476394313554964</v>
      </c>
      <c r="D4" s="4" t="n">
        <f aca="false">Assumptions!$B$24</f>
        <v>0.25</v>
      </c>
      <c r="E4" s="4" t="n">
        <f aca="false">DCF_Bear!$B$43</f>
        <v>159.985948646578</v>
      </c>
      <c r="F4" s="4" t="n">
        <f aca="false">DCF_Bear!$B$47</f>
        <v>66.9167667980042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267.716040971014</v>
      </c>
      <c r="C5" s="0" t="n">
        <f aca="false">B5/Assumptions!$B$2-1</f>
        <v>-0.063438723207929</v>
      </c>
      <c r="D5" s="4" t="n">
        <f aca="false">Assumptions!$B$38</f>
        <v>0.5</v>
      </c>
      <c r="E5" s="4" t="n">
        <f aca="false">DCF_Base!$B$43</f>
        <v>280.60570342274</v>
      </c>
      <c r="F5" s="4" t="n">
        <f aca="false">DCF_Base!$B$47</f>
        <v>123.905993003923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372.359031163517</v>
      </c>
      <c r="C6" s="0" t="n">
        <f aca="false">B6/Assumptions!$B$2-1</f>
        <v>0.302637856090666</v>
      </c>
      <c r="D6" s="4" t="n">
        <f aca="false">Assumptions!$B$52</f>
        <v>0.25</v>
      </c>
      <c r="E6" s="4" t="n">
        <f aca="false">DCF_Bull!$B$43</f>
        <v>387.323619828606</v>
      </c>
      <c r="F6" s="4" t="n">
        <f aca="false">DCF_Bull!$B$47</f>
        <v>174.944227002942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264.365949643964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277.130243830166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-0.0812663294383009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168.313657164533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122.418244952198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267.716040971014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257.458204917581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225.900517573133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195.819507583331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172.110268777714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123.905993003923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313.879095712803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313.879095712803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313.879095712803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313.879095712803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313.879095712803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289.716050541523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289.716050541523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289.716050541523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289.716050541523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289.716050541523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262.380900088997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267.716040971014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267.716040971014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267.716040971014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267.716040971014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225.149478106883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234.032586284871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244.184709916857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247.661464585346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247.661464585346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196.271976100032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202.691773707467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209.914046015832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218.099287965313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227.453850193291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2026-09-28T08:14:37Z</dcterms:created>
  <dc:creator>openpyxl</dc:creator>
  <dc:description/>
  <dc:language>en-NZ</dc:language>
  <cp:lastModifiedBy/>
  <dcterms:modified xsi:type="dcterms:W3CDTF">2026-09-28T08:14:37Z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