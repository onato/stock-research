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"/>
    <numFmt numFmtId="166" formatCode="#,##0.000"/>
    <numFmt numFmtId="167" formatCode="$#,##0.00;($#,##0.00)"/>
    <numFmt numFmtId="168" formatCode="0.0000"/>
    <numFmt numFmtId="169" formatCode="0.0x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0" fontId="0" fillId="0" borderId="0" applyAlignment="1" pivotButton="0" quotePrefix="0" xfId="0">
      <alignment vertical="top" wrapText="1"/>
    </xf>
    <xf numFmtId="165" fontId="2" fillId="2" borderId="0" pivotButton="0" quotePrefix="0" xfId="0"/>
    <xf numFmtId="164" fontId="3" fillId="0" borderId="0" pivotButton="0" quotePrefix="0" xfId="0"/>
    <xf numFmtId="164" fontId="0" fillId="0" borderId="0" pivotButton="0" quotePrefix="0" xfId="0"/>
    <xf numFmtId="10" fontId="2" fillId="2" borderId="0" pivotButton="0" quotePrefix="0" xfId="0"/>
    <xf numFmtId="164" fontId="1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9" fontId="0" fillId="0" borderId="0" pivotButton="0" quotePrefix="0" xfId="0"/>
    <xf numFmtId="166" fontId="3" fillId="0" borderId="0" pivotButton="0" quotePrefix="0" xfId="0"/>
    <xf numFmtId="167" fontId="1" fillId="3" borderId="0" pivotButton="0" quotePrefix="0" xfId="0"/>
    <xf numFmtId="167" fontId="0" fillId="0" borderId="0" pivotButton="0" quotePrefix="0" xfId="0"/>
    <xf numFmtId="0" fontId="3" fillId="0" borderId="0" pivotButton="0" quotePrefix="0" xfId="0"/>
    <xf numFmtId="167" fontId="3" fillId="0" borderId="0" pivotButton="0" quotePrefix="0" xfId="0"/>
    <xf numFmtId="167" fontId="1" fillId="0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AGL Energy Limited (ASX: AGL.AX) - owner-FCF DCF model</t>
        </is>
      </c>
    </row>
    <row r="2">
      <c r="A2" t="inlineStr">
        <is>
          <t>Version 1.0, fresh build 2026-09-21. Supersedes nothing (first valuation of this ticker).</t>
        </is>
      </c>
    </row>
    <row r="3">
      <c r="A3" t="inlineStr">
        <is>
          <t>Built by the dcf-analyst agent (Claude Fable 5.1) on 2026-09-21 at the request of the research-stock orchestrator.</t>
        </is>
      </c>
    </row>
    <row r="4">
      <c r="A4" t="inlineStr"/>
    </row>
    <row r="5">
      <c r="A5" s="1" t="inlineStr">
        <is>
          <t>DATA VINTAGE - these figures go stale; refresh after each result</t>
        </is>
      </c>
    </row>
    <row r="6">
      <c r="A6" t="inlineStr">
        <is>
          <t>Price: A$8.45 as of 2026-09-21T06:10:31Z (16:10 AEST regular close, Yahoo AGL.AX)</t>
        </is>
      </c>
    </row>
    <row r="7">
      <c r="A7" t="inlineStr">
        <is>
          <t>Balance sheet: 30 June 2026 (FY26 Annual Report). Borrowings 2,976, cash 325, net debt 2651; lease liabilities 1,058 excluded (treatment B).</t>
        </is>
      </c>
    </row>
    <row r="8">
      <c r="A8" t="inlineStr">
        <is>
          <t>Diluted shares: 673.673m (FY26 AR note 24). Held flat - SBC is expensed in the flows.</t>
        </is>
      </c>
    </row>
    <row r="9">
      <c r="A9" t="inlineStr">
        <is>
          <t>Guidance: FY27 Underlying EBITDA $1.9-2.2bn, Underlying NPAT $470-670m, capex ~$1.5bn (12 Aug 2026 results release).</t>
        </is>
      </c>
    </row>
    <row r="10">
      <c r="A10" t="inlineStr"/>
    </row>
    <row r="11">
      <c r="A11" s="1" t="inlineStr">
        <is>
          <t>METHODOLOGY</t>
        </is>
      </c>
    </row>
    <row r="12">
      <c r="A12" t="inlineStr">
        <is>
          <t>Model: owner-FCF component DCF, 10-year horizon (FY27-FY36), Gordon/14x-cap terminal, 8.0% AUD WACC, end-of-year discounting. Routed via dcf-methods: operating company, non-US, cyclical (section 7).</t>
        </is>
      </c>
    </row>
    <row r="13">
      <c r="A13" t="inlineStr">
        <is>
          <t>EBITDA margin driver is the CASH-ADJUSTED POST-LEASE margin: Underlying EBITDA less rehabilitation, onerous-contract, significant-items and lease (principal+interest) cash. FY26: (2,100-87-65-173-159)/13,590 = 11.9%.</t>
        </is>
      </c>
    </row>
    <row r="14">
      <c r="A14" t="inlineStr">
        <is>
          <t>Leases: treatment (B) - full lease cash charged in the flows, lease liabilities excluded from net debt, D&amp;A ex right-of-use depreciation.</t>
        </is>
      </c>
    </row>
    <row r="15">
      <c r="A15" t="inlineStr">
        <is>
          <t>Capex: total (sustaining + growth) as % of revenue, tapering from FY27 guidance (11.0%) to 6.5% by FY36 as the 12GW build-out completes. Per-year driver row, not a global.</t>
        </is>
      </c>
    </row>
    <row r="16">
      <c r="A16" t="inlineStr">
        <is>
          <t>D&amp;A: per-year driver row rising 5.6% -&gt; 6.5% of revenue; affects only the cash-tax shield. Deviation from the standard row map: D&amp;A% and capex% are driver rows on each DCF tab rather than Assumptions globals, because the taper is the model.</t>
        </is>
      </c>
    </row>
    <row r="17">
      <c r="A17" t="inlineStr">
        <is>
          <t>Cash tax: ramps 18% -&gt; 30% (Australian statutory) as accelerated depreciation on the build-out unwinds; tax = MAX(0, EBIT) x rate.</t>
        </is>
      </c>
    </row>
    <row r="18">
      <c r="A18" t="inlineStr">
        <is>
          <t>SBC: 0.06% of revenue, kept explicit; street memo adds it back. House/street band is ~2% of price - band position reported as n/a.</t>
        </is>
      </c>
    </row>
    <row r="19">
      <c r="A19" t="inlineStr">
        <is>
          <t>Interest income ($12m) not stripped: AGL is net-debt, no cash pile is added to EV.</t>
        </is>
      </c>
    </row>
    <row r="20">
      <c r="A20" t="inlineStr">
        <is>
          <t>Terminal value = MAX(0, MIN(Gordon, 14 x FCF_10)). The cap binds in all three scenarios at 8% WACC.</t>
        </is>
      </c>
    </row>
    <row r="21">
      <c r="A21" t="inlineStr">
        <is>
          <t>Entry price and required-return table rebuild the terminal value at each row's own rate (min(Gordon@r, cap)).</t>
        </is>
      </c>
    </row>
    <row r="22">
      <c r="A22" t="inlineStr">
        <is>
          <t>Risk charged once: same WACC in all scenarios; cyclicality and coal-closure risk live in the scenario flows and the 25% bear weight.</t>
        </is>
      </c>
    </row>
    <row r="23">
      <c r="A23" t="inlineStr"/>
    </row>
    <row r="24">
      <c r="A24" t="inlineStr">
        <is>
          <t>SCENARIO DRIVERS are the dcf-analyst agent's judgment, set 2026-09-21 from FY27 guidance, the 10-yr underlying EBITDA margin average (14.7%) and the Analysis JSON bull/bear axes. See Assumptions tab for narratives.</t>
        </is>
      </c>
    </row>
    <row r="25">
      <c r="A25" t="inlineStr">
        <is>
          <t>REFRESH after the next print: price + timestamp, net debt + balance-sheet date, diluted shares, FY27 actuals vs guidance, FY28 guidance, capex phasing.</t>
        </is>
      </c>
    </row>
    <row r="26">
      <c r="A26" t="inlineStr"/>
    </row>
    <row r="27">
      <c r="A27" t="inlineStr">
        <is>
          <t>CELL COLOURS: blue = hardcoded input; yellow fill = key driver row; black = formula; green = cross-sheet link; green fill = value per share.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8" customWidth="1" min="5" max="5"/>
    <col width="10" customWidth="1" min="6" max="6"/>
    <col width="20" customWidth="1" min="7" max="7"/>
    <col width="8" customWidth="1" min="8" max="8"/>
    <col width="22" customWidth="1" min="9" max="9"/>
    <col width="14" customWidth="1" min="10" max="10"/>
    <col width="18" customWidth="1" min="11" max="11"/>
    <col width="14" customWidth="1" min="12" max="12"/>
    <col width="20" customWidth="1" min="13" max="13"/>
  </cols>
  <sheetData>
    <row r="1">
      <c r="A1" t="inlineStr">
        <is>
          <t>Reported history, AUD millions. Source: AGL annual reports FY16-FY26 (Metrics.csv / core_metrics); underlying EBITDA from the five-year summaries; lease principal disclosed separately only from FY25.</t>
        </is>
      </c>
    </row>
    <row r="2">
      <c r="A2" t="inlineStr">
        <is>
          <t>FY</t>
        </is>
      </c>
      <c r="B2" t="inlineStr">
        <is>
          <t>Revenue</t>
        </is>
      </c>
      <c r="C2" t="inlineStr">
        <is>
          <t>Underlying EBITDA</t>
        </is>
      </c>
      <c r="D2" t="inlineStr">
        <is>
          <t>D&amp;A</t>
        </is>
      </c>
      <c r="E2" t="inlineStr">
        <is>
          <t>Operating cash flow</t>
        </is>
      </c>
      <c r="F2" t="inlineStr">
        <is>
          <t>Capex</t>
        </is>
      </c>
      <c r="G2" t="inlineStr">
        <is>
          <t>Reported FCF (OCF-capex)</t>
        </is>
      </c>
      <c r="H2" t="inlineStr">
        <is>
          <t>SBC</t>
        </is>
      </c>
      <c r="I2" t="inlineStr">
        <is>
          <t>Lease principal (financing)</t>
        </is>
      </c>
      <c r="J2" t="inlineStr">
        <is>
          <t>Cash taxes paid</t>
        </is>
      </c>
      <c r="K2" t="inlineStr">
        <is>
          <t>Shareholders equity</t>
        </is>
      </c>
      <c r="L2" t="inlineStr">
        <is>
          <t>Statutory NPAT</t>
        </is>
      </c>
      <c r="M2" t="inlineStr">
        <is>
          <t>Underlying EBITDA margin</t>
        </is>
      </c>
    </row>
    <row r="3">
      <c r="A3" t="n">
        <v>2016</v>
      </c>
      <c r="B3" s="2" t="n">
        <v>11150</v>
      </c>
      <c r="C3" s="2" t="n">
        <v>1689</v>
      </c>
      <c r="D3" s="2" t="n">
        <v>478</v>
      </c>
      <c r="E3" s="2" t="n">
        <v>1186</v>
      </c>
      <c r="F3" s="2" t="n">
        <v>546</v>
      </c>
      <c r="G3" s="2" t="n">
        <v>640</v>
      </c>
      <c r="H3" s="2" t="n">
        <v>0</v>
      </c>
      <c r="I3" s="2" t="n">
        <v>0</v>
      </c>
      <c r="J3" s="2" t="n">
        <v>166</v>
      </c>
      <c r="K3" s="2" t="n">
        <v>7926</v>
      </c>
      <c r="L3" s="2" t="n">
        <v>-407</v>
      </c>
      <c r="M3" s="3">
        <f>C3/B3</f>
        <v/>
      </c>
    </row>
    <row r="4">
      <c r="A4" t="n">
        <v>2017</v>
      </c>
      <c r="B4" s="2" t="n">
        <v>12584</v>
      </c>
      <c r="C4" s="2" t="n">
        <v>1852</v>
      </c>
      <c r="D4" s="2" t="n">
        <v>484</v>
      </c>
      <c r="E4" s="2" t="n">
        <v>891</v>
      </c>
      <c r="F4" s="2" t="n">
        <v>504</v>
      </c>
      <c r="G4" s="2" t="n">
        <v>387</v>
      </c>
      <c r="H4" s="2" t="n">
        <v>0</v>
      </c>
      <c r="I4" s="2" t="n">
        <v>0</v>
      </c>
      <c r="J4" s="2" t="n">
        <v>292</v>
      </c>
      <c r="K4" s="2" t="n">
        <v>7574</v>
      </c>
      <c r="L4" s="2" t="n">
        <v>539</v>
      </c>
      <c r="M4" s="3">
        <f>C4/B4</f>
        <v/>
      </c>
    </row>
    <row r="5">
      <c r="A5" t="n">
        <v>2018</v>
      </c>
      <c r="B5" s="2" t="n">
        <v>12816</v>
      </c>
      <c r="C5" s="2" t="n">
        <v>2226</v>
      </c>
      <c r="D5" s="2" t="n">
        <v>558</v>
      </c>
      <c r="E5" s="2" t="n">
        <v>2134</v>
      </c>
      <c r="F5" s="2" t="n">
        <v>720</v>
      </c>
      <c r="G5" s="2" t="n">
        <v>1414</v>
      </c>
      <c r="H5" s="2" t="n">
        <v>6</v>
      </c>
      <c r="I5" s="2" t="n">
        <v>0</v>
      </c>
      <c r="J5" s="2" t="n">
        <v>159</v>
      </c>
      <c r="K5" s="2" t="n">
        <v>8390</v>
      </c>
      <c r="L5" s="2" t="n">
        <v>1587</v>
      </c>
      <c r="M5" s="3">
        <f>C5/B5</f>
        <v/>
      </c>
    </row>
    <row r="6">
      <c r="A6" t="n">
        <v>2019</v>
      </c>
      <c r="B6" s="2" t="n">
        <v>13246</v>
      </c>
      <c r="C6" s="2" t="n">
        <v>2236</v>
      </c>
      <c r="D6" s="2" t="n">
        <v>625</v>
      </c>
      <c r="E6" s="2" t="n">
        <v>1599</v>
      </c>
      <c r="F6" s="2" t="n">
        <v>915</v>
      </c>
      <c r="G6" s="2" t="n">
        <v>684</v>
      </c>
      <c r="H6" s="2" t="n">
        <v>6</v>
      </c>
      <c r="I6" s="2" t="n">
        <v>0</v>
      </c>
      <c r="J6" s="2" t="n">
        <v>263</v>
      </c>
      <c r="K6" s="2" t="n">
        <v>8438</v>
      </c>
      <c r="L6" s="2" t="n">
        <v>905</v>
      </c>
      <c r="M6" s="3">
        <f>C6/B6</f>
        <v/>
      </c>
    </row>
    <row r="7">
      <c r="A7" t="n">
        <v>2020</v>
      </c>
      <c r="B7" s="2" t="n">
        <v>12160</v>
      </c>
      <c r="C7" s="2" t="n">
        <v>2026</v>
      </c>
      <c r="D7" s="2" t="n">
        <v>753</v>
      </c>
      <c r="E7" s="2" t="n">
        <v>2156</v>
      </c>
      <c r="F7" s="2" t="n">
        <v>758</v>
      </c>
      <c r="G7" s="2" t="n">
        <v>1398</v>
      </c>
      <c r="H7" s="2" t="n">
        <v>9</v>
      </c>
      <c r="I7" s="2" t="n">
        <v>0</v>
      </c>
      <c r="J7" s="2" t="n">
        <v>233</v>
      </c>
      <c r="K7" s="2" t="n">
        <v>8075</v>
      </c>
      <c r="L7" s="2" t="n">
        <v>1015</v>
      </c>
      <c r="M7" s="3">
        <f>C7/B7</f>
        <v/>
      </c>
    </row>
    <row r="8">
      <c r="A8" t="n">
        <v>2021</v>
      </c>
      <c r="B8" s="2" t="n">
        <v>10942</v>
      </c>
      <c r="C8" s="2" t="n">
        <v>1666</v>
      </c>
      <c r="D8" s="2" t="n">
        <v>707</v>
      </c>
      <c r="E8" s="2" t="n">
        <v>1250</v>
      </c>
      <c r="F8" s="2" t="n">
        <v>695</v>
      </c>
      <c r="G8" s="2" t="n">
        <v>555</v>
      </c>
      <c r="H8" s="2" t="n">
        <v>9</v>
      </c>
      <c r="I8" s="2" t="n">
        <v>0</v>
      </c>
      <c r="J8" s="2" t="n">
        <v>114</v>
      </c>
      <c r="K8" s="2" t="n">
        <v>5506</v>
      </c>
      <c r="L8" s="2" t="n">
        <v>-2059</v>
      </c>
      <c r="M8" s="3">
        <f>C8/B8</f>
        <v/>
      </c>
    </row>
    <row r="9">
      <c r="A9" t="n">
        <v>2022</v>
      </c>
      <c r="B9" s="2" t="n">
        <v>13221</v>
      </c>
      <c r="C9" s="2" t="n">
        <v>1218</v>
      </c>
      <c r="D9" s="2" t="n">
        <v>717</v>
      </c>
      <c r="E9" s="2" t="n">
        <v>1227</v>
      </c>
      <c r="F9" s="2" t="n">
        <v>636</v>
      </c>
      <c r="G9" s="2" t="n">
        <v>591</v>
      </c>
      <c r="H9" s="2" t="n">
        <v>1</v>
      </c>
      <c r="I9" s="2" t="n">
        <v>0</v>
      </c>
      <c r="J9" s="2" t="n">
        <v>0</v>
      </c>
      <c r="K9" s="2" t="n">
        <v>6517</v>
      </c>
      <c r="L9" s="2" t="n">
        <v>853</v>
      </c>
      <c r="M9" s="3">
        <f>C9/B9</f>
        <v/>
      </c>
    </row>
    <row r="10">
      <c r="A10" t="n">
        <v>2023</v>
      </c>
      <c r="B10" s="2" t="n">
        <v>14157</v>
      </c>
      <c r="C10" s="2" t="n">
        <v>1361</v>
      </c>
      <c r="D10" s="2" t="n">
        <v>728</v>
      </c>
      <c r="E10" s="2" t="n">
        <v>912</v>
      </c>
      <c r="F10" s="2" t="n">
        <v>624</v>
      </c>
      <c r="G10" s="2" t="n">
        <v>288</v>
      </c>
      <c r="H10" s="2" t="n">
        <v>1</v>
      </c>
      <c r="I10" s="2" t="n">
        <v>0</v>
      </c>
      <c r="J10" s="2" t="n">
        <v>-1</v>
      </c>
      <c r="K10" s="2" t="n">
        <v>5119</v>
      </c>
      <c r="L10" s="2" t="n">
        <v>-1270</v>
      </c>
      <c r="M10" s="3">
        <f>C10/B10</f>
        <v/>
      </c>
    </row>
    <row r="11">
      <c r="A11" t="n">
        <v>2024</v>
      </c>
      <c r="B11" s="2" t="n">
        <v>13583</v>
      </c>
      <c r="C11" s="2" t="n">
        <v>2216</v>
      </c>
      <c r="D11" s="2" t="n">
        <v>747</v>
      </c>
      <c r="E11" s="2" t="n">
        <v>2240</v>
      </c>
      <c r="F11" s="2" t="n">
        <v>838</v>
      </c>
      <c r="G11" s="2" t="n">
        <v>1402</v>
      </c>
      <c r="H11" s="2" t="n">
        <v>4</v>
      </c>
      <c r="I11" s="2" t="n">
        <v>0</v>
      </c>
      <c r="J11" s="2" t="n">
        <v>4</v>
      </c>
      <c r="K11" s="2" t="n">
        <v>5431</v>
      </c>
      <c r="L11" s="2" t="n">
        <v>703</v>
      </c>
      <c r="M11" s="3">
        <f>C11/B11</f>
        <v/>
      </c>
    </row>
    <row r="12">
      <c r="A12" t="n">
        <v>2025</v>
      </c>
      <c r="B12" s="2" t="n">
        <v>14393</v>
      </c>
      <c r="C12" s="2" t="n">
        <v>2055</v>
      </c>
      <c r="D12" s="2" t="n">
        <v>803</v>
      </c>
      <c r="E12" s="2" t="n">
        <v>841</v>
      </c>
      <c r="F12" s="2" t="n">
        <v>1125</v>
      </c>
      <c r="G12" s="2" t="n">
        <v>-284</v>
      </c>
      <c r="H12" s="2" t="n">
        <v>8</v>
      </c>
      <c r="I12" s="2" t="n">
        <v>75</v>
      </c>
      <c r="J12" s="2" t="n">
        <v>268</v>
      </c>
      <c r="K12" s="2" t="n">
        <v>4858</v>
      </c>
      <c r="L12" s="2" t="n">
        <v>-98</v>
      </c>
      <c r="M12" s="3">
        <f>C12/B12</f>
        <v/>
      </c>
    </row>
    <row r="13">
      <c r="A13" t="n">
        <v>2026</v>
      </c>
      <c r="B13" s="2" t="n">
        <v>13590</v>
      </c>
      <c r="C13" s="2" t="n">
        <v>2100</v>
      </c>
      <c r="D13" s="2" t="n">
        <v>837</v>
      </c>
      <c r="E13" s="2" t="n">
        <v>1148</v>
      </c>
      <c r="F13" s="2" t="n">
        <v>1438</v>
      </c>
      <c r="G13" s="2" t="n">
        <v>-290</v>
      </c>
      <c r="H13" s="2" t="n">
        <v>8</v>
      </c>
      <c r="I13" s="2" t="n">
        <v>88</v>
      </c>
      <c r="J13" s="2" t="n">
        <v>126</v>
      </c>
      <c r="K13" s="2" t="n">
        <v>5276</v>
      </c>
      <c r="L13" s="2" t="n">
        <v>756</v>
      </c>
      <c r="M13" s="3">
        <f>C13/B13</f>
        <v/>
      </c>
    </row>
    <row r="15">
      <c r="A15" t="inlineStr">
        <is>
          <t>Balance sheet 30 Jun 2026: borrowings 2,976 (65 current + 2,911 non-current); cash 325; lease liabilities 1,058 (109 current + 949 non-current, ~850 are restated PPAs); provisions 2,469 (471 current + 1,998 non-current, incl. rehabilitation).</t>
        </is>
      </c>
    </row>
    <row r="16">
      <c r="A16" t="inlineStr">
        <is>
          <t>Shares: 672,747,233 basic; 673,673,090 diluted (note 24). No buyback since FY20; DRP last operated FY22. FY26 dividends paid 329; FY26 DPS 50c fully franked (53.3% payout).</t>
        </is>
      </c>
    </row>
    <row r="17">
      <c r="A17" t="inlineStr">
        <is>
          <t>FY27 guidance (12 Aug 2026): Underlying EBITDA 1,900-2,200; Underlying NPAT 470-670; capex ~800 growth + ~700 sustaining (incl ~500 for two major coal-unit outages); payout 55-60%; $50m cost program.</t>
        </is>
      </c>
    </row>
    <row r="18">
      <c r="A18" t="inlineStr">
        <is>
          <t>FY26 EBITDA-to-cash leakage (excluded from Underlying EBITDA, inside OCF): rehabilitation 87; onerous contracts 65; significant items cash 173; lease interest 71 (operating) + lease principal 88 (financing); margin calls 209 (timing).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0" customWidth="1" min="4" max="4"/>
  </cols>
  <sheetData>
    <row r="1">
      <c r="A1" s="1" t="inlineStr">
        <is>
          <t>Global assumptions (blue = input)</t>
        </is>
      </c>
    </row>
    <row r="3">
      <c r="A3" t="inlineStr">
        <is>
          <t>WACC</t>
        </is>
      </c>
      <c r="B3" s="4" t="n">
        <v>0.08</v>
      </c>
      <c r="C3" t="inlineStr">
        <is>
          <t>AUD-built: Rf 4.3% + 1.0 beta x 5.5% ERP = 9.8% CoE; Kd 5.8% pre-tax; 68/32 market weights -&gt; 7.97%. Same in all scenarios (risk charged once).</t>
        </is>
      </c>
    </row>
    <row r="4">
      <c r="A4" t="inlineStr">
        <is>
          <t>Working-capital capture on revenue change</t>
        </is>
      </c>
      <c r="B4" s="4" t="n">
        <v>-0.05</v>
      </c>
      <c r="C4" t="inlineStr">
        <is>
          <t>Negative: growth consumes a little cash (receivables + inventory roughly net of payables). Margin calls excluded as timing.</t>
        </is>
      </c>
    </row>
    <row r="5">
      <c r="A5" t="inlineStr">
        <is>
          <t>Net debt (AUD m), 30 Jun 2026</t>
        </is>
      </c>
      <c r="B5" s="2" t="n">
        <v>2651</v>
      </c>
      <c r="C5" t="inlineStr">
        <is>
          <t>Borrowings 2,976 less cash 325. Lease liabilities 1,058 excluded (treatment B).</t>
        </is>
      </c>
    </row>
    <row r="6">
      <c r="A6" t="inlineStr">
        <is>
          <t>Diluted shares (m)</t>
        </is>
      </c>
      <c r="B6" s="5" t="n">
        <v>673.673</v>
      </c>
      <c r="C6" t="inlineStr">
        <is>
          <t>FY26 AR note 24. Held flat.</t>
        </is>
      </c>
    </row>
    <row r="7">
      <c r="A7" t="inlineStr">
        <is>
          <t>Share price (AUD)</t>
        </is>
      </c>
      <c r="B7" s="6" t="n">
        <v>8.449999999999999</v>
      </c>
      <c r="C7" t="inlineStr">
        <is>
          <t>2026-09-21T06:10:31Z (16:10 AEST regular close, Yahoo AGL.AX)</t>
        </is>
      </c>
    </row>
    <row r="8">
      <c r="A8" t="inlineStr">
        <is>
          <t>Terminal FCF cap multiple (x)</t>
        </is>
      </c>
      <c r="B8" s="7" t="n">
        <v>14</v>
      </c>
      <c r="C8" t="inlineStr">
        <is>
          <t>12-15x range for cyclical / structurally slower businesses; coal-closure tail.</t>
        </is>
      </c>
    </row>
    <row r="9">
      <c r="A9" t="inlineStr">
        <is>
          <t>FY26 revenue (AUD m)</t>
        </is>
      </c>
      <c r="B9" s="2" t="n">
        <v>13590</v>
      </c>
      <c r="C9" t="inlineStr">
        <is>
          <t>FY0 base.</t>
        </is>
      </c>
    </row>
    <row r="10">
      <c r="A10" t="inlineStr">
        <is>
          <t>Hurdle rate for entry price</t>
        </is>
      </c>
      <c r="B10" s="4" t="n">
        <v>0.15</v>
      </c>
      <c r="C10" t="inlineStr">
        <is>
          <t>House 15% IRR; TV rebuilt at the hurdle.</t>
        </is>
      </c>
    </row>
    <row r="12">
      <c r="A12" s="1" t="inlineStr">
        <is>
          <t>Scenario</t>
        </is>
      </c>
      <c r="B12" s="1" t="inlineStr">
        <is>
          <t>Terminal growth</t>
        </is>
      </c>
      <c r="C12" s="1" t="inlineStr">
        <is>
          <t>Probability weight</t>
        </is>
      </c>
      <c r="D12" s="1" t="inlineStr">
        <is>
          <t>Narrative</t>
        </is>
      </c>
    </row>
    <row r="13">
      <c r="A13" t="inlineStr">
        <is>
          <t>Bear</t>
        </is>
      </c>
      <c r="B13" s="4" t="n">
        <v>0.01</v>
      </c>
      <c r="C13" s="4" t="n">
        <v>0.25</v>
      </c>
      <c r="D13" s="8" t="inlineStr">
        <is>
          <t>New renewable supply and strong plant reliability push wholesale prices down 20%+ and volatility stays suppressed; tier-2 retailers keep taking share (NEM switching 24.4%), so revenue falls 3% in FY27 and drifts up only 1%/yr. Underlying margin compresses to ~12-13% and rehabilitation/closure cash rises as Bayswater and Loy Yang A retire, leaving a 9% cash-adjusted margin. Management trims growth capex but the coal outages and committed projects keep capex above 7% of revenue until FY33. Owner FCF is negative for four years and barely positive at the terminal; with $2.65bn of net debt the equity is worth less than zero on this path - i.e. the bear case requires an equity raise, a dividend cut, or asset sales, which is a finding rather than a rounding detail.</t>
        </is>
      </c>
    </row>
    <row r="14">
      <c r="A14" t="inlineStr">
        <is>
          <t>Base</t>
        </is>
      </c>
      <c r="B14" s="4" t="n">
        <v>0.02</v>
      </c>
      <c r="C14" s="4" t="n">
        <v>0.5</v>
      </c>
      <c r="D14" s="8" t="inlineStr">
        <is>
          <t>Wholesale prices soften (2027 NSW/VIC futures -20%) so FY27 revenue is flat and Underlying EBITDA lands mid-guidance (~$2.05bn, 15.1%); thereafter customer growth, electrification and the $50m cost program hold the underlying margin at ~15% (10-yr average 14.7%) while the Liddell/Tomago batteries and Hexham/Tilt PPAs replace the margin lost as Bayswater (2030-33) and Loy Yang A (2035) close. Cash leakage eases from 3.4% of revenue (FY27, transformation overrun) to ~2.8% (rehabilitation rising toward closure, transformation and onerous costs falling away, leases ~1.2%), lifting the cash-adjusted margin from 11.7% to 12.2%. Capex tapers from $1.5bn to ~6.5% of revenue (~$1.1bn) by FY36 as the 12GW build completes with capital partners taking &gt;2GW. Cash tax ramps 18%-&gt;30% as accelerated depreciation unwinds. Owner FCF is roughly zero in FY27-28 and reaches ~3.4% of revenue by FY36.</t>
        </is>
      </c>
    </row>
    <row r="15">
      <c r="A15" t="inlineStr">
        <is>
          <t>Bull</t>
        </is>
      </c>
      <c r="B15" s="4" t="n">
        <v>0.025</v>
      </c>
      <c r="C15" s="4" t="n">
        <v>0.25</v>
      </c>
      <c r="D15" s="8" t="inlineStr">
        <is>
          <t>AI data-centre and electrification demand (management's 5 TWh -&gt; 34 TWh pipeline) lifts volumes 3%/yr; battery arbitrage boosts Bayswater returns ~10% and the firming fleet earns premium capacity revenue as coal exits the NEM, taking the underlying margin to ~17% (FY18-19 levels) and the cash-adjusted margin to 14%. Capital partners fund most of the growth pipeline, so capex falls to 6% of revenue by FY35 and owner FCF reaches ~5.5% of revenue. Terminal growth 2.5%.</t>
        </is>
      </c>
    </row>
    <row r="16">
      <c r="A16" t="inlineStr">
        <is>
          <t>Weights check (must be 100%)</t>
        </is>
      </c>
      <c r="C16" s="3">
        <f>SUM(C13:C15)</f>
        <v/>
      </c>
    </row>
    <row r="18">
      <c r="A18" t="inlineStr">
        <is>
          <t>Weights rationale</t>
        </is>
      </c>
      <c r="D18" s="8" t="inlineStr">
        <is>
          <t>25/50/25 rather than the 15/50/35 default. Bear raised to 25%: gearing 33.6% and rising, negative FCF two years running, a &gt;40%-wide FY27 NPAT guidance range, a history of $2bn+ coal impairments, and a bear path on which equity value is negative (refinancing/raise risk is real, not cosmetic). Bull cut to 25%: it needs several independent things to go right at once - data-centre load materialising, capital partners funding the pipeline, battery arbitrage sustaining thermal returns and wholesale volatility returning - and even then it only reaches the current price.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DCF_Bear - owner-FCF component build, AUD millions. Yellow rows are the drivers.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-0.03</v>
      </c>
      <c r="D5" s="9" t="n">
        <v>-0.01</v>
      </c>
      <c r="E5" s="9" t="n">
        <v>0</v>
      </c>
      <c r="F5" s="9" t="n">
        <v>0.005</v>
      </c>
      <c r="G5" s="9" t="n">
        <v>0.01</v>
      </c>
      <c r="H5" s="9" t="n">
        <v>0.01</v>
      </c>
      <c r="I5" s="9" t="n">
        <v>0.01</v>
      </c>
      <c r="J5" s="9" t="n">
        <v>0.01</v>
      </c>
      <c r="K5" s="9" t="n">
        <v>0.01</v>
      </c>
      <c r="L5" s="9" t="n">
        <v>0.01</v>
      </c>
    </row>
    <row r="6">
      <c r="A6" t="inlineStr">
        <is>
          <t>Revenue</t>
        </is>
      </c>
      <c r="B6" s="10">
        <f>Assumptions!$B$9</f>
        <v/>
      </c>
      <c r="C6" s="11">
        <f>B6*(1+C5)</f>
        <v/>
      </c>
      <c r="D6" s="11">
        <f>C6*(1+D5)</f>
        <v/>
      </c>
      <c r="E6" s="11">
        <f>D6*(1+E5)</f>
        <v/>
      </c>
      <c r="F6" s="11">
        <f>E6*(1+F5)</f>
        <v/>
      </c>
      <c r="G6" s="11">
        <f>F6*(1+G5)</f>
        <v/>
      </c>
      <c r="H6" s="11">
        <f>G6*(1+H5)</f>
        <v/>
      </c>
      <c r="I6" s="11">
        <f>H6*(1+I5)</f>
        <v/>
      </c>
      <c r="J6" s="11">
        <f>I6*(1+J5)</f>
        <v/>
      </c>
      <c r="K6" s="11">
        <f>J6*(1+K5)</f>
        <v/>
      </c>
      <c r="L6" s="11">
        <f>K6*(1+L5)</f>
        <v/>
      </c>
    </row>
    <row r="7">
      <c r="A7" t="inlineStr">
        <is>
          <t>Adj EBITDA margin (cash-adjusted, post-lease)</t>
        </is>
      </c>
      <c r="C7" s="9" t="n">
        <v>0.105</v>
      </c>
      <c r="D7" s="9" t="n">
        <v>0.1</v>
      </c>
      <c r="E7" s="9" t="n">
        <v>0.098</v>
      </c>
      <c r="F7" s="9" t="n">
        <v>0.098</v>
      </c>
      <c r="G7" s="9" t="n">
        <v>0.098</v>
      </c>
      <c r="H7" s="9" t="n">
        <v>0.095</v>
      </c>
      <c r="I7" s="9" t="n">
        <v>0.095</v>
      </c>
      <c r="J7" s="9" t="n">
        <v>0.09</v>
      </c>
      <c r="K7" s="9" t="n">
        <v>0.09</v>
      </c>
      <c r="L7" s="9" t="n">
        <v>0.09</v>
      </c>
    </row>
    <row r="8">
      <c r="A8" t="inlineStr">
        <is>
          <t>Adj EBITDA</t>
        </is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  <c r="L8" s="11">
        <f>L6*L7</f>
        <v/>
      </c>
    </row>
    <row r="9">
      <c r="A9" t="inlineStr">
        <is>
          <t>SBC % of revenue</t>
        </is>
      </c>
      <c r="C9" s="12" t="n">
        <v>0.0005999999999999999</v>
      </c>
      <c r="D9" s="12" t="n">
        <v>0.0005999999999999999</v>
      </c>
      <c r="E9" s="12" t="n">
        <v>0.0005999999999999999</v>
      </c>
      <c r="F9" s="12" t="n">
        <v>0.0005999999999999999</v>
      </c>
      <c r="G9" s="12" t="n">
        <v>0.0005999999999999999</v>
      </c>
      <c r="H9" s="12" t="n">
        <v>0.0005999999999999999</v>
      </c>
      <c r="I9" s="12" t="n">
        <v>0.0005999999999999999</v>
      </c>
      <c r="J9" s="12" t="n">
        <v>0.0005999999999999999</v>
      </c>
      <c r="K9" s="12" t="n">
        <v>0.0005999999999999999</v>
      </c>
      <c r="L9" s="12" t="n">
        <v>0.0005999999999999999</v>
      </c>
    </row>
    <row r="10">
      <c r="A10" t="inlineStr">
        <is>
          <t>SBC</t>
        </is>
      </c>
      <c r="C10" s="11">
        <f>-C6*C9</f>
        <v/>
      </c>
      <c r="D10" s="11">
        <f>-D6*D9</f>
        <v/>
      </c>
      <c r="E10" s="11">
        <f>-E6*E9</f>
        <v/>
      </c>
      <c r="F10" s="11">
        <f>-F6*F9</f>
        <v/>
      </c>
      <c r="G10" s="11">
        <f>-G6*G9</f>
        <v/>
      </c>
      <c r="H10" s="11">
        <f>-H6*H9</f>
        <v/>
      </c>
      <c r="I10" s="11">
        <f>-I6*I9</f>
        <v/>
      </c>
      <c r="J10" s="11">
        <f>-J6*J9</f>
        <v/>
      </c>
      <c r="K10" s="11">
        <f>-K6*K9</f>
        <v/>
      </c>
      <c r="L10" s="11">
        <f>-L6*L9</f>
        <v/>
      </c>
    </row>
    <row r="11">
      <c r="A11" t="inlineStr">
        <is>
          <t>Owner EBITDA</t>
        </is>
      </c>
      <c r="C11" s="11">
        <f>C8+C10</f>
        <v/>
      </c>
      <c r="D11" s="11">
        <f>D8+D10</f>
        <v/>
      </c>
      <c r="E11" s="11">
        <f>E8+E10</f>
        <v/>
      </c>
      <c r="F11" s="11">
        <f>F8+F10</f>
        <v/>
      </c>
      <c r="G11" s="11">
        <f>G8+G10</f>
        <v/>
      </c>
      <c r="H11" s="11">
        <f>H8+H10</f>
        <v/>
      </c>
      <c r="I11" s="11">
        <f>I8+I10</f>
        <v/>
      </c>
      <c r="J11" s="11">
        <f>J8+J10</f>
        <v/>
      </c>
      <c r="K11" s="11">
        <f>K8+K10</f>
        <v/>
      </c>
      <c r="L11" s="11">
        <f>L8+L10</f>
        <v/>
      </c>
    </row>
    <row r="12">
      <c r="A12" t="inlineStr">
        <is>
          <t>D&amp;A % of revenue (ex ROU)</t>
        </is>
      </c>
      <c r="C12" s="9" t="n">
        <v>0.05599999999999999</v>
      </c>
      <c r="D12" s="9" t="n">
        <v>0.058</v>
      </c>
      <c r="E12" s="9" t="n">
        <v>0.06</v>
      </c>
      <c r="F12" s="9" t="n">
        <v>0.062</v>
      </c>
      <c r="G12" s="9" t="n">
        <v>0.063</v>
      </c>
      <c r="H12" s="9" t="n">
        <v>0.064</v>
      </c>
      <c r="I12" s="9" t="n">
        <v>0.065</v>
      </c>
      <c r="J12" s="9" t="n">
        <v>0.065</v>
      </c>
      <c r="K12" s="9" t="n">
        <v>0.065</v>
      </c>
      <c r="L12" s="9" t="n">
        <v>0.065</v>
      </c>
    </row>
    <row r="13">
      <c r="A13" t="inlineStr">
        <is>
          <t>D&amp;A</t>
        </is>
      </c>
      <c r="C13" s="11">
        <f>-C6*C12</f>
        <v/>
      </c>
      <c r="D13" s="11">
        <f>-D6*D12</f>
        <v/>
      </c>
      <c r="E13" s="11">
        <f>-E6*E12</f>
        <v/>
      </c>
      <c r="F13" s="11">
        <f>-F6*F12</f>
        <v/>
      </c>
      <c r="G13" s="11">
        <f>-G6*G12</f>
        <v/>
      </c>
      <c r="H13" s="11">
        <f>-H6*H12</f>
        <v/>
      </c>
      <c r="I13" s="11">
        <f>-I6*I12</f>
        <v/>
      </c>
      <c r="J13" s="11">
        <f>-J6*J12</f>
        <v/>
      </c>
      <c r="K13" s="11">
        <f>-K6*K12</f>
        <v/>
      </c>
      <c r="L13" s="11">
        <f>-L6*L12</f>
        <v/>
      </c>
    </row>
    <row r="14">
      <c r="A14" t="inlineStr">
        <is>
          <t>EBIT (SBC expensed)</t>
        </is>
      </c>
      <c r="C14" s="11">
        <f>C11+C13</f>
        <v/>
      </c>
      <c r="D14" s="11">
        <f>D11+D13</f>
        <v/>
      </c>
      <c r="E14" s="11">
        <f>E11+E13</f>
        <v/>
      </c>
      <c r="F14" s="11">
        <f>F11+F13</f>
        <v/>
      </c>
      <c r="G14" s="11">
        <f>G11+G13</f>
        <v/>
      </c>
      <c r="H14" s="11">
        <f>H11+H13</f>
        <v/>
      </c>
      <c r="I14" s="11">
        <f>I11+I13</f>
        <v/>
      </c>
      <c r="J14" s="11">
        <f>J11+J13</f>
        <v/>
      </c>
      <c r="K14" s="11">
        <f>K11+K13</f>
        <v/>
      </c>
      <c r="L14" s="11">
        <f>L11+L13</f>
        <v/>
      </c>
    </row>
    <row r="15">
      <c r="A15" t="inlineStr">
        <is>
          <t>Cash tax rate</t>
        </is>
      </c>
      <c r="C15" s="9" t="n">
        <v>0.15</v>
      </c>
      <c r="D15" s="9" t="n">
        <v>0.18</v>
      </c>
      <c r="E15" s="9" t="n">
        <v>0.2</v>
      </c>
      <c r="F15" s="9" t="n">
        <v>0.22</v>
      </c>
      <c r="G15" s="9" t="n">
        <v>0.24</v>
      </c>
      <c r="H15" s="9" t="n">
        <v>0.26</v>
      </c>
      <c r="I15" s="9" t="n">
        <v>0.28</v>
      </c>
      <c r="J15" s="9" t="n">
        <v>0.3</v>
      </c>
      <c r="K15" s="9" t="n">
        <v>0.3</v>
      </c>
      <c r="L15" s="9" t="n">
        <v>0.3</v>
      </c>
    </row>
    <row r="16">
      <c r="A16" t="inlineStr">
        <is>
          <t>Cash tax</t>
        </is>
      </c>
      <c r="C16" s="11">
        <f>-MAX(0,C14)*C15</f>
        <v/>
      </c>
      <c r="D16" s="11">
        <f>-MAX(0,D14)*D15</f>
        <v/>
      </c>
      <c r="E16" s="11">
        <f>-MAX(0,E14)*E15</f>
        <v/>
      </c>
      <c r="F16" s="11">
        <f>-MAX(0,F14)*F15</f>
        <v/>
      </c>
      <c r="G16" s="11">
        <f>-MAX(0,G14)*G15</f>
        <v/>
      </c>
      <c r="H16" s="11">
        <f>-MAX(0,H14)*H15</f>
        <v/>
      </c>
      <c r="I16" s="11">
        <f>-MAX(0,I14)*I15</f>
        <v/>
      </c>
      <c r="J16" s="11">
        <f>-MAX(0,J14)*J15</f>
        <v/>
      </c>
      <c r="K16" s="11">
        <f>-MAX(0,K14)*K15</f>
        <v/>
      </c>
      <c r="L16" s="11">
        <f>-MAX(0,L14)*L15</f>
        <v/>
      </c>
    </row>
    <row r="17">
      <c r="A17" t="inlineStr">
        <is>
          <t>NOPAT</t>
        </is>
      </c>
      <c r="C17" s="11">
        <f>C14+C16</f>
        <v/>
      </c>
      <c r="D17" s="11">
        <f>D14+D16</f>
        <v/>
      </c>
      <c r="E17" s="11">
        <f>E14+E16</f>
        <v/>
      </c>
      <c r="F17" s="11">
        <f>F14+F16</f>
        <v/>
      </c>
      <c r="G17" s="11">
        <f>G14+G16</f>
        <v/>
      </c>
      <c r="H17" s="11">
        <f>H14+H16</f>
        <v/>
      </c>
      <c r="I17" s="11">
        <f>I14+I16</f>
        <v/>
      </c>
      <c r="J17" s="11">
        <f>J14+J16</f>
        <v/>
      </c>
      <c r="K17" s="11">
        <f>K14+K16</f>
        <v/>
      </c>
      <c r="L17" s="11">
        <f>L14+L16</f>
        <v/>
      </c>
    </row>
    <row r="18">
      <c r="A18" t="inlineStr">
        <is>
          <t>add back D&amp;A</t>
        </is>
      </c>
      <c r="C18" s="11">
        <f>-C13</f>
        <v/>
      </c>
      <c r="D18" s="11">
        <f>-D13</f>
        <v/>
      </c>
      <c r="E18" s="11">
        <f>-E13</f>
        <v/>
      </c>
      <c r="F18" s="11">
        <f>-F13</f>
        <v/>
      </c>
      <c r="G18" s="11">
        <f>-G13</f>
        <v/>
      </c>
      <c r="H18" s="11">
        <f>-H13</f>
        <v/>
      </c>
      <c r="I18" s="11">
        <f>-I13</f>
        <v/>
      </c>
      <c r="J18" s="11">
        <f>-J13</f>
        <v/>
      </c>
      <c r="K18" s="11">
        <f>-K13</f>
        <v/>
      </c>
      <c r="L18" s="11">
        <f>-L13</f>
        <v/>
      </c>
    </row>
    <row r="19">
      <c r="A19" t="inlineStr">
        <is>
          <t>Capex % of revenue (sustaining + growth)</t>
        </is>
      </c>
      <c r="C19" s="9" t="n">
        <v>0.11</v>
      </c>
      <c r="D19" s="9" t="n">
        <v>0.1</v>
      </c>
      <c r="E19" s="9" t="n">
        <v>0.09</v>
      </c>
      <c r="F19" s="9" t="n">
        <v>0.08500000000000001</v>
      </c>
      <c r="G19" s="9" t="n">
        <v>0.08</v>
      </c>
      <c r="H19" s="9" t="n">
        <v>0.075</v>
      </c>
      <c r="I19" s="9" t="n">
        <v>0.07000000000000001</v>
      </c>
      <c r="J19" s="9" t="n">
        <v>0.07000000000000001</v>
      </c>
      <c r="K19" s="9" t="n">
        <v>0.065</v>
      </c>
      <c r="L19" s="9" t="n">
        <v>0.065</v>
      </c>
    </row>
    <row r="20">
      <c r="A20" t="inlineStr">
        <is>
          <t>Capex</t>
        </is>
      </c>
      <c r="C20" s="11">
        <f>-C6*C19</f>
        <v/>
      </c>
      <c r="D20" s="11">
        <f>-D6*D19</f>
        <v/>
      </c>
      <c r="E20" s="11">
        <f>-E6*E19</f>
        <v/>
      </c>
      <c r="F20" s="11">
        <f>-F6*F19</f>
        <v/>
      </c>
      <c r="G20" s="11">
        <f>-G6*G19</f>
        <v/>
      </c>
      <c r="H20" s="11">
        <f>-H6*H19</f>
        <v/>
      </c>
      <c r="I20" s="11">
        <f>-I6*I19</f>
        <v/>
      </c>
      <c r="J20" s="11">
        <f>-J6*J19</f>
        <v/>
      </c>
      <c r="K20" s="11">
        <f>-K6*K19</f>
        <v/>
      </c>
      <c r="L20" s="11">
        <f>-L6*L19</f>
        <v/>
      </c>
    </row>
    <row r="21">
      <c r="A21" t="inlineStr">
        <is>
          <t>Working capital (capture x change in revenue)</t>
        </is>
      </c>
      <c r="C21" s="10">
        <f>Assumptions!$B$4*(C6-B6)</f>
        <v/>
      </c>
      <c r="D21" s="10">
        <f>Assumptions!$B$4*(D6-C6)</f>
        <v/>
      </c>
      <c r="E21" s="10">
        <f>Assumptions!$B$4*(E6-D6)</f>
        <v/>
      </c>
      <c r="F21" s="10">
        <f>Assumptions!$B$4*(F6-E6)</f>
        <v/>
      </c>
      <c r="G21" s="10">
        <f>Assumptions!$B$4*(G6-F6)</f>
        <v/>
      </c>
      <c r="H21" s="10">
        <f>Assumptions!$B$4*(H6-G6)</f>
        <v/>
      </c>
      <c r="I21" s="10">
        <f>Assumptions!$B$4*(I6-H6)</f>
        <v/>
      </c>
      <c r="J21" s="10">
        <f>Assumptions!$B$4*(J6-I6)</f>
        <v/>
      </c>
      <c r="K21" s="10">
        <f>Assumptions!$B$4*(K6-J6)</f>
        <v/>
      </c>
      <c r="L21" s="10">
        <f>Assumptions!$B$4*(L6-K6)</f>
        <v/>
      </c>
    </row>
    <row r="22">
      <c r="A22" s="1" t="inlineStr">
        <is>
          <t>Unlevered owner FCF</t>
        </is>
      </c>
      <c r="C22" s="13">
        <f>C17+C18+C20+C21</f>
        <v/>
      </c>
      <c r="D22" s="13">
        <f>D17+D18+D20+D21</f>
        <v/>
      </c>
      <c r="E22" s="13">
        <f>E17+E18+E20+E21</f>
        <v/>
      </c>
      <c r="F22" s="13">
        <f>F17+F18+F20+F21</f>
        <v/>
      </c>
      <c r="G22" s="13">
        <f>G17+G18+G20+G21</f>
        <v/>
      </c>
      <c r="H22" s="13">
        <f>H17+H18+H20+H21</f>
        <v/>
      </c>
      <c r="I22" s="13">
        <f>I17+I18+I20+I21</f>
        <v/>
      </c>
      <c r="J22" s="13">
        <f>J17+J18+J20+J21</f>
        <v/>
      </c>
      <c r="K22" s="13">
        <f>K17+K18+K20+K21</f>
        <v/>
      </c>
      <c r="L22" s="13">
        <f>L17+L18+L20+L21</f>
        <v/>
      </c>
    </row>
    <row r="23">
      <c r="A23" t="inlineStr">
        <is>
          <t>Discount factor</t>
        </is>
      </c>
      <c r="C23" s="14">
        <f>1/(1+Assumptions!$B$3)^C4</f>
        <v/>
      </c>
      <c r="D23" s="14">
        <f>1/(1+Assumptions!$B$3)^D4</f>
        <v/>
      </c>
      <c r="E23" s="14">
        <f>1/(1+Assumptions!$B$3)^E4</f>
        <v/>
      </c>
      <c r="F23" s="14">
        <f>1/(1+Assumptions!$B$3)^F4</f>
        <v/>
      </c>
      <c r="G23" s="14">
        <f>1/(1+Assumptions!$B$3)^G4</f>
        <v/>
      </c>
      <c r="H23" s="14">
        <f>1/(1+Assumptions!$B$3)^H4</f>
        <v/>
      </c>
      <c r="I23" s="14">
        <f>1/(1+Assumptions!$B$3)^I4</f>
        <v/>
      </c>
      <c r="J23" s="14">
        <f>1/(1+Assumptions!$B$3)^J4</f>
        <v/>
      </c>
      <c r="K23" s="14">
        <f>1/(1+Assumptions!$B$3)^K4</f>
        <v/>
      </c>
      <c r="L23" s="14">
        <f>1/(1+Assumptions!$B$3)^L4</f>
        <v/>
      </c>
    </row>
    <row r="24">
      <c r="A24" t="inlineStr">
        <is>
          <t>PV of FCF</t>
        </is>
      </c>
      <c r="C24" s="11">
        <f>C22*C23</f>
        <v/>
      </c>
      <c r="D24" s="11">
        <f>D22*D23</f>
        <v/>
      </c>
      <c r="E24" s="11">
        <f>E22*E23</f>
        <v/>
      </c>
      <c r="F24" s="11">
        <f>F22*F23</f>
        <v/>
      </c>
      <c r="G24" s="11">
        <f>G22*G23</f>
        <v/>
      </c>
      <c r="H24" s="11">
        <f>H22*H23</f>
        <v/>
      </c>
      <c r="I24" s="11">
        <f>I22*I23</f>
        <v/>
      </c>
      <c r="J24" s="11">
        <f>J22*J23</f>
        <v/>
      </c>
      <c r="K24" s="11">
        <f>K22*K23</f>
        <v/>
      </c>
      <c r="L24" s="11">
        <f>L22*L23</f>
        <v/>
      </c>
    </row>
    <row r="26">
      <c r="A26" t="inlineStr">
        <is>
          <t>Memo: FCF before SBC (company-style)</t>
        </is>
      </c>
      <c r="C26" s="11">
        <f>C22-C10</f>
        <v/>
      </c>
      <c r="D26" s="11">
        <f>D22-D10</f>
        <v/>
      </c>
      <c r="E26" s="11">
        <f>E22-E10</f>
        <v/>
      </c>
      <c r="F26" s="11">
        <f>F22-F10</f>
        <v/>
      </c>
      <c r="G26" s="11">
        <f>G22-G10</f>
        <v/>
      </c>
      <c r="H26" s="11">
        <f>H22-H10</f>
        <v/>
      </c>
      <c r="I26" s="11">
        <f>I22-I10</f>
        <v/>
      </c>
      <c r="J26" s="11">
        <f>J22-J10</f>
        <v/>
      </c>
      <c r="K26" s="11">
        <f>K22-K10</f>
        <v/>
      </c>
      <c r="L26" s="11">
        <f>L22-L10</f>
        <v/>
      </c>
    </row>
    <row r="27">
      <c r="A27" t="inlineStr">
        <is>
          <t>Memo: owner FCF margin</t>
        </is>
      </c>
      <c r="C27" s="3">
        <f>C22/C6</f>
        <v/>
      </c>
      <c r="D27" s="3">
        <f>D22/D6</f>
        <v/>
      </c>
      <c r="E27" s="3">
        <f>E22/E6</f>
        <v/>
      </c>
      <c r="F27" s="3">
        <f>F22/F6</f>
        <v/>
      </c>
      <c r="G27" s="3">
        <f>G22/G6</f>
        <v/>
      </c>
      <c r="H27" s="3">
        <f>H22/H6</f>
        <v/>
      </c>
      <c r="I27" s="3">
        <f>I22/I6</f>
        <v/>
      </c>
      <c r="J27" s="3">
        <f>J22/J6</f>
        <v/>
      </c>
      <c r="K27" s="3">
        <f>K22/K6</f>
        <v/>
      </c>
      <c r="L27" s="3">
        <f>L22/L6</f>
        <v/>
      </c>
    </row>
    <row r="29">
      <c r="A29" t="inlineStr">
        <is>
          <t>Sum of PV of FCF (FY27-FY36)</t>
        </is>
      </c>
      <c r="B29" s="11">
        <f>SUM(C24:L24)</f>
        <v/>
      </c>
    </row>
    <row r="30">
      <c r="A30" t="inlineStr">
        <is>
          <t>Terminal growth</t>
        </is>
      </c>
      <c r="B30" s="15">
        <f>Assumptions!$B$13</f>
        <v/>
      </c>
    </row>
    <row r="31">
      <c r="A31" t="inlineStr">
        <is>
          <t>Terminal-year FCF x (1+g)</t>
        </is>
      </c>
      <c r="B31" s="11">
        <f>L22*(1+B30)</f>
        <v/>
      </c>
    </row>
    <row r="32">
      <c r="A32" t="inlineStr">
        <is>
          <t>Gordon terminal value</t>
        </is>
      </c>
      <c r="B32" s="11">
        <f>IF(Assumptions!$B$3&gt;B30,B31/(Assumptions!$B$3-B30),"n/a")</f>
        <v/>
      </c>
    </row>
    <row r="33">
      <c r="A33" t="inlineStr">
        <is>
          <t>Cap terminal value (cap x FCF_10)</t>
        </is>
      </c>
      <c r="B33" s="11">
        <f>Assumptions!$B$8*L22</f>
        <v/>
      </c>
    </row>
    <row r="34">
      <c r="A34" t="inlineStr">
        <is>
          <t>Terminal value used = MAX(0, MIN(Gordon, cap))</t>
        </is>
      </c>
      <c r="B34" s="11">
        <f>MAX(0,MIN(B32,B33))</f>
        <v/>
      </c>
    </row>
    <row r="35">
      <c r="A35" t="inlineStr">
        <is>
          <t>Implied exit multiple (TV / FCF_10)</t>
        </is>
      </c>
      <c r="B35" s="16">
        <f>IF(L22&lt;&gt;0,B34/L22,"n/a")</f>
        <v/>
      </c>
    </row>
    <row r="36">
      <c r="A36" t="inlineStr">
        <is>
          <t>PV of terminal value</t>
        </is>
      </c>
      <c r="B36" s="11">
        <f>B34*L23</f>
        <v/>
      </c>
    </row>
    <row r="37">
      <c r="A37" t="inlineStr">
        <is>
          <t>Enterprise value</t>
        </is>
      </c>
      <c r="B37" s="11">
        <f>B29+B36</f>
        <v/>
      </c>
    </row>
    <row r="38">
      <c r="A38" t="inlineStr">
        <is>
          <t>less net debt</t>
        </is>
      </c>
      <c r="B38" s="10">
        <f>-Assumptions!$B$5</f>
        <v/>
      </c>
    </row>
    <row r="39">
      <c r="A39" t="inlineStr">
        <is>
          <t>Equity value</t>
        </is>
      </c>
      <c r="B39" s="11">
        <f>B37+B38</f>
        <v/>
      </c>
    </row>
    <row r="40">
      <c r="A40" t="inlineStr">
        <is>
          <t>Diluted shares (m)</t>
        </is>
      </c>
      <c r="B40" s="17">
        <f>Assumptions!$B$6</f>
        <v/>
      </c>
    </row>
    <row r="41">
      <c r="A41" s="1" t="inlineStr">
        <is>
          <t>VALUE PER SHARE (AUD)</t>
        </is>
      </c>
      <c r="B41" s="18">
        <f>B39/B40</f>
        <v/>
      </c>
    </row>
    <row r="42">
      <c r="A42" t="inlineStr">
        <is>
          <t>Upside vs price</t>
        </is>
      </c>
      <c r="B42" s="3">
        <f>B41/Assumptions!$B$7-1</f>
        <v/>
      </c>
    </row>
    <row r="43">
      <c r="A43" t="inlineStr">
        <is>
          <t>Terminal value as % of EV</t>
        </is>
      </c>
      <c r="B43" s="3">
        <f>IF(B37&lt;&gt;0,B36/B37,"n/a")</f>
        <v/>
      </c>
    </row>
    <row r="45">
      <c r="A45" t="inlineStr">
        <is>
          <t>Street memo: PV of explicit-period SBC</t>
        </is>
      </c>
      <c r="B45" s="11">
        <f>SUMPRODUCT(-C10:L10/(1+Assumptions!$B$3)^C4:L4)</f>
        <v/>
      </c>
    </row>
    <row r="46">
      <c r="A46" t="inlineStr">
        <is>
          <t>Street memo: PV of terminal SBC (Gordon)</t>
        </is>
      </c>
      <c r="B46" s="11">
        <f>IF(Assumptions!$B$3&gt;B30,(-L10*(1+B30)/(Assumptions!$B$3-B30))*L23,0)</f>
        <v/>
      </c>
    </row>
    <row r="47">
      <c r="A47" t="inlineStr">
        <is>
          <t>Street value per share (SBC as non-cash)</t>
        </is>
      </c>
      <c r="B47" s="19">
        <f>(B39+B45+B46)/B40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DCF_Base - owner-FCF component build, AUD millions. Yellow rows are the drivers.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0</v>
      </c>
      <c r="D5" s="9" t="n">
        <v>0.015</v>
      </c>
      <c r="E5" s="9" t="n">
        <v>0.02</v>
      </c>
      <c r="F5" s="9" t="n">
        <v>0.02</v>
      </c>
      <c r="G5" s="9" t="n">
        <v>0.02</v>
      </c>
      <c r="H5" s="9" t="n">
        <v>0.02</v>
      </c>
      <c r="I5" s="9" t="n">
        <v>0.02</v>
      </c>
      <c r="J5" s="9" t="n">
        <v>0.02</v>
      </c>
      <c r="K5" s="9" t="n">
        <v>0.02</v>
      </c>
      <c r="L5" s="9" t="n">
        <v>0.02</v>
      </c>
    </row>
    <row r="6">
      <c r="A6" t="inlineStr">
        <is>
          <t>Revenue</t>
        </is>
      </c>
      <c r="B6" s="10">
        <f>Assumptions!$B$9</f>
        <v/>
      </c>
      <c r="C6" s="11">
        <f>B6*(1+C5)</f>
        <v/>
      </c>
      <c r="D6" s="11">
        <f>C6*(1+D5)</f>
        <v/>
      </c>
      <c r="E6" s="11">
        <f>D6*(1+E5)</f>
        <v/>
      </c>
      <c r="F6" s="11">
        <f>E6*(1+F5)</f>
        <v/>
      </c>
      <c r="G6" s="11">
        <f>F6*(1+G5)</f>
        <v/>
      </c>
      <c r="H6" s="11">
        <f>G6*(1+H5)</f>
        <v/>
      </c>
      <c r="I6" s="11">
        <f>H6*(1+I5)</f>
        <v/>
      </c>
      <c r="J6" s="11">
        <f>I6*(1+J5)</f>
        <v/>
      </c>
      <c r="K6" s="11">
        <f>J6*(1+K5)</f>
        <v/>
      </c>
      <c r="L6" s="11">
        <f>K6*(1+L5)</f>
        <v/>
      </c>
    </row>
    <row r="7">
      <c r="A7" t="inlineStr">
        <is>
          <t>Adj EBITDA margin (cash-adjusted, post-lease)</t>
        </is>
      </c>
      <c r="C7" s="9" t="n">
        <v>0.117</v>
      </c>
      <c r="D7" s="9" t="n">
        <v>0.118</v>
      </c>
      <c r="E7" s="9" t="n">
        <v>0.12</v>
      </c>
      <c r="F7" s="9" t="n">
        <v>0.121</v>
      </c>
      <c r="G7" s="9" t="n">
        <v>0.122</v>
      </c>
      <c r="H7" s="9" t="n">
        <v>0.122</v>
      </c>
      <c r="I7" s="9" t="n">
        <v>0.122</v>
      </c>
      <c r="J7" s="9" t="n">
        <v>0.122</v>
      </c>
      <c r="K7" s="9" t="n">
        <v>0.122</v>
      </c>
      <c r="L7" s="9" t="n">
        <v>0.122</v>
      </c>
    </row>
    <row r="8">
      <c r="A8" t="inlineStr">
        <is>
          <t>Adj EBITDA</t>
        </is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  <c r="L8" s="11">
        <f>L6*L7</f>
        <v/>
      </c>
    </row>
    <row r="9">
      <c r="A9" t="inlineStr">
        <is>
          <t>SBC % of revenue</t>
        </is>
      </c>
      <c r="C9" s="12" t="n">
        <v>0.0005999999999999999</v>
      </c>
      <c r="D9" s="12" t="n">
        <v>0.0005999999999999999</v>
      </c>
      <c r="E9" s="12" t="n">
        <v>0.0005999999999999999</v>
      </c>
      <c r="F9" s="12" t="n">
        <v>0.0005999999999999999</v>
      </c>
      <c r="G9" s="12" t="n">
        <v>0.0005999999999999999</v>
      </c>
      <c r="H9" s="12" t="n">
        <v>0.0005999999999999999</v>
      </c>
      <c r="I9" s="12" t="n">
        <v>0.0005999999999999999</v>
      </c>
      <c r="J9" s="12" t="n">
        <v>0.0005999999999999999</v>
      </c>
      <c r="K9" s="12" t="n">
        <v>0.0005999999999999999</v>
      </c>
      <c r="L9" s="12" t="n">
        <v>0.0005999999999999999</v>
      </c>
    </row>
    <row r="10">
      <c r="A10" t="inlineStr">
        <is>
          <t>SBC</t>
        </is>
      </c>
      <c r="C10" s="11">
        <f>-C6*C9</f>
        <v/>
      </c>
      <c r="D10" s="11">
        <f>-D6*D9</f>
        <v/>
      </c>
      <c r="E10" s="11">
        <f>-E6*E9</f>
        <v/>
      </c>
      <c r="F10" s="11">
        <f>-F6*F9</f>
        <v/>
      </c>
      <c r="G10" s="11">
        <f>-G6*G9</f>
        <v/>
      </c>
      <c r="H10" s="11">
        <f>-H6*H9</f>
        <v/>
      </c>
      <c r="I10" s="11">
        <f>-I6*I9</f>
        <v/>
      </c>
      <c r="J10" s="11">
        <f>-J6*J9</f>
        <v/>
      </c>
      <c r="K10" s="11">
        <f>-K6*K9</f>
        <v/>
      </c>
      <c r="L10" s="11">
        <f>-L6*L9</f>
        <v/>
      </c>
    </row>
    <row r="11">
      <c r="A11" t="inlineStr">
        <is>
          <t>Owner EBITDA</t>
        </is>
      </c>
      <c r="C11" s="11">
        <f>C8+C10</f>
        <v/>
      </c>
      <c r="D11" s="11">
        <f>D8+D10</f>
        <v/>
      </c>
      <c r="E11" s="11">
        <f>E8+E10</f>
        <v/>
      </c>
      <c r="F11" s="11">
        <f>F8+F10</f>
        <v/>
      </c>
      <c r="G11" s="11">
        <f>G8+G10</f>
        <v/>
      </c>
      <c r="H11" s="11">
        <f>H8+H10</f>
        <v/>
      </c>
      <c r="I11" s="11">
        <f>I8+I10</f>
        <v/>
      </c>
      <c r="J11" s="11">
        <f>J8+J10</f>
        <v/>
      </c>
      <c r="K11" s="11">
        <f>K8+K10</f>
        <v/>
      </c>
      <c r="L11" s="11">
        <f>L8+L10</f>
        <v/>
      </c>
    </row>
    <row r="12">
      <c r="A12" t="inlineStr">
        <is>
          <t>D&amp;A % of revenue (ex ROU)</t>
        </is>
      </c>
      <c r="C12" s="9" t="n">
        <v>0.05599999999999999</v>
      </c>
      <c r="D12" s="9" t="n">
        <v>0.058</v>
      </c>
      <c r="E12" s="9" t="n">
        <v>0.06</v>
      </c>
      <c r="F12" s="9" t="n">
        <v>0.062</v>
      </c>
      <c r="G12" s="9" t="n">
        <v>0.063</v>
      </c>
      <c r="H12" s="9" t="n">
        <v>0.064</v>
      </c>
      <c r="I12" s="9" t="n">
        <v>0.065</v>
      </c>
      <c r="J12" s="9" t="n">
        <v>0.065</v>
      </c>
      <c r="K12" s="9" t="n">
        <v>0.065</v>
      </c>
      <c r="L12" s="9" t="n">
        <v>0.065</v>
      </c>
    </row>
    <row r="13">
      <c r="A13" t="inlineStr">
        <is>
          <t>D&amp;A</t>
        </is>
      </c>
      <c r="C13" s="11">
        <f>-C6*C12</f>
        <v/>
      </c>
      <c r="D13" s="11">
        <f>-D6*D12</f>
        <v/>
      </c>
      <c r="E13" s="11">
        <f>-E6*E12</f>
        <v/>
      </c>
      <c r="F13" s="11">
        <f>-F6*F12</f>
        <v/>
      </c>
      <c r="G13" s="11">
        <f>-G6*G12</f>
        <v/>
      </c>
      <c r="H13" s="11">
        <f>-H6*H12</f>
        <v/>
      </c>
      <c r="I13" s="11">
        <f>-I6*I12</f>
        <v/>
      </c>
      <c r="J13" s="11">
        <f>-J6*J12</f>
        <v/>
      </c>
      <c r="K13" s="11">
        <f>-K6*K12</f>
        <v/>
      </c>
      <c r="L13" s="11">
        <f>-L6*L12</f>
        <v/>
      </c>
    </row>
    <row r="14">
      <c r="A14" t="inlineStr">
        <is>
          <t>EBIT (SBC expensed)</t>
        </is>
      </c>
      <c r="C14" s="11">
        <f>C11+C13</f>
        <v/>
      </c>
      <c r="D14" s="11">
        <f>D11+D13</f>
        <v/>
      </c>
      <c r="E14" s="11">
        <f>E11+E13</f>
        <v/>
      </c>
      <c r="F14" s="11">
        <f>F11+F13</f>
        <v/>
      </c>
      <c r="G14" s="11">
        <f>G11+G13</f>
        <v/>
      </c>
      <c r="H14" s="11">
        <f>H11+H13</f>
        <v/>
      </c>
      <c r="I14" s="11">
        <f>I11+I13</f>
        <v/>
      </c>
      <c r="J14" s="11">
        <f>J11+J13</f>
        <v/>
      </c>
      <c r="K14" s="11">
        <f>K11+K13</f>
        <v/>
      </c>
      <c r="L14" s="11">
        <f>L11+L13</f>
        <v/>
      </c>
    </row>
    <row r="15">
      <c r="A15" t="inlineStr">
        <is>
          <t>Cash tax rate</t>
        </is>
      </c>
      <c r="C15" s="9" t="n">
        <v>0.18</v>
      </c>
      <c r="D15" s="9" t="n">
        <v>0.2</v>
      </c>
      <c r="E15" s="9" t="n">
        <v>0.22</v>
      </c>
      <c r="F15" s="9" t="n">
        <v>0.24</v>
      </c>
      <c r="G15" s="9" t="n">
        <v>0.26</v>
      </c>
      <c r="H15" s="9" t="n">
        <v>0.28</v>
      </c>
      <c r="I15" s="9" t="n">
        <v>0.3</v>
      </c>
      <c r="J15" s="9" t="n">
        <v>0.3</v>
      </c>
      <c r="K15" s="9" t="n">
        <v>0.3</v>
      </c>
      <c r="L15" s="9" t="n">
        <v>0.3</v>
      </c>
    </row>
    <row r="16">
      <c r="A16" t="inlineStr">
        <is>
          <t>Cash tax</t>
        </is>
      </c>
      <c r="C16" s="11">
        <f>-MAX(0,C14)*C15</f>
        <v/>
      </c>
      <c r="D16" s="11">
        <f>-MAX(0,D14)*D15</f>
        <v/>
      </c>
      <c r="E16" s="11">
        <f>-MAX(0,E14)*E15</f>
        <v/>
      </c>
      <c r="F16" s="11">
        <f>-MAX(0,F14)*F15</f>
        <v/>
      </c>
      <c r="G16" s="11">
        <f>-MAX(0,G14)*G15</f>
        <v/>
      </c>
      <c r="H16" s="11">
        <f>-MAX(0,H14)*H15</f>
        <v/>
      </c>
      <c r="I16" s="11">
        <f>-MAX(0,I14)*I15</f>
        <v/>
      </c>
      <c r="J16" s="11">
        <f>-MAX(0,J14)*J15</f>
        <v/>
      </c>
      <c r="K16" s="11">
        <f>-MAX(0,K14)*K15</f>
        <v/>
      </c>
      <c r="L16" s="11">
        <f>-MAX(0,L14)*L15</f>
        <v/>
      </c>
    </row>
    <row r="17">
      <c r="A17" t="inlineStr">
        <is>
          <t>NOPAT</t>
        </is>
      </c>
      <c r="C17" s="11">
        <f>C14+C16</f>
        <v/>
      </c>
      <c r="D17" s="11">
        <f>D14+D16</f>
        <v/>
      </c>
      <c r="E17" s="11">
        <f>E14+E16</f>
        <v/>
      </c>
      <c r="F17" s="11">
        <f>F14+F16</f>
        <v/>
      </c>
      <c r="G17" s="11">
        <f>G14+G16</f>
        <v/>
      </c>
      <c r="H17" s="11">
        <f>H14+H16</f>
        <v/>
      </c>
      <c r="I17" s="11">
        <f>I14+I16</f>
        <v/>
      </c>
      <c r="J17" s="11">
        <f>J14+J16</f>
        <v/>
      </c>
      <c r="K17" s="11">
        <f>K14+K16</f>
        <v/>
      </c>
      <c r="L17" s="11">
        <f>L14+L16</f>
        <v/>
      </c>
    </row>
    <row r="18">
      <c r="A18" t="inlineStr">
        <is>
          <t>add back D&amp;A</t>
        </is>
      </c>
      <c r="C18" s="11">
        <f>-C13</f>
        <v/>
      </c>
      <c r="D18" s="11">
        <f>-D13</f>
        <v/>
      </c>
      <c r="E18" s="11">
        <f>-E13</f>
        <v/>
      </c>
      <c r="F18" s="11">
        <f>-F13</f>
        <v/>
      </c>
      <c r="G18" s="11">
        <f>-G13</f>
        <v/>
      </c>
      <c r="H18" s="11">
        <f>-H13</f>
        <v/>
      </c>
      <c r="I18" s="11">
        <f>-I13</f>
        <v/>
      </c>
      <c r="J18" s="11">
        <f>-J13</f>
        <v/>
      </c>
      <c r="K18" s="11">
        <f>-K13</f>
        <v/>
      </c>
      <c r="L18" s="11">
        <f>-L13</f>
        <v/>
      </c>
    </row>
    <row r="19">
      <c r="A19" t="inlineStr">
        <is>
          <t>Capex % of revenue (sustaining + growth)</t>
        </is>
      </c>
      <c r="C19" s="9" t="n">
        <v>0.11</v>
      </c>
      <c r="D19" s="9" t="n">
        <v>0.105</v>
      </c>
      <c r="E19" s="9" t="n">
        <v>0.1</v>
      </c>
      <c r="F19" s="9" t="n">
        <v>0.095</v>
      </c>
      <c r="G19" s="9" t="n">
        <v>0.09</v>
      </c>
      <c r="H19" s="9" t="n">
        <v>0.08500000000000001</v>
      </c>
      <c r="I19" s="9" t="n">
        <v>0.08</v>
      </c>
      <c r="J19" s="9" t="n">
        <v>0.075</v>
      </c>
      <c r="K19" s="9" t="n">
        <v>0.07000000000000001</v>
      </c>
      <c r="L19" s="9" t="n">
        <v>0.065</v>
      </c>
    </row>
    <row r="20">
      <c r="A20" t="inlineStr">
        <is>
          <t>Capex</t>
        </is>
      </c>
      <c r="C20" s="11">
        <f>-C6*C19</f>
        <v/>
      </c>
      <c r="D20" s="11">
        <f>-D6*D19</f>
        <v/>
      </c>
      <c r="E20" s="11">
        <f>-E6*E19</f>
        <v/>
      </c>
      <c r="F20" s="11">
        <f>-F6*F19</f>
        <v/>
      </c>
      <c r="G20" s="11">
        <f>-G6*G19</f>
        <v/>
      </c>
      <c r="H20" s="11">
        <f>-H6*H19</f>
        <v/>
      </c>
      <c r="I20" s="11">
        <f>-I6*I19</f>
        <v/>
      </c>
      <c r="J20" s="11">
        <f>-J6*J19</f>
        <v/>
      </c>
      <c r="K20" s="11">
        <f>-K6*K19</f>
        <v/>
      </c>
      <c r="L20" s="11">
        <f>-L6*L19</f>
        <v/>
      </c>
    </row>
    <row r="21">
      <c r="A21" t="inlineStr">
        <is>
          <t>Working capital (capture x change in revenue)</t>
        </is>
      </c>
      <c r="C21" s="10">
        <f>Assumptions!$B$4*(C6-B6)</f>
        <v/>
      </c>
      <c r="D21" s="10">
        <f>Assumptions!$B$4*(D6-C6)</f>
        <v/>
      </c>
      <c r="E21" s="10">
        <f>Assumptions!$B$4*(E6-D6)</f>
        <v/>
      </c>
      <c r="F21" s="10">
        <f>Assumptions!$B$4*(F6-E6)</f>
        <v/>
      </c>
      <c r="G21" s="10">
        <f>Assumptions!$B$4*(G6-F6)</f>
        <v/>
      </c>
      <c r="H21" s="10">
        <f>Assumptions!$B$4*(H6-G6)</f>
        <v/>
      </c>
      <c r="I21" s="10">
        <f>Assumptions!$B$4*(I6-H6)</f>
        <v/>
      </c>
      <c r="J21" s="10">
        <f>Assumptions!$B$4*(J6-I6)</f>
        <v/>
      </c>
      <c r="K21" s="10">
        <f>Assumptions!$B$4*(K6-J6)</f>
        <v/>
      </c>
      <c r="L21" s="10">
        <f>Assumptions!$B$4*(L6-K6)</f>
        <v/>
      </c>
    </row>
    <row r="22">
      <c r="A22" s="1" t="inlineStr">
        <is>
          <t>Unlevered owner FCF</t>
        </is>
      </c>
      <c r="C22" s="13">
        <f>C17+C18+C20+C21</f>
        <v/>
      </c>
      <c r="D22" s="13">
        <f>D17+D18+D20+D21</f>
        <v/>
      </c>
      <c r="E22" s="13">
        <f>E17+E18+E20+E21</f>
        <v/>
      </c>
      <c r="F22" s="13">
        <f>F17+F18+F20+F21</f>
        <v/>
      </c>
      <c r="G22" s="13">
        <f>G17+G18+G20+G21</f>
        <v/>
      </c>
      <c r="H22" s="13">
        <f>H17+H18+H20+H21</f>
        <v/>
      </c>
      <c r="I22" s="13">
        <f>I17+I18+I20+I21</f>
        <v/>
      </c>
      <c r="J22" s="13">
        <f>J17+J18+J20+J21</f>
        <v/>
      </c>
      <c r="K22" s="13">
        <f>K17+K18+K20+K21</f>
        <v/>
      </c>
      <c r="L22" s="13">
        <f>L17+L18+L20+L21</f>
        <v/>
      </c>
    </row>
    <row r="23">
      <c r="A23" t="inlineStr">
        <is>
          <t>Discount factor</t>
        </is>
      </c>
      <c r="C23" s="14">
        <f>1/(1+Assumptions!$B$3)^C4</f>
        <v/>
      </c>
      <c r="D23" s="14">
        <f>1/(1+Assumptions!$B$3)^D4</f>
        <v/>
      </c>
      <c r="E23" s="14">
        <f>1/(1+Assumptions!$B$3)^E4</f>
        <v/>
      </c>
      <c r="F23" s="14">
        <f>1/(1+Assumptions!$B$3)^F4</f>
        <v/>
      </c>
      <c r="G23" s="14">
        <f>1/(1+Assumptions!$B$3)^G4</f>
        <v/>
      </c>
      <c r="H23" s="14">
        <f>1/(1+Assumptions!$B$3)^H4</f>
        <v/>
      </c>
      <c r="I23" s="14">
        <f>1/(1+Assumptions!$B$3)^I4</f>
        <v/>
      </c>
      <c r="J23" s="14">
        <f>1/(1+Assumptions!$B$3)^J4</f>
        <v/>
      </c>
      <c r="K23" s="14">
        <f>1/(1+Assumptions!$B$3)^K4</f>
        <v/>
      </c>
      <c r="L23" s="14">
        <f>1/(1+Assumptions!$B$3)^L4</f>
        <v/>
      </c>
    </row>
    <row r="24">
      <c r="A24" t="inlineStr">
        <is>
          <t>PV of FCF</t>
        </is>
      </c>
      <c r="C24" s="11">
        <f>C22*C23</f>
        <v/>
      </c>
      <c r="D24" s="11">
        <f>D22*D23</f>
        <v/>
      </c>
      <c r="E24" s="11">
        <f>E22*E23</f>
        <v/>
      </c>
      <c r="F24" s="11">
        <f>F22*F23</f>
        <v/>
      </c>
      <c r="G24" s="11">
        <f>G22*G23</f>
        <v/>
      </c>
      <c r="H24" s="11">
        <f>H22*H23</f>
        <v/>
      </c>
      <c r="I24" s="11">
        <f>I22*I23</f>
        <v/>
      </c>
      <c r="J24" s="11">
        <f>J22*J23</f>
        <v/>
      </c>
      <c r="K24" s="11">
        <f>K22*K23</f>
        <v/>
      </c>
      <c r="L24" s="11">
        <f>L22*L23</f>
        <v/>
      </c>
    </row>
    <row r="26">
      <c r="A26" t="inlineStr">
        <is>
          <t>Memo: FCF before SBC (company-style)</t>
        </is>
      </c>
      <c r="C26" s="11">
        <f>C22-C10</f>
        <v/>
      </c>
      <c r="D26" s="11">
        <f>D22-D10</f>
        <v/>
      </c>
      <c r="E26" s="11">
        <f>E22-E10</f>
        <v/>
      </c>
      <c r="F26" s="11">
        <f>F22-F10</f>
        <v/>
      </c>
      <c r="G26" s="11">
        <f>G22-G10</f>
        <v/>
      </c>
      <c r="H26" s="11">
        <f>H22-H10</f>
        <v/>
      </c>
      <c r="I26" s="11">
        <f>I22-I10</f>
        <v/>
      </c>
      <c r="J26" s="11">
        <f>J22-J10</f>
        <v/>
      </c>
      <c r="K26" s="11">
        <f>K22-K10</f>
        <v/>
      </c>
      <c r="L26" s="11">
        <f>L22-L10</f>
        <v/>
      </c>
    </row>
    <row r="27">
      <c r="A27" t="inlineStr">
        <is>
          <t>Memo: owner FCF margin</t>
        </is>
      </c>
      <c r="C27" s="3">
        <f>C22/C6</f>
        <v/>
      </c>
      <c r="D27" s="3">
        <f>D22/D6</f>
        <v/>
      </c>
      <c r="E27" s="3">
        <f>E22/E6</f>
        <v/>
      </c>
      <c r="F27" s="3">
        <f>F22/F6</f>
        <v/>
      </c>
      <c r="G27" s="3">
        <f>G22/G6</f>
        <v/>
      </c>
      <c r="H27" s="3">
        <f>H22/H6</f>
        <v/>
      </c>
      <c r="I27" s="3">
        <f>I22/I6</f>
        <v/>
      </c>
      <c r="J27" s="3">
        <f>J22/J6</f>
        <v/>
      </c>
      <c r="K27" s="3">
        <f>K22/K6</f>
        <v/>
      </c>
      <c r="L27" s="3">
        <f>L22/L6</f>
        <v/>
      </c>
    </row>
    <row r="29">
      <c r="A29" t="inlineStr">
        <is>
          <t>Sum of PV of FCF (FY27-FY36)</t>
        </is>
      </c>
      <c r="B29" s="11">
        <f>SUM(C24:L24)</f>
        <v/>
      </c>
    </row>
    <row r="30">
      <c r="A30" t="inlineStr">
        <is>
          <t>Terminal growth</t>
        </is>
      </c>
      <c r="B30" s="15">
        <f>Assumptions!$B$14</f>
        <v/>
      </c>
    </row>
    <row r="31">
      <c r="A31" t="inlineStr">
        <is>
          <t>Terminal-year FCF x (1+g)</t>
        </is>
      </c>
      <c r="B31" s="11">
        <f>L22*(1+B30)</f>
        <v/>
      </c>
    </row>
    <row r="32">
      <c r="A32" t="inlineStr">
        <is>
          <t>Gordon terminal value</t>
        </is>
      </c>
      <c r="B32" s="11">
        <f>IF(Assumptions!$B$3&gt;B30,B31/(Assumptions!$B$3-B30),"n/a")</f>
        <v/>
      </c>
    </row>
    <row r="33">
      <c r="A33" t="inlineStr">
        <is>
          <t>Cap terminal value (cap x FCF_10)</t>
        </is>
      </c>
      <c r="B33" s="11">
        <f>Assumptions!$B$8*L22</f>
        <v/>
      </c>
    </row>
    <row r="34">
      <c r="A34" t="inlineStr">
        <is>
          <t>Terminal value used = MAX(0, MIN(Gordon, cap))</t>
        </is>
      </c>
      <c r="B34" s="11">
        <f>MAX(0,MIN(B32,B33))</f>
        <v/>
      </c>
    </row>
    <row r="35">
      <c r="A35" t="inlineStr">
        <is>
          <t>Implied exit multiple (TV / FCF_10)</t>
        </is>
      </c>
      <c r="B35" s="16">
        <f>IF(L22&lt;&gt;0,B34/L22,"n/a")</f>
        <v/>
      </c>
    </row>
    <row r="36">
      <c r="A36" t="inlineStr">
        <is>
          <t>PV of terminal value</t>
        </is>
      </c>
      <c r="B36" s="11">
        <f>B34*L23</f>
        <v/>
      </c>
    </row>
    <row r="37">
      <c r="A37" t="inlineStr">
        <is>
          <t>Enterprise value</t>
        </is>
      </c>
      <c r="B37" s="11">
        <f>B29+B36</f>
        <v/>
      </c>
    </row>
    <row r="38">
      <c r="A38" t="inlineStr">
        <is>
          <t>less net debt</t>
        </is>
      </c>
      <c r="B38" s="10">
        <f>-Assumptions!$B$5</f>
        <v/>
      </c>
    </row>
    <row r="39">
      <c r="A39" t="inlineStr">
        <is>
          <t>Equity value</t>
        </is>
      </c>
      <c r="B39" s="11">
        <f>B37+B38</f>
        <v/>
      </c>
    </row>
    <row r="40">
      <c r="A40" t="inlineStr">
        <is>
          <t>Diluted shares (m)</t>
        </is>
      </c>
      <c r="B40" s="17">
        <f>Assumptions!$B$6</f>
        <v/>
      </c>
    </row>
    <row r="41">
      <c r="A41" s="1" t="inlineStr">
        <is>
          <t>VALUE PER SHARE (AUD)</t>
        </is>
      </c>
      <c r="B41" s="18">
        <f>B39/B40</f>
        <v/>
      </c>
    </row>
    <row r="42">
      <c r="A42" t="inlineStr">
        <is>
          <t>Upside vs price</t>
        </is>
      </c>
      <c r="B42" s="3">
        <f>B41/Assumptions!$B$7-1</f>
        <v/>
      </c>
    </row>
    <row r="43">
      <c r="A43" t="inlineStr">
        <is>
          <t>Terminal value as % of EV</t>
        </is>
      </c>
      <c r="B43" s="3">
        <f>IF(B37&lt;&gt;0,B36/B37,"n/a")</f>
        <v/>
      </c>
    </row>
    <row r="45">
      <c r="A45" t="inlineStr">
        <is>
          <t>Street memo: PV of explicit-period SBC</t>
        </is>
      </c>
      <c r="B45" s="11">
        <f>SUMPRODUCT(-C10:L10/(1+Assumptions!$B$3)^C4:L4)</f>
        <v/>
      </c>
    </row>
    <row r="46">
      <c r="A46" t="inlineStr">
        <is>
          <t>Street memo: PV of terminal SBC (Gordon)</t>
        </is>
      </c>
      <c r="B46" s="11">
        <f>IF(Assumptions!$B$3&gt;B30,(-L10*(1+B30)/(Assumptions!$B$3-B30))*L23,0)</f>
        <v/>
      </c>
    </row>
    <row r="47">
      <c r="A47" t="inlineStr">
        <is>
          <t>Street value per share (SBC as non-cash)</t>
        </is>
      </c>
      <c r="B47" s="19">
        <f>(B39+B45+B46)/B40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DCF_Bull - owner-FCF component build, AUD millions. Yellow rows are the drivers.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0.01</v>
      </c>
      <c r="D5" s="9" t="n">
        <v>0.025</v>
      </c>
      <c r="E5" s="9" t="n">
        <v>0.03</v>
      </c>
      <c r="F5" s="9" t="n">
        <v>0.03</v>
      </c>
      <c r="G5" s="9" t="n">
        <v>0.03</v>
      </c>
      <c r="H5" s="9" t="n">
        <v>0.03</v>
      </c>
      <c r="I5" s="9" t="n">
        <v>0.03</v>
      </c>
      <c r="J5" s="9" t="n">
        <v>0.03</v>
      </c>
      <c r="K5" s="9" t="n">
        <v>0.03</v>
      </c>
      <c r="L5" s="9" t="n">
        <v>0.03</v>
      </c>
    </row>
    <row r="6">
      <c r="A6" t="inlineStr">
        <is>
          <t>Revenue</t>
        </is>
      </c>
      <c r="B6" s="10">
        <f>Assumptions!$B$9</f>
        <v/>
      </c>
      <c r="C6" s="11">
        <f>B6*(1+C5)</f>
        <v/>
      </c>
      <c r="D6" s="11">
        <f>C6*(1+D5)</f>
        <v/>
      </c>
      <c r="E6" s="11">
        <f>D6*(1+E5)</f>
        <v/>
      </c>
      <c r="F6" s="11">
        <f>E6*(1+F5)</f>
        <v/>
      </c>
      <c r="G6" s="11">
        <f>F6*(1+G5)</f>
        <v/>
      </c>
      <c r="H6" s="11">
        <f>G6*(1+H5)</f>
        <v/>
      </c>
      <c r="I6" s="11">
        <f>H6*(1+I5)</f>
        <v/>
      </c>
      <c r="J6" s="11">
        <f>I6*(1+J5)</f>
        <v/>
      </c>
      <c r="K6" s="11">
        <f>J6*(1+K5)</f>
        <v/>
      </c>
      <c r="L6" s="11">
        <f>K6*(1+L5)</f>
        <v/>
      </c>
    </row>
    <row r="7">
      <c r="A7" t="inlineStr">
        <is>
          <t>Adj EBITDA margin (cash-adjusted, post-lease)</t>
        </is>
      </c>
      <c r="C7" s="9" t="n">
        <v>0.122</v>
      </c>
      <c r="D7" s="9" t="n">
        <v>0.126</v>
      </c>
      <c r="E7" s="9" t="n">
        <v>0.13</v>
      </c>
      <c r="F7" s="9" t="n">
        <v>0.134</v>
      </c>
      <c r="G7" s="9" t="n">
        <v>0.136</v>
      </c>
      <c r="H7" s="9" t="n">
        <v>0.138</v>
      </c>
      <c r="I7" s="9" t="n">
        <v>0.14</v>
      </c>
      <c r="J7" s="9" t="n">
        <v>0.14</v>
      </c>
      <c r="K7" s="9" t="n">
        <v>0.14</v>
      </c>
      <c r="L7" s="9" t="n">
        <v>0.14</v>
      </c>
    </row>
    <row r="8">
      <c r="A8" t="inlineStr">
        <is>
          <t>Adj EBITDA</t>
        </is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  <c r="L8" s="11">
        <f>L6*L7</f>
        <v/>
      </c>
    </row>
    <row r="9">
      <c r="A9" t="inlineStr">
        <is>
          <t>SBC % of revenue</t>
        </is>
      </c>
      <c r="C9" s="12" t="n">
        <v>0.0005999999999999999</v>
      </c>
      <c r="D9" s="12" t="n">
        <v>0.0005999999999999999</v>
      </c>
      <c r="E9" s="12" t="n">
        <v>0.0005999999999999999</v>
      </c>
      <c r="F9" s="12" t="n">
        <v>0.0005999999999999999</v>
      </c>
      <c r="G9" s="12" t="n">
        <v>0.0005999999999999999</v>
      </c>
      <c r="H9" s="12" t="n">
        <v>0.0005999999999999999</v>
      </c>
      <c r="I9" s="12" t="n">
        <v>0.0005999999999999999</v>
      </c>
      <c r="J9" s="12" t="n">
        <v>0.0005999999999999999</v>
      </c>
      <c r="K9" s="12" t="n">
        <v>0.0005999999999999999</v>
      </c>
      <c r="L9" s="12" t="n">
        <v>0.0005999999999999999</v>
      </c>
    </row>
    <row r="10">
      <c r="A10" t="inlineStr">
        <is>
          <t>SBC</t>
        </is>
      </c>
      <c r="C10" s="11">
        <f>-C6*C9</f>
        <v/>
      </c>
      <c r="D10" s="11">
        <f>-D6*D9</f>
        <v/>
      </c>
      <c r="E10" s="11">
        <f>-E6*E9</f>
        <v/>
      </c>
      <c r="F10" s="11">
        <f>-F6*F9</f>
        <v/>
      </c>
      <c r="G10" s="11">
        <f>-G6*G9</f>
        <v/>
      </c>
      <c r="H10" s="11">
        <f>-H6*H9</f>
        <v/>
      </c>
      <c r="I10" s="11">
        <f>-I6*I9</f>
        <v/>
      </c>
      <c r="J10" s="11">
        <f>-J6*J9</f>
        <v/>
      </c>
      <c r="K10" s="11">
        <f>-K6*K9</f>
        <v/>
      </c>
      <c r="L10" s="11">
        <f>-L6*L9</f>
        <v/>
      </c>
    </row>
    <row r="11">
      <c r="A11" t="inlineStr">
        <is>
          <t>Owner EBITDA</t>
        </is>
      </c>
      <c r="C11" s="11">
        <f>C8+C10</f>
        <v/>
      </c>
      <c r="D11" s="11">
        <f>D8+D10</f>
        <v/>
      </c>
      <c r="E11" s="11">
        <f>E8+E10</f>
        <v/>
      </c>
      <c r="F11" s="11">
        <f>F8+F10</f>
        <v/>
      </c>
      <c r="G11" s="11">
        <f>G8+G10</f>
        <v/>
      </c>
      <c r="H11" s="11">
        <f>H8+H10</f>
        <v/>
      </c>
      <c r="I11" s="11">
        <f>I8+I10</f>
        <v/>
      </c>
      <c r="J11" s="11">
        <f>J8+J10</f>
        <v/>
      </c>
      <c r="K11" s="11">
        <f>K8+K10</f>
        <v/>
      </c>
      <c r="L11" s="11">
        <f>L8+L10</f>
        <v/>
      </c>
    </row>
    <row r="12">
      <c r="A12" t="inlineStr">
        <is>
          <t>D&amp;A % of revenue (ex ROU)</t>
        </is>
      </c>
      <c r="C12" s="9" t="n">
        <v>0.05599999999999999</v>
      </c>
      <c r="D12" s="9" t="n">
        <v>0.058</v>
      </c>
      <c r="E12" s="9" t="n">
        <v>0.06</v>
      </c>
      <c r="F12" s="9" t="n">
        <v>0.062</v>
      </c>
      <c r="G12" s="9" t="n">
        <v>0.063</v>
      </c>
      <c r="H12" s="9" t="n">
        <v>0.064</v>
      </c>
      <c r="I12" s="9" t="n">
        <v>0.065</v>
      </c>
      <c r="J12" s="9" t="n">
        <v>0.065</v>
      </c>
      <c r="K12" s="9" t="n">
        <v>0.065</v>
      </c>
      <c r="L12" s="9" t="n">
        <v>0.065</v>
      </c>
    </row>
    <row r="13">
      <c r="A13" t="inlineStr">
        <is>
          <t>D&amp;A</t>
        </is>
      </c>
      <c r="C13" s="11">
        <f>-C6*C12</f>
        <v/>
      </c>
      <c r="D13" s="11">
        <f>-D6*D12</f>
        <v/>
      </c>
      <c r="E13" s="11">
        <f>-E6*E12</f>
        <v/>
      </c>
      <c r="F13" s="11">
        <f>-F6*F12</f>
        <v/>
      </c>
      <c r="G13" s="11">
        <f>-G6*G12</f>
        <v/>
      </c>
      <c r="H13" s="11">
        <f>-H6*H12</f>
        <v/>
      </c>
      <c r="I13" s="11">
        <f>-I6*I12</f>
        <v/>
      </c>
      <c r="J13" s="11">
        <f>-J6*J12</f>
        <v/>
      </c>
      <c r="K13" s="11">
        <f>-K6*K12</f>
        <v/>
      </c>
      <c r="L13" s="11">
        <f>-L6*L12</f>
        <v/>
      </c>
    </row>
    <row r="14">
      <c r="A14" t="inlineStr">
        <is>
          <t>EBIT (SBC expensed)</t>
        </is>
      </c>
      <c r="C14" s="11">
        <f>C11+C13</f>
        <v/>
      </c>
      <c r="D14" s="11">
        <f>D11+D13</f>
        <v/>
      </c>
      <c r="E14" s="11">
        <f>E11+E13</f>
        <v/>
      </c>
      <c r="F14" s="11">
        <f>F11+F13</f>
        <v/>
      </c>
      <c r="G14" s="11">
        <f>G11+G13</f>
        <v/>
      </c>
      <c r="H14" s="11">
        <f>H11+H13</f>
        <v/>
      </c>
      <c r="I14" s="11">
        <f>I11+I13</f>
        <v/>
      </c>
      <c r="J14" s="11">
        <f>J11+J13</f>
        <v/>
      </c>
      <c r="K14" s="11">
        <f>K11+K13</f>
        <v/>
      </c>
      <c r="L14" s="11">
        <f>L11+L13</f>
        <v/>
      </c>
    </row>
    <row r="15">
      <c r="A15" t="inlineStr">
        <is>
          <t>Cash tax rate</t>
        </is>
      </c>
      <c r="C15" s="9" t="n">
        <v>0.18</v>
      </c>
      <c r="D15" s="9" t="n">
        <v>0.2</v>
      </c>
      <c r="E15" s="9" t="n">
        <v>0.22</v>
      </c>
      <c r="F15" s="9" t="n">
        <v>0.24</v>
      </c>
      <c r="G15" s="9" t="n">
        <v>0.26</v>
      </c>
      <c r="H15" s="9" t="n">
        <v>0.28</v>
      </c>
      <c r="I15" s="9" t="n">
        <v>0.3</v>
      </c>
      <c r="J15" s="9" t="n">
        <v>0.3</v>
      </c>
      <c r="K15" s="9" t="n">
        <v>0.3</v>
      </c>
      <c r="L15" s="9" t="n">
        <v>0.3</v>
      </c>
    </row>
    <row r="16">
      <c r="A16" t="inlineStr">
        <is>
          <t>Cash tax</t>
        </is>
      </c>
      <c r="C16" s="11">
        <f>-MAX(0,C14)*C15</f>
        <v/>
      </c>
      <c r="D16" s="11">
        <f>-MAX(0,D14)*D15</f>
        <v/>
      </c>
      <c r="E16" s="11">
        <f>-MAX(0,E14)*E15</f>
        <v/>
      </c>
      <c r="F16" s="11">
        <f>-MAX(0,F14)*F15</f>
        <v/>
      </c>
      <c r="G16" s="11">
        <f>-MAX(0,G14)*G15</f>
        <v/>
      </c>
      <c r="H16" s="11">
        <f>-MAX(0,H14)*H15</f>
        <v/>
      </c>
      <c r="I16" s="11">
        <f>-MAX(0,I14)*I15</f>
        <v/>
      </c>
      <c r="J16" s="11">
        <f>-MAX(0,J14)*J15</f>
        <v/>
      </c>
      <c r="K16" s="11">
        <f>-MAX(0,K14)*K15</f>
        <v/>
      </c>
      <c r="L16" s="11">
        <f>-MAX(0,L14)*L15</f>
        <v/>
      </c>
    </row>
    <row r="17">
      <c r="A17" t="inlineStr">
        <is>
          <t>NOPAT</t>
        </is>
      </c>
      <c r="C17" s="11">
        <f>C14+C16</f>
        <v/>
      </c>
      <c r="D17" s="11">
        <f>D14+D16</f>
        <v/>
      </c>
      <c r="E17" s="11">
        <f>E14+E16</f>
        <v/>
      </c>
      <c r="F17" s="11">
        <f>F14+F16</f>
        <v/>
      </c>
      <c r="G17" s="11">
        <f>G14+G16</f>
        <v/>
      </c>
      <c r="H17" s="11">
        <f>H14+H16</f>
        <v/>
      </c>
      <c r="I17" s="11">
        <f>I14+I16</f>
        <v/>
      </c>
      <c r="J17" s="11">
        <f>J14+J16</f>
        <v/>
      </c>
      <c r="K17" s="11">
        <f>K14+K16</f>
        <v/>
      </c>
      <c r="L17" s="11">
        <f>L14+L16</f>
        <v/>
      </c>
    </row>
    <row r="18">
      <c r="A18" t="inlineStr">
        <is>
          <t>add back D&amp;A</t>
        </is>
      </c>
      <c r="C18" s="11">
        <f>-C13</f>
        <v/>
      </c>
      <c r="D18" s="11">
        <f>-D13</f>
        <v/>
      </c>
      <c r="E18" s="11">
        <f>-E13</f>
        <v/>
      </c>
      <c r="F18" s="11">
        <f>-F13</f>
        <v/>
      </c>
      <c r="G18" s="11">
        <f>-G13</f>
        <v/>
      </c>
      <c r="H18" s="11">
        <f>-H13</f>
        <v/>
      </c>
      <c r="I18" s="11">
        <f>-I13</f>
        <v/>
      </c>
      <c r="J18" s="11">
        <f>-J13</f>
        <v/>
      </c>
      <c r="K18" s="11">
        <f>-K13</f>
        <v/>
      </c>
      <c r="L18" s="11">
        <f>-L13</f>
        <v/>
      </c>
    </row>
    <row r="19">
      <c r="A19" t="inlineStr">
        <is>
          <t>Capex % of revenue (sustaining + growth)</t>
        </is>
      </c>
      <c r="C19" s="9" t="n">
        <v>0.11</v>
      </c>
      <c r="D19" s="9" t="n">
        <v>0.1</v>
      </c>
      <c r="E19" s="9" t="n">
        <v>0.09</v>
      </c>
      <c r="F19" s="9" t="n">
        <v>0.08500000000000001</v>
      </c>
      <c r="G19" s="9" t="n">
        <v>0.08</v>
      </c>
      <c r="H19" s="9" t="n">
        <v>0.075</v>
      </c>
      <c r="I19" s="9" t="n">
        <v>0.07000000000000001</v>
      </c>
      <c r="J19" s="9" t="n">
        <v>0.065</v>
      </c>
      <c r="K19" s="9" t="n">
        <v>0.06</v>
      </c>
      <c r="L19" s="9" t="n">
        <v>0.06</v>
      </c>
    </row>
    <row r="20">
      <c r="A20" t="inlineStr">
        <is>
          <t>Capex</t>
        </is>
      </c>
      <c r="C20" s="11">
        <f>-C6*C19</f>
        <v/>
      </c>
      <c r="D20" s="11">
        <f>-D6*D19</f>
        <v/>
      </c>
      <c r="E20" s="11">
        <f>-E6*E19</f>
        <v/>
      </c>
      <c r="F20" s="11">
        <f>-F6*F19</f>
        <v/>
      </c>
      <c r="G20" s="11">
        <f>-G6*G19</f>
        <v/>
      </c>
      <c r="H20" s="11">
        <f>-H6*H19</f>
        <v/>
      </c>
      <c r="I20" s="11">
        <f>-I6*I19</f>
        <v/>
      </c>
      <c r="J20" s="11">
        <f>-J6*J19</f>
        <v/>
      </c>
      <c r="K20" s="11">
        <f>-K6*K19</f>
        <v/>
      </c>
      <c r="L20" s="11">
        <f>-L6*L19</f>
        <v/>
      </c>
    </row>
    <row r="21">
      <c r="A21" t="inlineStr">
        <is>
          <t>Working capital (capture x change in revenue)</t>
        </is>
      </c>
      <c r="C21" s="10">
        <f>Assumptions!$B$4*(C6-B6)</f>
        <v/>
      </c>
      <c r="D21" s="10">
        <f>Assumptions!$B$4*(D6-C6)</f>
        <v/>
      </c>
      <c r="E21" s="10">
        <f>Assumptions!$B$4*(E6-D6)</f>
        <v/>
      </c>
      <c r="F21" s="10">
        <f>Assumptions!$B$4*(F6-E6)</f>
        <v/>
      </c>
      <c r="G21" s="10">
        <f>Assumptions!$B$4*(G6-F6)</f>
        <v/>
      </c>
      <c r="H21" s="10">
        <f>Assumptions!$B$4*(H6-G6)</f>
        <v/>
      </c>
      <c r="I21" s="10">
        <f>Assumptions!$B$4*(I6-H6)</f>
        <v/>
      </c>
      <c r="J21" s="10">
        <f>Assumptions!$B$4*(J6-I6)</f>
        <v/>
      </c>
      <c r="K21" s="10">
        <f>Assumptions!$B$4*(K6-J6)</f>
        <v/>
      </c>
      <c r="L21" s="10">
        <f>Assumptions!$B$4*(L6-K6)</f>
        <v/>
      </c>
    </row>
    <row r="22">
      <c r="A22" s="1" t="inlineStr">
        <is>
          <t>Unlevered owner FCF</t>
        </is>
      </c>
      <c r="C22" s="13">
        <f>C17+C18+C20+C21</f>
        <v/>
      </c>
      <c r="D22" s="13">
        <f>D17+D18+D20+D21</f>
        <v/>
      </c>
      <c r="E22" s="13">
        <f>E17+E18+E20+E21</f>
        <v/>
      </c>
      <c r="F22" s="13">
        <f>F17+F18+F20+F21</f>
        <v/>
      </c>
      <c r="G22" s="13">
        <f>G17+G18+G20+G21</f>
        <v/>
      </c>
      <c r="H22" s="13">
        <f>H17+H18+H20+H21</f>
        <v/>
      </c>
      <c r="I22" s="13">
        <f>I17+I18+I20+I21</f>
        <v/>
      </c>
      <c r="J22" s="13">
        <f>J17+J18+J20+J21</f>
        <v/>
      </c>
      <c r="K22" s="13">
        <f>K17+K18+K20+K21</f>
        <v/>
      </c>
      <c r="L22" s="13">
        <f>L17+L18+L20+L21</f>
        <v/>
      </c>
    </row>
    <row r="23">
      <c r="A23" t="inlineStr">
        <is>
          <t>Discount factor</t>
        </is>
      </c>
      <c r="C23" s="14">
        <f>1/(1+Assumptions!$B$3)^C4</f>
        <v/>
      </c>
      <c r="D23" s="14">
        <f>1/(1+Assumptions!$B$3)^D4</f>
        <v/>
      </c>
      <c r="E23" s="14">
        <f>1/(1+Assumptions!$B$3)^E4</f>
        <v/>
      </c>
      <c r="F23" s="14">
        <f>1/(1+Assumptions!$B$3)^F4</f>
        <v/>
      </c>
      <c r="G23" s="14">
        <f>1/(1+Assumptions!$B$3)^G4</f>
        <v/>
      </c>
      <c r="H23" s="14">
        <f>1/(1+Assumptions!$B$3)^H4</f>
        <v/>
      </c>
      <c r="I23" s="14">
        <f>1/(1+Assumptions!$B$3)^I4</f>
        <v/>
      </c>
      <c r="J23" s="14">
        <f>1/(1+Assumptions!$B$3)^J4</f>
        <v/>
      </c>
      <c r="K23" s="14">
        <f>1/(1+Assumptions!$B$3)^K4</f>
        <v/>
      </c>
      <c r="L23" s="14">
        <f>1/(1+Assumptions!$B$3)^L4</f>
        <v/>
      </c>
    </row>
    <row r="24">
      <c r="A24" t="inlineStr">
        <is>
          <t>PV of FCF</t>
        </is>
      </c>
      <c r="C24" s="11">
        <f>C22*C23</f>
        <v/>
      </c>
      <c r="D24" s="11">
        <f>D22*D23</f>
        <v/>
      </c>
      <c r="E24" s="11">
        <f>E22*E23</f>
        <v/>
      </c>
      <c r="F24" s="11">
        <f>F22*F23</f>
        <v/>
      </c>
      <c r="G24" s="11">
        <f>G22*G23</f>
        <v/>
      </c>
      <c r="H24" s="11">
        <f>H22*H23</f>
        <v/>
      </c>
      <c r="I24" s="11">
        <f>I22*I23</f>
        <v/>
      </c>
      <c r="J24" s="11">
        <f>J22*J23</f>
        <v/>
      </c>
      <c r="K24" s="11">
        <f>K22*K23</f>
        <v/>
      </c>
      <c r="L24" s="11">
        <f>L22*L23</f>
        <v/>
      </c>
    </row>
    <row r="26">
      <c r="A26" t="inlineStr">
        <is>
          <t>Memo: FCF before SBC (company-style)</t>
        </is>
      </c>
      <c r="C26" s="11">
        <f>C22-C10</f>
        <v/>
      </c>
      <c r="D26" s="11">
        <f>D22-D10</f>
        <v/>
      </c>
      <c r="E26" s="11">
        <f>E22-E10</f>
        <v/>
      </c>
      <c r="F26" s="11">
        <f>F22-F10</f>
        <v/>
      </c>
      <c r="G26" s="11">
        <f>G22-G10</f>
        <v/>
      </c>
      <c r="H26" s="11">
        <f>H22-H10</f>
        <v/>
      </c>
      <c r="I26" s="11">
        <f>I22-I10</f>
        <v/>
      </c>
      <c r="J26" s="11">
        <f>J22-J10</f>
        <v/>
      </c>
      <c r="K26" s="11">
        <f>K22-K10</f>
        <v/>
      </c>
      <c r="L26" s="11">
        <f>L22-L10</f>
        <v/>
      </c>
    </row>
    <row r="27">
      <c r="A27" t="inlineStr">
        <is>
          <t>Memo: owner FCF margin</t>
        </is>
      </c>
      <c r="C27" s="3">
        <f>C22/C6</f>
        <v/>
      </c>
      <c r="D27" s="3">
        <f>D22/D6</f>
        <v/>
      </c>
      <c r="E27" s="3">
        <f>E22/E6</f>
        <v/>
      </c>
      <c r="F27" s="3">
        <f>F22/F6</f>
        <v/>
      </c>
      <c r="G27" s="3">
        <f>G22/G6</f>
        <v/>
      </c>
      <c r="H27" s="3">
        <f>H22/H6</f>
        <v/>
      </c>
      <c r="I27" s="3">
        <f>I22/I6</f>
        <v/>
      </c>
      <c r="J27" s="3">
        <f>J22/J6</f>
        <v/>
      </c>
      <c r="K27" s="3">
        <f>K22/K6</f>
        <v/>
      </c>
      <c r="L27" s="3">
        <f>L22/L6</f>
        <v/>
      </c>
    </row>
    <row r="29">
      <c r="A29" t="inlineStr">
        <is>
          <t>Sum of PV of FCF (FY27-FY36)</t>
        </is>
      </c>
      <c r="B29" s="11">
        <f>SUM(C24:L24)</f>
        <v/>
      </c>
    </row>
    <row r="30">
      <c r="A30" t="inlineStr">
        <is>
          <t>Terminal growth</t>
        </is>
      </c>
      <c r="B30" s="15">
        <f>Assumptions!$B$15</f>
        <v/>
      </c>
    </row>
    <row r="31">
      <c r="A31" t="inlineStr">
        <is>
          <t>Terminal-year FCF x (1+g)</t>
        </is>
      </c>
      <c r="B31" s="11">
        <f>L22*(1+B30)</f>
        <v/>
      </c>
    </row>
    <row r="32">
      <c r="A32" t="inlineStr">
        <is>
          <t>Gordon terminal value</t>
        </is>
      </c>
      <c r="B32" s="11">
        <f>IF(Assumptions!$B$3&gt;B30,B31/(Assumptions!$B$3-B30),"n/a")</f>
        <v/>
      </c>
    </row>
    <row r="33">
      <c r="A33" t="inlineStr">
        <is>
          <t>Cap terminal value (cap x FCF_10)</t>
        </is>
      </c>
      <c r="B33" s="11">
        <f>Assumptions!$B$8*L22</f>
        <v/>
      </c>
    </row>
    <row r="34">
      <c r="A34" t="inlineStr">
        <is>
          <t>Terminal value used = MAX(0, MIN(Gordon, cap))</t>
        </is>
      </c>
      <c r="B34" s="11">
        <f>MAX(0,MIN(B32,B33))</f>
        <v/>
      </c>
    </row>
    <row r="35">
      <c r="A35" t="inlineStr">
        <is>
          <t>Implied exit multiple (TV / FCF_10)</t>
        </is>
      </c>
      <c r="B35" s="16">
        <f>IF(L22&lt;&gt;0,B34/L22,"n/a")</f>
        <v/>
      </c>
    </row>
    <row r="36">
      <c r="A36" t="inlineStr">
        <is>
          <t>PV of terminal value</t>
        </is>
      </c>
      <c r="B36" s="11">
        <f>B34*L23</f>
        <v/>
      </c>
    </row>
    <row r="37">
      <c r="A37" t="inlineStr">
        <is>
          <t>Enterprise value</t>
        </is>
      </c>
      <c r="B37" s="11">
        <f>B29+B36</f>
        <v/>
      </c>
    </row>
    <row r="38">
      <c r="A38" t="inlineStr">
        <is>
          <t>less net debt</t>
        </is>
      </c>
      <c r="B38" s="10">
        <f>-Assumptions!$B$5</f>
        <v/>
      </c>
    </row>
    <row r="39">
      <c r="A39" t="inlineStr">
        <is>
          <t>Equity value</t>
        </is>
      </c>
      <c r="B39" s="11">
        <f>B37+B38</f>
        <v/>
      </c>
    </row>
    <row r="40">
      <c r="A40" t="inlineStr">
        <is>
          <t>Diluted shares (m)</t>
        </is>
      </c>
      <c r="B40" s="17">
        <f>Assumptions!$B$6</f>
        <v/>
      </c>
    </row>
    <row r="41">
      <c r="A41" s="1" t="inlineStr">
        <is>
          <t>VALUE PER SHARE (AUD)</t>
        </is>
      </c>
      <c r="B41" s="18">
        <f>B39/B40</f>
        <v/>
      </c>
    </row>
    <row r="42">
      <c r="A42" t="inlineStr">
        <is>
          <t>Upside vs price</t>
        </is>
      </c>
      <c r="B42" s="3">
        <f>B41/Assumptions!$B$7-1</f>
        <v/>
      </c>
    </row>
    <row r="43">
      <c r="A43" t="inlineStr">
        <is>
          <t>Terminal value as % of EV</t>
        </is>
      </c>
      <c r="B43" s="3">
        <f>IF(B37&lt;&gt;0,B36/B37,"n/a")</f>
        <v/>
      </c>
    </row>
    <row r="45">
      <c r="A45" t="inlineStr">
        <is>
          <t>Street memo: PV of explicit-period SBC</t>
        </is>
      </c>
      <c r="B45" s="11">
        <f>SUMPRODUCT(-C10:L10/(1+Assumptions!$B$3)^C4:L4)</f>
        <v/>
      </c>
    </row>
    <row r="46">
      <c r="A46" t="inlineStr">
        <is>
          <t>Street memo: PV of terminal SBC (Gordon)</t>
        </is>
      </c>
      <c r="B46" s="11">
        <f>IF(Assumptions!$B$3&gt;B30,(-L10*(1+B30)/(Assumptions!$B$3-B30))*L23,0)</f>
        <v/>
      </c>
    </row>
    <row r="47">
      <c r="A47" t="inlineStr">
        <is>
          <t>Street value per share (SBC as non-cash)</t>
        </is>
      </c>
      <c r="B47" s="19">
        <f>(B39+B45+B46)/B40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0" customWidth="1" min="4" max="4"/>
    <col width="18" customWidth="1" min="5" max="5"/>
    <col width="12" customWidth="1" min="6" max="6"/>
    <col width="18" customWidth="1" min="7" max="7"/>
    <col width="16" customWidth="1" min="8" max="8"/>
    <col width="16" customWidth="1" min="9" max="9"/>
    <col width="14" customWidth="1" min="10" max="10"/>
    <col width="24" customWidth="1" min="11" max="11"/>
    <col width="36" customWidth="1" min="12" max="12"/>
  </cols>
  <sheetData>
    <row r="1">
      <c r="A1" t="inlineStr">
        <is>
          <t>Reported FCF reconciled to owner FCF, AUD millions (treatment B: lease principal deducted; interest income not stripped because AGL is net-debt).</t>
        </is>
      </c>
    </row>
    <row r="2">
      <c r="A2" t="inlineStr">
        <is>
          <t>FY</t>
        </is>
      </c>
      <c r="B2" t="inlineStr">
        <is>
          <t>Revenue</t>
        </is>
      </c>
      <c r="C2" t="inlineStr">
        <is>
          <t>Reported FCF (OCF-capex)</t>
        </is>
      </c>
      <c r="D2" t="inlineStr">
        <is>
          <t>less SBC</t>
        </is>
      </c>
      <c r="E2" t="inlineStr">
        <is>
          <t>less lease principal</t>
        </is>
      </c>
      <c r="F2" t="inlineStr">
        <is>
          <t>Owner FCF</t>
        </is>
      </c>
      <c r="G2" t="inlineStr">
        <is>
          <t>Reported FCF margin</t>
        </is>
      </c>
      <c r="H2" t="inlineStr">
        <is>
          <t>Owner FCF margin</t>
        </is>
      </c>
      <c r="I2" t="inlineStr">
        <is>
          <t>Underlying EBITDA</t>
        </is>
      </c>
      <c r="J2" t="inlineStr">
        <is>
          <t>Cash taxes paid</t>
        </is>
      </c>
      <c r="K2" t="inlineStr">
        <is>
          <t>Cash tax / underlying EBITDA</t>
        </is>
      </c>
      <c r="L2" t="inlineStr">
        <is>
          <t>Flag</t>
        </is>
      </c>
    </row>
    <row r="3">
      <c r="A3" s="20">
        <f>Actuals!A3</f>
        <v/>
      </c>
      <c r="B3" s="10">
        <f>Actuals!B3</f>
        <v/>
      </c>
      <c r="C3" s="10">
        <f>Actuals!G3</f>
        <v/>
      </c>
      <c r="D3" s="10">
        <f>-Actuals!H3</f>
        <v/>
      </c>
      <c r="E3" s="10">
        <f>-Actuals!I3</f>
        <v/>
      </c>
      <c r="F3" s="11">
        <f>C3+D3+E3</f>
        <v/>
      </c>
      <c r="G3" s="3">
        <f>C3/B3</f>
        <v/>
      </c>
      <c r="H3" s="3">
        <f>F3/B3</f>
        <v/>
      </c>
      <c r="I3" s="10">
        <f>Actuals!C3</f>
        <v/>
      </c>
      <c r="J3" s="10">
        <f>Actuals!J3</f>
        <v/>
      </c>
      <c r="K3" s="3">
        <f>J3/I3</f>
        <v/>
      </c>
      <c r="L3">
        <f>IF(K3&lt;0.05,"abnormally low cash tax",IF(F3&lt;0,"negative owner FCF (capex supercycle)",""))</f>
        <v/>
      </c>
    </row>
    <row r="4">
      <c r="A4" s="20">
        <f>Actuals!A4</f>
        <v/>
      </c>
      <c r="B4" s="10">
        <f>Actuals!B4</f>
        <v/>
      </c>
      <c r="C4" s="10">
        <f>Actuals!G4</f>
        <v/>
      </c>
      <c r="D4" s="10">
        <f>-Actuals!H4</f>
        <v/>
      </c>
      <c r="E4" s="10">
        <f>-Actuals!I4</f>
        <v/>
      </c>
      <c r="F4" s="11">
        <f>C4+D4+E4</f>
        <v/>
      </c>
      <c r="G4" s="3">
        <f>C4/B4</f>
        <v/>
      </c>
      <c r="H4" s="3">
        <f>F4/B4</f>
        <v/>
      </c>
      <c r="I4" s="10">
        <f>Actuals!C4</f>
        <v/>
      </c>
      <c r="J4" s="10">
        <f>Actuals!J4</f>
        <v/>
      </c>
      <c r="K4" s="3">
        <f>J4/I4</f>
        <v/>
      </c>
      <c r="L4">
        <f>IF(K4&lt;0.05,"abnormally low cash tax",IF(F4&lt;0,"negative owner FCF (capex supercycle)",""))</f>
        <v/>
      </c>
    </row>
    <row r="5">
      <c r="A5" s="20">
        <f>Actuals!A5</f>
        <v/>
      </c>
      <c r="B5" s="10">
        <f>Actuals!B5</f>
        <v/>
      </c>
      <c r="C5" s="10">
        <f>Actuals!G5</f>
        <v/>
      </c>
      <c r="D5" s="10">
        <f>-Actuals!H5</f>
        <v/>
      </c>
      <c r="E5" s="10">
        <f>-Actuals!I5</f>
        <v/>
      </c>
      <c r="F5" s="11">
        <f>C5+D5+E5</f>
        <v/>
      </c>
      <c r="G5" s="3">
        <f>C5/B5</f>
        <v/>
      </c>
      <c r="H5" s="3">
        <f>F5/B5</f>
        <v/>
      </c>
      <c r="I5" s="10">
        <f>Actuals!C5</f>
        <v/>
      </c>
      <c r="J5" s="10">
        <f>Actuals!J5</f>
        <v/>
      </c>
      <c r="K5" s="3">
        <f>J5/I5</f>
        <v/>
      </c>
      <c r="L5">
        <f>IF(K5&lt;0.05,"abnormally low cash tax",IF(F5&lt;0,"negative owner FCF (capex supercycle)",""))</f>
        <v/>
      </c>
    </row>
    <row r="6">
      <c r="A6" s="20">
        <f>Actuals!A6</f>
        <v/>
      </c>
      <c r="B6" s="10">
        <f>Actuals!B6</f>
        <v/>
      </c>
      <c r="C6" s="10">
        <f>Actuals!G6</f>
        <v/>
      </c>
      <c r="D6" s="10">
        <f>-Actuals!H6</f>
        <v/>
      </c>
      <c r="E6" s="10">
        <f>-Actuals!I6</f>
        <v/>
      </c>
      <c r="F6" s="11">
        <f>C6+D6+E6</f>
        <v/>
      </c>
      <c r="G6" s="3">
        <f>C6/B6</f>
        <v/>
      </c>
      <c r="H6" s="3">
        <f>F6/B6</f>
        <v/>
      </c>
      <c r="I6" s="10">
        <f>Actuals!C6</f>
        <v/>
      </c>
      <c r="J6" s="10">
        <f>Actuals!J6</f>
        <v/>
      </c>
      <c r="K6" s="3">
        <f>J6/I6</f>
        <v/>
      </c>
      <c r="L6">
        <f>IF(K6&lt;0.05,"abnormally low cash tax",IF(F6&lt;0,"negative owner FCF (capex supercycle)",""))</f>
        <v/>
      </c>
    </row>
    <row r="7">
      <c r="A7" s="20">
        <f>Actuals!A7</f>
        <v/>
      </c>
      <c r="B7" s="10">
        <f>Actuals!B7</f>
        <v/>
      </c>
      <c r="C7" s="10">
        <f>Actuals!G7</f>
        <v/>
      </c>
      <c r="D7" s="10">
        <f>-Actuals!H7</f>
        <v/>
      </c>
      <c r="E7" s="10">
        <f>-Actuals!I7</f>
        <v/>
      </c>
      <c r="F7" s="11">
        <f>C7+D7+E7</f>
        <v/>
      </c>
      <c r="G7" s="3">
        <f>C7/B7</f>
        <v/>
      </c>
      <c r="H7" s="3">
        <f>F7/B7</f>
        <v/>
      </c>
      <c r="I7" s="10">
        <f>Actuals!C7</f>
        <v/>
      </c>
      <c r="J7" s="10">
        <f>Actuals!J7</f>
        <v/>
      </c>
      <c r="K7" s="3">
        <f>J7/I7</f>
        <v/>
      </c>
      <c r="L7">
        <f>IF(K7&lt;0.05,"abnormally low cash tax",IF(F7&lt;0,"negative owner FCF (capex supercycle)",""))</f>
        <v/>
      </c>
    </row>
    <row r="8">
      <c r="A8" s="20">
        <f>Actuals!A8</f>
        <v/>
      </c>
      <c r="B8" s="10">
        <f>Actuals!B8</f>
        <v/>
      </c>
      <c r="C8" s="10">
        <f>Actuals!G8</f>
        <v/>
      </c>
      <c r="D8" s="10">
        <f>-Actuals!H8</f>
        <v/>
      </c>
      <c r="E8" s="10">
        <f>-Actuals!I8</f>
        <v/>
      </c>
      <c r="F8" s="11">
        <f>C8+D8+E8</f>
        <v/>
      </c>
      <c r="G8" s="3">
        <f>C8/B8</f>
        <v/>
      </c>
      <c r="H8" s="3">
        <f>F8/B8</f>
        <v/>
      </c>
      <c r="I8" s="10">
        <f>Actuals!C8</f>
        <v/>
      </c>
      <c r="J8" s="10">
        <f>Actuals!J8</f>
        <v/>
      </c>
      <c r="K8" s="3">
        <f>J8/I8</f>
        <v/>
      </c>
      <c r="L8">
        <f>IF(K8&lt;0.05,"abnormally low cash tax",IF(F8&lt;0,"negative owner FCF (capex supercycle)",""))</f>
        <v/>
      </c>
    </row>
    <row r="9">
      <c r="A9" s="20">
        <f>Actuals!A9</f>
        <v/>
      </c>
      <c r="B9" s="10">
        <f>Actuals!B9</f>
        <v/>
      </c>
      <c r="C9" s="10">
        <f>Actuals!G9</f>
        <v/>
      </c>
      <c r="D9" s="10">
        <f>-Actuals!H9</f>
        <v/>
      </c>
      <c r="E9" s="10">
        <f>-Actuals!I9</f>
        <v/>
      </c>
      <c r="F9" s="11">
        <f>C9+D9+E9</f>
        <v/>
      </c>
      <c r="G9" s="3">
        <f>C9/B9</f>
        <v/>
      </c>
      <c r="H9" s="3">
        <f>F9/B9</f>
        <v/>
      </c>
      <c r="I9" s="10">
        <f>Actuals!C9</f>
        <v/>
      </c>
      <c r="J9" s="10">
        <f>Actuals!J9</f>
        <v/>
      </c>
      <c r="K9" s="3">
        <f>J9/I9</f>
        <v/>
      </c>
      <c r="L9">
        <f>IF(K9&lt;0.05,"abnormally low cash tax",IF(F9&lt;0,"negative owner FCF (capex supercycle)",""))</f>
        <v/>
      </c>
    </row>
    <row r="10">
      <c r="A10" s="20">
        <f>Actuals!A10</f>
        <v/>
      </c>
      <c r="B10" s="10">
        <f>Actuals!B10</f>
        <v/>
      </c>
      <c r="C10" s="10">
        <f>Actuals!G10</f>
        <v/>
      </c>
      <c r="D10" s="10">
        <f>-Actuals!H10</f>
        <v/>
      </c>
      <c r="E10" s="10">
        <f>-Actuals!I10</f>
        <v/>
      </c>
      <c r="F10" s="11">
        <f>C10+D10+E10</f>
        <v/>
      </c>
      <c r="G10" s="3">
        <f>C10/B10</f>
        <v/>
      </c>
      <c r="H10" s="3">
        <f>F10/B10</f>
        <v/>
      </c>
      <c r="I10" s="10">
        <f>Actuals!C10</f>
        <v/>
      </c>
      <c r="J10" s="10">
        <f>Actuals!J10</f>
        <v/>
      </c>
      <c r="K10" s="3">
        <f>J10/I10</f>
        <v/>
      </c>
      <c r="L10">
        <f>IF(K10&lt;0.05,"abnormally low cash tax",IF(F10&lt;0,"negative owner FCF (capex supercycle)",""))</f>
        <v/>
      </c>
    </row>
    <row r="11">
      <c r="A11" s="20">
        <f>Actuals!A11</f>
        <v/>
      </c>
      <c r="B11" s="10">
        <f>Actuals!B11</f>
        <v/>
      </c>
      <c r="C11" s="10">
        <f>Actuals!G11</f>
        <v/>
      </c>
      <c r="D11" s="10">
        <f>-Actuals!H11</f>
        <v/>
      </c>
      <c r="E11" s="10">
        <f>-Actuals!I11</f>
        <v/>
      </c>
      <c r="F11" s="11">
        <f>C11+D11+E11</f>
        <v/>
      </c>
      <c r="G11" s="3">
        <f>C11/B11</f>
        <v/>
      </c>
      <c r="H11" s="3">
        <f>F11/B11</f>
        <v/>
      </c>
      <c r="I11" s="10">
        <f>Actuals!C11</f>
        <v/>
      </c>
      <c r="J11" s="10">
        <f>Actuals!J11</f>
        <v/>
      </c>
      <c r="K11" s="3">
        <f>J11/I11</f>
        <v/>
      </c>
      <c r="L11">
        <f>IF(K11&lt;0.05,"abnormally low cash tax",IF(F11&lt;0,"negative owner FCF (capex supercycle)",""))</f>
        <v/>
      </c>
    </row>
    <row r="12">
      <c r="A12" s="20">
        <f>Actuals!A12</f>
        <v/>
      </c>
      <c r="B12" s="10">
        <f>Actuals!B12</f>
        <v/>
      </c>
      <c r="C12" s="10">
        <f>Actuals!G12</f>
        <v/>
      </c>
      <c r="D12" s="10">
        <f>-Actuals!H12</f>
        <v/>
      </c>
      <c r="E12" s="10">
        <f>-Actuals!I12</f>
        <v/>
      </c>
      <c r="F12" s="11">
        <f>C12+D12+E12</f>
        <v/>
      </c>
      <c r="G12" s="3">
        <f>C12/B12</f>
        <v/>
      </c>
      <c r="H12" s="3">
        <f>F12/B12</f>
        <v/>
      </c>
      <c r="I12" s="10">
        <f>Actuals!C12</f>
        <v/>
      </c>
      <c r="J12" s="10">
        <f>Actuals!J12</f>
        <v/>
      </c>
      <c r="K12" s="3">
        <f>J12/I12</f>
        <v/>
      </c>
      <c r="L12">
        <f>IF(K12&lt;0.05,"abnormally low cash tax",IF(F12&lt;0,"negative owner FCF (capex supercycle)",""))</f>
        <v/>
      </c>
    </row>
    <row r="13">
      <c r="A13" s="20">
        <f>Actuals!A13</f>
        <v/>
      </c>
      <c r="B13" s="10">
        <f>Actuals!B13</f>
        <v/>
      </c>
      <c r="C13" s="10">
        <f>Actuals!G13</f>
        <v/>
      </c>
      <c r="D13" s="10">
        <f>-Actuals!H13</f>
        <v/>
      </c>
      <c r="E13" s="10">
        <f>-Actuals!I13</f>
        <v/>
      </c>
      <c r="F13" s="11">
        <f>C13+D13+E13</f>
        <v/>
      </c>
      <c r="G13" s="3">
        <f>C13/B13</f>
        <v/>
      </c>
      <c r="H13" s="3">
        <f>F13/B13</f>
        <v/>
      </c>
      <c r="I13" s="10">
        <f>Actuals!C13</f>
        <v/>
      </c>
      <c r="J13" s="10">
        <f>Actuals!J13</f>
        <v/>
      </c>
      <c r="K13" s="3">
        <f>J13/I13</f>
        <v/>
      </c>
      <c r="L13">
        <f>IF(K13&lt;0.05,"abnormally low cash tax",IF(F13&lt;0,"negative owner FCF (capex supercycle)",""))</f>
        <v/>
      </c>
    </row>
    <row r="15">
      <c r="A15" t="inlineStr">
        <is>
          <t>Memo: FY26 OCF already includes rehabilitation (87), onerous-contract (65), significant-items (173) and lease-interest (71) cash and a (209) margin-call outflow; the forward model charges the first four inside the cash-adjusted EBITDA margin and treats margin calls as timing.</t>
        </is>
      </c>
    </row>
    <row r="16">
      <c r="A16" t="inlineStr">
        <is>
          <t>Memo: FY20-FY24 lease principal sat inside 'repayment of borrowings' and is not separately disclosed; those owner-FCF figures are ~50-70/yr too high.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Valuation summary (AUD per share)</t>
        </is>
      </c>
    </row>
    <row r="2">
      <c r="A2" s="1" t="inlineStr">
        <is>
          <t>Scenario</t>
        </is>
      </c>
      <c r="B2" s="1" t="inlineStr">
        <is>
          <t>Value per share</t>
        </is>
      </c>
      <c r="C2" s="1" t="inlineStr">
        <is>
          <t>Upside vs price</t>
        </is>
      </c>
      <c r="D2" s="1" t="inlineStr">
        <is>
          <t>Probability</t>
        </is>
      </c>
      <c r="E2" s="1" t="inlineStr">
        <is>
          <t>Street value per share</t>
        </is>
      </c>
      <c r="F2" s="1" t="inlineStr">
        <is>
          <t>Terminal value bound</t>
        </is>
      </c>
    </row>
    <row r="3">
      <c r="A3" t="inlineStr">
        <is>
          <t>Bear</t>
        </is>
      </c>
      <c r="B3" s="21">
        <f>DCF_Bear!$B$41</f>
        <v/>
      </c>
      <c r="C3" s="3">
        <f>DCF_Bear!$B$42</f>
        <v/>
      </c>
      <c r="D3" s="15">
        <f>Assumptions!$C$13</f>
        <v/>
      </c>
      <c r="E3" s="21">
        <f>DCF_Bear!$B$47</f>
        <v/>
      </c>
      <c r="F3">
        <f>IF(DCF_Bear!$B$34=0,"floor",IF(DCF_Bear!$B$32&lt;=DCF_Bear!$B$33,"Gordon","cap"))</f>
        <v/>
      </c>
    </row>
    <row r="4">
      <c r="A4" t="inlineStr">
        <is>
          <t>Base</t>
        </is>
      </c>
      <c r="B4" s="21">
        <f>DCF_Base!$B$41</f>
        <v/>
      </c>
      <c r="C4" s="3">
        <f>DCF_Base!$B$42</f>
        <v/>
      </c>
      <c r="D4" s="15">
        <f>Assumptions!$C$14</f>
        <v/>
      </c>
      <c r="E4" s="21">
        <f>DCF_Base!$B$47</f>
        <v/>
      </c>
      <c r="F4">
        <f>IF(DCF_Base!$B$34=0,"floor",IF(DCF_Base!$B$32&lt;=DCF_Base!$B$33,"Gordon","cap"))</f>
        <v/>
      </c>
    </row>
    <row r="5">
      <c r="A5" t="inlineStr">
        <is>
          <t>Bull</t>
        </is>
      </c>
      <c r="B5" s="21">
        <f>DCF_Bull!$B$41</f>
        <v/>
      </c>
      <c r="C5" s="3">
        <f>DCF_Bull!$B$42</f>
        <v/>
      </c>
      <c r="D5" s="15">
        <f>Assumptions!$C$15</f>
        <v/>
      </c>
      <c r="E5" s="21">
        <f>DCF_Bull!$B$47</f>
        <v/>
      </c>
      <c r="F5">
        <f>IF(DCF_Bull!$B$34=0,"floor",IF(DCF_Bull!$B$32&lt;=DCF_Bull!$B$33,"Gordon","cap"))</f>
        <v/>
      </c>
    </row>
    <row r="7">
      <c r="A7" s="1" t="inlineStr">
        <is>
          <t>Probability-weighted value per share</t>
        </is>
      </c>
      <c r="B7" s="18">
        <f>SUMPRODUCT(B3:B5,D3:D5)</f>
        <v/>
      </c>
    </row>
    <row r="8">
      <c r="A8" t="inlineStr">
        <is>
          <t>Current price</t>
        </is>
      </c>
      <c r="B8" s="21">
        <f>Assumptions!$B$7</f>
        <v/>
      </c>
    </row>
    <row r="9">
      <c r="A9" t="inlineStr">
        <is>
          <t>Margin of safety (1 - price / weighted)</t>
        </is>
      </c>
      <c r="B9" s="3">
        <f>IF(B7&gt;0,1-B8/B7,"n/a - weighted value not positive")</f>
        <v/>
      </c>
    </row>
    <row r="10">
      <c r="A10" t="inlineStr">
        <is>
          <t>Street probability-weighted value</t>
        </is>
      </c>
      <c r="B10" s="19">
        <f>SUMPRODUCT(E3:E5,D3:D5)</f>
        <v/>
      </c>
    </row>
    <row r="11">
      <c r="A11" t="inlineStr">
        <is>
          <t>Band position (price - house)/(street - house)</t>
        </is>
      </c>
      <c r="B11">
        <f>IF(ABS(B10-B7)&lt;0.05*B8,"n/a - SBC-immaterial, band collapses",(B8-B7)/(B10-B7))</f>
        <v/>
      </c>
    </row>
    <row r="13">
      <c r="A13" s="1" t="inlineStr">
        <is>
          <t>Required-return table (base case; TV rebuilt at each rate)</t>
        </is>
      </c>
    </row>
    <row r="14">
      <c r="A14" t="inlineStr">
        <is>
          <t>Required return</t>
        </is>
      </c>
      <c r="B14" t="inlineStr">
        <is>
          <t>Value per share</t>
        </is>
      </c>
    </row>
    <row r="15">
      <c r="A15" s="4" t="n">
        <v>0.08</v>
      </c>
      <c r="B15" s="19">
        <f>IF($A$15&gt;Assumptions!$B$14,(SUMPRODUCT(DCF_Base!$C$22:$L$22/(1+$A$15)^DCF_Base!$C$4:$L$4)+MAX(0,MIN(DCF_Base!$L$22*(1+Assumptions!$B$14)/($A$15-Assumptions!$B$14),Assumptions!$B$8*DCF_Base!$L$22))/(1+$A$15)^10-Assumptions!$B$5)/Assumptions!$B$6,"n/a")</f>
        <v/>
      </c>
      <c r="C15" t="inlineStr">
        <is>
          <t>Model WACC row; must equal DCF_Base!B41</t>
        </is>
      </c>
    </row>
    <row r="16">
      <c r="A16" s="4" t="n">
        <v>0.09</v>
      </c>
      <c r="B16" s="19">
        <f>IF($A$16&gt;Assumptions!$B$14,(SUMPRODUCT(DCF_Base!$C$22:$L$22/(1+$A$16)^DCF_Base!$C$4:$L$4)+MAX(0,MIN(DCF_Base!$L$22*(1+Assumptions!$B$14)/($A$16-Assumptions!$B$14),Assumptions!$B$8*DCF_Base!$L$22))/(1+$A$16)^10-Assumptions!$B$5)/Assumptions!$B$6,"n/a")</f>
        <v/>
      </c>
    </row>
    <row r="17">
      <c r="A17" s="4" t="n">
        <v>0.1</v>
      </c>
      <c r="B17" s="19">
        <f>IF($A$17&gt;Assumptions!$B$14,(SUMPRODUCT(DCF_Base!$C$22:$L$22/(1+$A$17)^DCF_Base!$C$4:$L$4)+MAX(0,MIN(DCF_Base!$L$22*(1+Assumptions!$B$14)/($A$17-Assumptions!$B$14),Assumptions!$B$8*DCF_Base!$L$22))/(1+$A$17)^10-Assumptions!$B$5)/Assumptions!$B$6,"n/a")</f>
        <v/>
      </c>
    </row>
    <row r="18">
      <c r="A18" s="4" t="n">
        <v>0.11</v>
      </c>
      <c r="B18" s="19">
        <f>IF($A$18&gt;Assumptions!$B$14,(SUMPRODUCT(DCF_Base!$C$22:$L$22/(1+$A$18)^DCF_Base!$C$4:$L$4)+MAX(0,MIN(DCF_Base!$L$22*(1+Assumptions!$B$14)/($A$18-Assumptions!$B$14),Assumptions!$B$8*DCF_Base!$L$22))/(1+$A$18)^10-Assumptions!$B$5)/Assumptions!$B$6,"n/a")</f>
        <v/>
      </c>
    </row>
    <row r="19">
      <c r="A19" s="4" t="n">
        <v>0.12</v>
      </c>
      <c r="B19" s="19">
        <f>IF($A$19&gt;Assumptions!$B$14,(SUMPRODUCT(DCF_Base!$C$22:$L$22/(1+$A$19)^DCF_Base!$C$4:$L$4)+MAX(0,MIN(DCF_Base!$L$22*(1+Assumptions!$B$14)/($A$19-Assumptions!$B$14),Assumptions!$B$8*DCF_Base!$L$22))/(1+$A$19)^10-Assumptions!$B$5)/Assumptions!$B$6,"n/a")</f>
        <v/>
      </c>
    </row>
    <row r="20">
      <c r="A20" s="4" t="n">
        <v>0.15</v>
      </c>
      <c r="B20" s="19">
        <f>IF($A$20&gt;Assumptions!$B$14,(SUMPRODUCT(DCF_Base!$C$22:$L$22/(1+$A$20)^DCF_Base!$C$4:$L$4)+MAX(0,MIN(DCF_Base!$L$22*(1+Assumptions!$B$14)/($A$20-Assumptions!$B$14),Assumptions!$B$8*DCF_Base!$L$22))/(1+$A$20)^10-Assumptions!$B$5)/Assumptions!$B$6,"n/a")</f>
        <v/>
      </c>
      <c r="C20" t="inlineStr">
        <is>
          <t>Hurdle row (15%); must equal the base entry price below</t>
        </is>
      </c>
    </row>
    <row r="23">
      <c r="A23" s="1" t="inlineStr">
        <is>
          <t>15%-hurdle entry prices (PV of interim FCF + TV rebuilt at 15% - net debt, per share)</t>
        </is>
      </c>
    </row>
    <row r="24">
      <c r="A24" t="inlineStr">
        <is>
          <t>Scenario</t>
        </is>
      </c>
      <c r="B24" t="inlineStr">
        <is>
          <t>Entry price</t>
        </is>
      </c>
      <c r="C24" t="inlineStr">
        <is>
          <t>Discount from current</t>
        </is>
      </c>
      <c r="D24" t="inlineStr">
        <is>
          <t>Street entry price</t>
        </is>
      </c>
    </row>
    <row r="25">
      <c r="A25" t="inlineStr">
        <is>
          <t>Bear</t>
        </is>
      </c>
      <c r="B25" s="19">
        <f>IF(Assumptions!$B$10&gt;Assumptions!$B$13,(SUMPRODUCT(DCF_Bear!$C$22:$L$22/(1+Assumptions!$B$10)^DCF_Bear!$C$4:$L$4)+MAX(0,MIN(DCF_Bear!$L$22*(1+Assumptions!$B$13)/(Assumptions!$B$10-Assumptions!$B$13),Assumptions!$B$8*DCF_Bear!$L$22))/(1+Assumptions!$B$10)^10-Assumptions!$B$5)/Assumptions!$B$6,"n/a")</f>
        <v/>
      </c>
      <c r="C25" s="3">
        <f>IF(ISNUMBER(B25),B25/Assumptions!$B$7-1,"n/a")</f>
        <v/>
      </c>
      <c r="D25" s="19">
        <f>IF(Assumptions!$B$10&gt;Assumptions!$B$13,(SUMPRODUCT(DCF_Bear!$C$22:$L$22/(1+Assumptions!$B$10)^DCF_Bear!$C$4:$L$4)+MAX(0,MIN(DCF_Bear!$L$22*(1+Assumptions!$B$13)/(Assumptions!$B$10-Assumptions!$B$13),Assumptions!$B$8*DCF_Bear!$L$22))/(1+Assumptions!$B$10)^10-Assumptions!$B$5+SUMPRODUCT(-DCF_Bear!$C$10:$L$10/(1+Assumptions!$B$10)^DCF_Bear!$C$4:$L$4)+(-DCF_Bear!$L$10*(1+Assumptions!$B$13)/(Assumptions!$B$10-Assumptions!$B$13))/(1+Assumptions!$B$10)^10)/Assumptions!$B$6,"n/a")</f>
        <v/>
      </c>
    </row>
    <row r="26">
      <c r="A26" t="inlineStr">
        <is>
          <t>Base</t>
        </is>
      </c>
      <c r="B26" s="19">
        <f>IF(Assumptions!$B$10&gt;Assumptions!$B$14,(SUMPRODUCT(DCF_Base!$C$22:$L$22/(1+Assumptions!$B$10)^DCF_Base!$C$4:$L$4)+MAX(0,MIN(DCF_Base!$L$22*(1+Assumptions!$B$14)/(Assumptions!$B$10-Assumptions!$B$14),Assumptions!$B$8*DCF_Base!$L$22))/(1+Assumptions!$B$10)^10-Assumptions!$B$5)/Assumptions!$B$6,"n/a")</f>
        <v/>
      </c>
      <c r="C26" s="3">
        <f>IF(ISNUMBER(B26),B26/Assumptions!$B$7-1,"n/a")</f>
        <v/>
      </c>
      <c r="D26" s="19">
        <f>IF(Assumptions!$B$10&gt;Assumptions!$B$14,(SUMPRODUCT(DCF_Base!$C$22:$L$22/(1+Assumptions!$B$10)^DCF_Base!$C$4:$L$4)+MAX(0,MIN(DCF_Base!$L$22*(1+Assumptions!$B$14)/(Assumptions!$B$10-Assumptions!$B$14),Assumptions!$B$8*DCF_Base!$L$22))/(1+Assumptions!$B$10)^10-Assumptions!$B$5+SUMPRODUCT(-DCF_Base!$C$10:$L$10/(1+Assumptions!$B$10)^DCF_Base!$C$4:$L$4)+(-DCF_Base!$L$10*(1+Assumptions!$B$14)/(Assumptions!$B$10-Assumptions!$B$14))/(1+Assumptions!$B$10)^10)/Assumptions!$B$6,"n/a")</f>
        <v/>
      </c>
    </row>
    <row r="27">
      <c r="A27" t="inlineStr">
        <is>
          <t>Bull</t>
        </is>
      </c>
      <c r="B27" s="19">
        <f>IF(Assumptions!$B$10&gt;Assumptions!$B$15,(SUMPRODUCT(DCF_Bull!$C$22:$L$22/(1+Assumptions!$B$10)^DCF_Bull!$C$4:$L$4)+MAX(0,MIN(DCF_Bull!$L$22*(1+Assumptions!$B$15)/(Assumptions!$B$10-Assumptions!$B$15),Assumptions!$B$8*DCF_Bull!$L$22))/(1+Assumptions!$B$10)^10-Assumptions!$B$5)/Assumptions!$B$6,"n/a")</f>
        <v/>
      </c>
      <c r="C27" s="3">
        <f>IF(ISNUMBER(B27),B27/Assumptions!$B$7-1,"n/a")</f>
        <v/>
      </c>
      <c r="D27" s="19">
        <f>IF(Assumptions!$B$10&gt;Assumptions!$B$15,(SUMPRODUCT(DCF_Bull!$C$22:$L$22/(1+Assumptions!$B$10)^DCF_Bull!$C$4:$L$4)+MAX(0,MIN(DCF_Bull!$L$22*(1+Assumptions!$B$15)/(Assumptions!$B$10-Assumptions!$B$15),Assumptions!$B$8*DCF_Bull!$L$22))/(1+Assumptions!$B$10)^10-Assumptions!$B$5+SUMPRODUCT(-DCF_Bull!$C$10:$L$10/(1+Assumptions!$B$10)^DCF_Bull!$C$4:$L$4)+(-DCF_Bull!$L$10*(1+Assumptions!$B$15)/(Assumptions!$B$10-Assumptions!$B$15))/(1+Assumptions!$B$10)^10)/Assumptions!$B$6,"n/a")</f>
        <v/>
      </c>
    </row>
    <row r="28">
      <c r="A28" s="1" t="inlineStr">
        <is>
          <t>Probability-weighted entry price (buy-below)</t>
        </is>
      </c>
      <c r="B28" s="22">
        <f>SUMPRODUCT(B25:B27,D3:D5)</f>
        <v/>
      </c>
    </row>
    <row r="29">
      <c r="A29" t="inlineStr">
        <is>
          <t>A negative entry price means no purchase price returns 15% on that path: the PV of the flows at the hurdle is below the net debt.</t>
        </is>
      </c>
    </row>
    <row r="31">
      <c r="A31" s="1" t="inlineStr">
        <is>
          <t>Sensitivity: base-case value per share, WACC (rows) x terminal growth (columns); TV rebuilt at each pair</t>
        </is>
      </c>
    </row>
    <row r="32">
      <c r="A32" t="inlineStr">
        <is>
          <t>WACC \ g</t>
        </is>
      </c>
      <c r="B32" s="4" t="n">
        <v>0.01</v>
      </c>
      <c r="C32" s="4" t="n">
        <v>0.015</v>
      </c>
      <c r="D32" s="4" t="n">
        <v>0.02</v>
      </c>
      <c r="E32" s="4" t="n">
        <v>0.025</v>
      </c>
      <c r="F32" s="4" t="n">
        <v>0.03</v>
      </c>
    </row>
    <row r="33">
      <c r="A33" s="4" t="n">
        <v>0.06</v>
      </c>
      <c r="B33" s="19">
        <f>IF($A$33&gt;B$32,(SUMPRODUCT(DCF_Base!$C$22:$L$22/(1+$A$33)^DCF_Base!$C$4:$L$4)+MAX(0,MIN(DCF_Base!$L$22*(1+B$32)/($A$33-B$32),Assumptions!$B$8*DCF_Base!$L$22))/(1+$A$33)^10-Assumptions!$B$5)/Assumptions!$B$6,"n/a")</f>
        <v/>
      </c>
      <c r="C33" s="19">
        <f>IF($A$33&gt;C$32,(SUMPRODUCT(DCF_Base!$C$22:$L$22/(1+$A$33)^DCF_Base!$C$4:$L$4)+MAX(0,MIN(DCF_Base!$L$22*(1+C$32)/($A$33-C$32),Assumptions!$B$8*DCF_Base!$L$22))/(1+$A$33)^10-Assumptions!$B$5)/Assumptions!$B$6,"n/a")</f>
        <v/>
      </c>
      <c r="D33" s="19">
        <f>IF($A$33&gt;D$32,(SUMPRODUCT(DCF_Base!$C$22:$L$22/(1+$A$33)^DCF_Base!$C$4:$L$4)+MAX(0,MIN(DCF_Base!$L$22*(1+D$32)/($A$33-D$32),Assumptions!$B$8*DCF_Base!$L$22))/(1+$A$33)^10-Assumptions!$B$5)/Assumptions!$B$6,"n/a")</f>
        <v/>
      </c>
      <c r="E33" s="19">
        <f>IF($A$33&gt;E$32,(SUMPRODUCT(DCF_Base!$C$22:$L$22/(1+$A$33)^DCF_Base!$C$4:$L$4)+MAX(0,MIN(DCF_Base!$L$22*(1+E$32)/($A$33-E$32),Assumptions!$B$8*DCF_Base!$L$22))/(1+$A$33)^10-Assumptions!$B$5)/Assumptions!$B$6,"n/a")</f>
        <v/>
      </c>
      <c r="F33" s="19">
        <f>IF($A$33&gt;F$32,(SUMPRODUCT(DCF_Base!$C$22:$L$22/(1+$A$33)^DCF_Base!$C$4:$L$4)+MAX(0,MIN(DCF_Base!$L$22*(1+F$32)/($A$33-F$32),Assumptions!$B$8*DCF_Base!$L$22))/(1+$A$33)^10-Assumptions!$B$5)/Assumptions!$B$6,"n/a")</f>
        <v/>
      </c>
    </row>
    <row r="34">
      <c r="A34" s="4" t="n">
        <v>0.07000000000000001</v>
      </c>
      <c r="B34" s="19">
        <f>IF($A$34&gt;B$32,(SUMPRODUCT(DCF_Base!$C$22:$L$22/(1+$A$34)^DCF_Base!$C$4:$L$4)+MAX(0,MIN(DCF_Base!$L$22*(1+B$32)/($A$34-B$32),Assumptions!$B$8*DCF_Base!$L$22))/(1+$A$34)^10-Assumptions!$B$5)/Assumptions!$B$6,"n/a")</f>
        <v/>
      </c>
      <c r="C34" s="19">
        <f>IF($A$34&gt;C$32,(SUMPRODUCT(DCF_Base!$C$22:$L$22/(1+$A$34)^DCF_Base!$C$4:$L$4)+MAX(0,MIN(DCF_Base!$L$22*(1+C$32)/($A$34-C$32),Assumptions!$B$8*DCF_Base!$L$22))/(1+$A$34)^10-Assumptions!$B$5)/Assumptions!$B$6,"n/a")</f>
        <v/>
      </c>
      <c r="D34" s="19">
        <f>IF($A$34&gt;D$32,(SUMPRODUCT(DCF_Base!$C$22:$L$22/(1+$A$34)^DCF_Base!$C$4:$L$4)+MAX(0,MIN(DCF_Base!$L$22*(1+D$32)/($A$34-D$32),Assumptions!$B$8*DCF_Base!$L$22))/(1+$A$34)^10-Assumptions!$B$5)/Assumptions!$B$6,"n/a")</f>
        <v/>
      </c>
      <c r="E34" s="19">
        <f>IF($A$34&gt;E$32,(SUMPRODUCT(DCF_Base!$C$22:$L$22/(1+$A$34)^DCF_Base!$C$4:$L$4)+MAX(0,MIN(DCF_Base!$L$22*(1+E$32)/($A$34-E$32),Assumptions!$B$8*DCF_Base!$L$22))/(1+$A$34)^10-Assumptions!$B$5)/Assumptions!$B$6,"n/a")</f>
        <v/>
      </c>
      <c r="F34" s="19">
        <f>IF($A$34&gt;F$32,(SUMPRODUCT(DCF_Base!$C$22:$L$22/(1+$A$34)^DCF_Base!$C$4:$L$4)+MAX(0,MIN(DCF_Base!$L$22*(1+F$32)/($A$34-F$32),Assumptions!$B$8*DCF_Base!$L$22))/(1+$A$34)^10-Assumptions!$B$5)/Assumptions!$B$6,"n/a")</f>
        <v/>
      </c>
    </row>
    <row r="35">
      <c r="A35" s="4" t="n">
        <v>0.08</v>
      </c>
      <c r="B35" s="19">
        <f>IF($A$35&gt;B$32,(SUMPRODUCT(DCF_Base!$C$22:$L$22/(1+$A$35)^DCF_Base!$C$4:$L$4)+MAX(0,MIN(DCF_Base!$L$22*(1+B$32)/($A$35-B$32),Assumptions!$B$8*DCF_Base!$L$22))/(1+$A$35)^10-Assumptions!$B$5)/Assumptions!$B$6,"n/a")</f>
        <v/>
      </c>
      <c r="C35" s="19">
        <f>IF($A$35&gt;C$32,(SUMPRODUCT(DCF_Base!$C$22:$L$22/(1+$A$35)^DCF_Base!$C$4:$L$4)+MAX(0,MIN(DCF_Base!$L$22*(1+C$32)/($A$35-C$32),Assumptions!$B$8*DCF_Base!$L$22))/(1+$A$35)^10-Assumptions!$B$5)/Assumptions!$B$6,"n/a")</f>
        <v/>
      </c>
      <c r="D35" s="23">
        <f>IF($A$35&gt;D$32,(SUMPRODUCT(DCF_Base!$C$22:$L$22/(1+$A$35)^DCF_Base!$C$4:$L$4)+MAX(0,MIN(DCF_Base!$L$22*(1+D$32)/($A$35-D$32),Assumptions!$B$8*DCF_Base!$L$22))/(1+$A$35)^10-Assumptions!$B$5)/Assumptions!$B$6,"n/a")</f>
        <v/>
      </c>
      <c r="E35" s="19">
        <f>IF($A$35&gt;E$32,(SUMPRODUCT(DCF_Base!$C$22:$L$22/(1+$A$35)^DCF_Base!$C$4:$L$4)+MAX(0,MIN(DCF_Base!$L$22*(1+E$32)/($A$35-E$32),Assumptions!$B$8*DCF_Base!$L$22))/(1+$A$35)^10-Assumptions!$B$5)/Assumptions!$B$6,"n/a")</f>
        <v/>
      </c>
      <c r="F35" s="19">
        <f>IF($A$35&gt;F$32,(SUMPRODUCT(DCF_Base!$C$22:$L$22/(1+$A$35)^DCF_Base!$C$4:$L$4)+MAX(0,MIN(DCF_Base!$L$22*(1+F$32)/($A$35-F$32),Assumptions!$B$8*DCF_Base!$L$22))/(1+$A$35)^10-Assumptions!$B$5)/Assumptions!$B$6,"n/a")</f>
        <v/>
      </c>
    </row>
    <row r="36">
      <c r="A36" s="4" t="n">
        <v>0.09</v>
      </c>
      <c r="B36" s="19">
        <f>IF($A$36&gt;B$32,(SUMPRODUCT(DCF_Base!$C$22:$L$22/(1+$A$36)^DCF_Base!$C$4:$L$4)+MAX(0,MIN(DCF_Base!$L$22*(1+B$32)/($A$36-B$32),Assumptions!$B$8*DCF_Base!$L$22))/(1+$A$36)^10-Assumptions!$B$5)/Assumptions!$B$6,"n/a")</f>
        <v/>
      </c>
      <c r="C36" s="19">
        <f>IF($A$36&gt;C$32,(SUMPRODUCT(DCF_Base!$C$22:$L$22/(1+$A$36)^DCF_Base!$C$4:$L$4)+MAX(0,MIN(DCF_Base!$L$22*(1+C$32)/($A$36-C$32),Assumptions!$B$8*DCF_Base!$L$22))/(1+$A$36)^10-Assumptions!$B$5)/Assumptions!$B$6,"n/a")</f>
        <v/>
      </c>
      <c r="D36" s="19">
        <f>IF($A$36&gt;D$32,(SUMPRODUCT(DCF_Base!$C$22:$L$22/(1+$A$36)^DCF_Base!$C$4:$L$4)+MAX(0,MIN(DCF_Base!$L$22*(1+D$32)/($A$36-D$32),Assumptions!$B$8*DCF_Base!$L$22))/(1+$A$36)^10-Assumptions!$B$5)/Assumptions!$B$6,"n/a")</f>
        <v/>
      </c>
      <c r="E36" s="19">
        <f>IF($A$36&gt;E$32,(SUMPRODUCT(DCF_Base!$C$22:$L$22/(1+$A$36)^DCF_Base!$C$4:$L$4)+MAX(0,MIN(DCF_Base!$L$22*(1+E$32)/($A$36-E$32),Assumptions!$B$8*DCF_Base!$L$22))/(1+$A$36)^10-Assumptions!$B$5)/Assumptions!$B$6,"n/a")</f>
        <v/>
      </c>
      <c r="F36" s="19">
        <f>IF($A$36&gt;F$32,(SUMPRODUCT(DCF_Base!$C$22:$L$22/(1+$A$36)^DCF_Base!$C$4:$L$4)+MAX(0,MIN(DCF_Base!$L$22*(1+F$32)/($A$36-F$32),Assumptions!$B$8*DCF_Base!$L$22))/(1+$A$36)^10-Assumptions!$B$5)/Assumptions!$B$6,"n/a")</f>
        <v/>
      </c>
    </row>
    <row r="37">
      <c r="A37" s="4" t="n">
        <v>0.1</v>
      </c>
      <c r="B37" s="19">
        <f>IF($A$37&gt;B$32,(SUMPRODUCT(DCF_Base!$C$22:$L$22/(1+$A$37)^DCF_Base!$C$4:$L$4)+MAX(0,MIN(DCF_Base!$L$22*(1+B$32)/($A$37-B$32),Assumptions!$B$8*DCF_Base!$L$22))/(1+$A$37)^10-Assumptions!$B$5)/Assumptions!$B$6,"n/a")</f>
        <v/>
      </c>
      <c r="C37" s="19">
        <f>IF($A$37&gt;C$32,(SUMPRODUCT(DCF_Base!$C$22:$L$22/(1+$A$37)^DCF_Base!$C$4:$L$4)+MAX(0,MIN(DCF_Base!$L$22*(1+C$32)/($A$37-C$32),Assumptions!$B$8*DCF_Base!$L$22))/(1+$A$37)^10-Assumptions!$B$5)/Assumptions!$B$6,"n/a")</f>
        <v/>
      </c>
      <c r="D37" s="19">
        <f>IF($A$37&gt;D$32,(SUMPRODUCT(DCF_Base!$C$22:$L$22/(1+$A$37)^DCF_Base!$C$4:$L$4)+MAX(0,MIN(DCF_Base!$L$22*(1+D$32)/($A$37-D$32),Assumptions!$B$8*DCF_Base!$L$22))/(1+$A$37)^10-Assumptions!$B$5)/Assumptions!$B$6,"n/a")</f>
        <v/>
      </c>
      <c r="E37" s="19">
        <f>IF($A$37&gt;E$32,(SUMPRODUCT(DCF_Base!$C$22:$L$22/(1+$A$37)^DCF_Base!$C$4:$L$4)+MAX(0,MIN(DCF_Base!$L$22*(1+E$32)/($A$37-E$32),Assumptions!$B$8*DCF_Base!$L$22))/(1+$A$37)^10-Assumptions!$B$5)/Assumptions!$B$6,"n/a")</f>
        <v/>
      </c>
      <c r="F37" s="19">
        <f>IF($A$37&gt;F$32,(SUMPRODUCT(DCF_Base!$C$22:$L$22/(1+$A$37)^DCF_Base!$C$4:$L$4)+MAX(0,MIN(DCF_Base!$L$22*(1+F$32)/($A$37-F$32),Assumptions!$B$8*DCF_Base!$L$22))/(1+$A$37)^10-Assumptions!$B$5)/Assumptions!$B$6,"n/a")</f>
        <v/>
      </c>
    </row>
    <row r="39">
      <c r="A39" t="inlineStr">
        <is>
          <t>The 14x cap binds across most of the grid, so terminal growth barely moves the value at low WACC; the discount rate and year-10 FCF 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2026-09-21T09:18:46Z</dcterms:created>
  <dcterms:modified xsi:type="dcterms:W3CDTF">2026-09-21T09:18:46Z</dcterms:modified>
</cp:coreProperties>
</file>