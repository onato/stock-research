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<sst xmlns="http://schemas.openxmlformats.org/spreadsheetml/2006/main" count="387" uniqueCount="174">
  <si>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</si>
  <si>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CP.TO</t>
  </si>
  <si>
    <t xml:space="preserve">Company</t>
  </si>
  <si>
    <t xml:space="preserve">Canadian Pacific Kansas City Limited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</si>
  <si>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</si>
  <si>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</si>
  <si>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</si>
  <si>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</si>
  <si>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</si>
  <si>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</si>
  <si>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</si>
  <si>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</si>
  <si>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</si>
  <si>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</si>
  <si>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</si>
  <si>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</si>
  <si>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</si>
  <si>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</si>
  <si>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</si>
  <si>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</si>
  <si>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</si>
  <si>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2026-10-10T08:00:18Z</t>
  </si>
  <si>
    <t xml:space="preserve">Drivers file</t>
  </si>
  <si>
    <t xml:space="preserve">CP.TO_Drivers.json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</si>
  <si>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</si>
  <si>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</si>
  <si>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</si>
  <si>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the combined CPKC entity, anchored on FY2025 as the second clean full year post-KCS. SBC is expensed once (pre-SBC margin path less an SBC % path) and the share count is held flat at the Jul-2026 diluted figure; the NCIB is treated as the value-neutral mechanism that keeps the count flat. Net debt and NCI are the Jun-2026 figures; the $5.3bn pension surplus and its non-cash recovery are both excluded (matching-asset rule). WACC 7.5% in CAD applied to all scenarios; risk is carried in the scenario flows and the 25/50/25 weights. Terminal value is the lower of Gordon (2.5%) and 20x year-10 owner FCF.
key_risks_to_valuation: Terminal-value dominance: a 10-year build on a 7.5% WACC puts most of EV in the terminal; the 20x cap binds (Gordon at 7.5%/2.5% is 20.5x), so the value is effectively 20x year-10 owner FCF. The market currently pays ~26x trailing GAAP EPS and ~17x EV/EBITDA, i.e. a higher multiple than the model's terminal.; UP-NS merger (STB review, decision expected 2027): approval with weak conditions is the bear axis; a block or strong reciprocal-access conditions is the bull axis.; Mexico: KCSM concession terms, the CPKCM tax Amparo, peso/USD/CAD translation and USMCA review; roughly a quarter of revenue.; Capex normalisation: the model assumes capex falls from 20.6% of revenue (FY2025) to 16.7% (2026 guide) and holds at 17.5%; if locomotive/track renewal re-accelerates toward 20%, owner FCF is ~$450m/yr lower.; Buybacks are partly debt-funded ($1.8bn net-debt increase in H1 2026); the model treats them as value-neutral, but at a ~26x P/E they are being executed above the model's intrinsic value, which is mildly value-destructive on this basis.; SBC anchor: FY2025 $59m is depressed by PSU payout rates; the forward 0.9% of revenue (~$140m) is a judgment -- each 0.1pp of revenue is ~$1.5/share.</t>
  </si>
  <si>
    <t xml:space="preserve">Data sources</t>
  </si>
  <si>
    <t xml:space="preserve">price: Yahoo Finance chart API (CP.TO, TSX) at inputs.price_as_of; 52-week range 96.50-133.38 CAD
financials: research/CP.TO/Reports/CP.TO_Metrics.csv (core_metrics-derived); CP.TO_Annual_FY2025.txt (10-K: Note 24 SBC, Capital Programs incl. 2026 $2.65bn guide, cash flow supplemental); CP.TO_Quarterly_Q2-2026.txt (10-Q: balance sheet 30-Jun-2026, cash flow, Note 11 share repurchases, EPS note dilutive shares, Executive Summary OR/EPS, cover-page share count 28-Jul-2026)
qualitative: Q2 2026 10-Q MD&amp;A (UP-NS STB review advocacy costs, CPKCM Amparo, fuel surcharge and FX drivers); FY2025 10-K risk factors; CP.TO_Analysis.json not yet present at build time</t>
  </si>
  <si>
    <t xml:space="preserve">Scenario narrative: bear</t>
  </si>
  <si>
    <t xml:space="preserve">UP-NS approval diverts interline traffic; tariff/USMCA friction and peso weakness hit the Mexican segment; the OR stays in the low-60s and capex rises to defend service. Growth ~2.5%, margin flat at 49%. No solvency question -- investment-grade balance sheet, net debt/EBITDA ~3.2x -- so this is a value, not a survival, case.</t>
  </si>
  <si>
    <t xml:space="preserve">Scenario narrative: base</t>
  </si>
  <si>
    <t xml:space="preserve">CPKC compounds revenue at ~5% through 2028 as merger synergies mature and pricing runs ahead of rail inflation, then fades to 3%. Margin expansion continues but slower than management's framework: pre-SBC EBITDA margin from 50.6% to 54.5% (core adjusted OR to ~60) by year 8, after a 2026 in which H1 OR slipped 90bp on payout-rate SBC and fuel timing. Capex steps down from the FY2025 locomotive bulge to the $2.65bn 2026 guide and normalises at 17.5% of revenue. The UP-NS review is a live overhang whose outcome is roughly a coin flip for CPKC's Mexico franchise; base assumes a conditioned approval that neither helps nor materially harms.</t>
  </si>
  <si>
    <t xml:space="preserve">Scenario narrative: bull</t>
  </si>
  <si>
    <t xml:space="preserve">Nearshoring and single-line Mexico service deliver high-single-digit growth to 2029; synergies push OR to the mid-50s; the UP-NS merger is blocked or heavily conditioned; capex settles at 17%. Needs several independent things to go right (volumes, pricing, regulatory outcome, FX).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</si>
  <si>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</si>
  <si>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</si>
  <si>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</si>
  <si>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</si>
  <si>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</si>
  <si>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</si>
  <si>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</si>
  <si>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</si>
  <si>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</si>
  <si>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</si>
  <si>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</si>
  <si>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</si>
  <si>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</si>
  <si>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</si>
  <si>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</si>
  <si>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</si>
  <si>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</si>
  <si>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</si>
  <si>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</si>
  <si>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</si>
  <si>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</si>
  <si>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</si>
  <si>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</si>
  <si>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</si>
  <si>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</si>
  <si>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</si>
  <si>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</si>
  <si>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</si>
  <si>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</si>
  <si>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</si>
  <si>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</si>
  <si>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</si>
  <si>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</si>
  <si>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</si>
  <si>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</si>
  <si>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</si>
  <si>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</si>
  <si>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</si>
  <si>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</si>
  <si>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</si>
  <si>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</si>
  <si>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</si>
  <si>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</si>
  <si>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</si>
  <si>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</si>
  <si>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</si>
  <si>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</si>
  <si>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</si>
  <si>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</si>
  <si>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</si>
  <si>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</si>
  <si>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</si>
  <si>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</si>
  <si>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</si>
  <si>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</si>
  <si>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</si>
  <si>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</si>
  <si>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</si>
  <si>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</si>
  <si>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</si>
  <si>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</si>
  <si>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</si>
  <si>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</si>
  <si>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</si>
  <si>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</si>
  <si>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</si>
  <si>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</si>
  <si>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</si>
  <si>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</si>
  <si>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</si>
  <si>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</si>
  <si>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</si>
  <si>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</si>
  <si>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</si>
  <si>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</si>
  <si>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</si>
  <si>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</si>
  <si>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</si>
  <si>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</si>
  <si>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</si>
  <si>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</si>
  <si>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</si>
  <si>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</si>
  <si>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CP.TO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</si>
  <si>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</si>
  <si>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</si>
  <si>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</si>
  <si>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</si>
  <si>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</si>
  <si>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</si>
  <si>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</si>
  <si>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</si>
  <si>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</si>
  <si>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</si>
  <si>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</si>
  <si>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</si>
  <si>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</si>
  <si>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</si>
  <si>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</si>
  <si>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</si>
  <si>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</si>
  <si>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</si>
  <si>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</si>
  <si>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</si>
  <si>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</si>
  <si>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</si>
  <si>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</si>
  <si>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</si>
  <si>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</si>
  <si>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</si>
  <si>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</si>
  <si>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</si>
  <si>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</si>
  <si>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</si>
  <si>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CP.TO owner-FCF component DCF: base case (millions, CAD)</t>
  </si>
  <si>
    <t xml:space="preserve">CP.TO owner-FCF component DCF: bull case (millions, CAD)</t>
  </si>
  <si>
    <t xml:space="preserve">CP.TO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</si>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</sst>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120.58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4145.5</v>
      </c>
      <c r="S2" s="0" t="n">
        <v>377.9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5048.5</v>
      </c>
      <c r="F3" s="0" t="n">
        <v>1039</v>
      </c>
      <c r="G3" s="0" t="n">
        <v>20.5803704070516</v>
      </c>
      <c r="H3" s="0" t="n">
        <v>1467.2</v>
      </c>
      <c r="I3" s="0" t="n">
        <v>627.8</v>
      </c>
      <c r="J3" s="0" t="n">
        <v>12.4353768446073</v>
      </c>
      <c r="K3" s="0" t="n">
        <v>0.816</v>
      </c>
      <c r="L3" s="0" t="n">
        <v>942.9</v>
      </c>
      <c r="M3" s="0" t="n">
        <v>815.9</v>
      </c>
      <c r="N3" s="0" t="n">
        <v>127</v>
      </c>
      <c r="O3" s="0" t="n">
        <v>4275</v>
      </c>
      <c r="S3" s="0" t="n">
        <v>117</v>
      </c>
      <c r="T3" s="0" t="n">
        <v>777.5</v>
      </c>
      <c r="U3" s="0" t="n">
        <v>30.6</v>
      </c>
      <c r="V3" s="0" t="n">
        <v>0.198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4402</v>
      </c>
      <c r="F4" s="0" t="n">
        <v>830</v>
      </c>
      <c r="G4" s="0" t="n">
        <v>18.8550658791458</v>
      </c>
      <c r="H4" s="0" t="n">
        <v>1313</v>
      </c>
      <c r="I4" s="0" t="n">
        <v>550</v>
      </c>
      <c r="J4" s="0" t="n">
        <v>12.4943207632894</v>
      </c>
      <c r="K4" s="0" t="n">
        <v>0.662</v>
      </c>
      <c r="L4" s="0" t="n">
        <v>451</v>
      </c>
      <c r="M4" s="0" t="n">
        <v>703</v>
      </c>
      <c r="N4" s="0" t="n">
        <v>-252</v>
      </c>
      <c r="O4" s="0" t="n">
        <v>4658</v>
      </c>
      <c r="P4" s="0" t="n">
        <v>14154.8</v>
      </c>
      <c r="Q4" s="0" t="n">
        <v>9496.7</v>
      </c>
      <c r="R4" s="0" t="n">
        <v>4743.5</v>
      </c>
      <c r="S4" s="0" t="n">
        <v>679</v>
      </c>
      <c r="T4" s="0" t="n">
        <v>842.5</v>
      </c>
      <c r="U4" s="0" t="n">
        <v>68</v>
      </c>
      <c r="V4" s="0" t="n">
        <v>0.198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4981</v>
      </c>
      <c r="F5" s="0" t="n">
        <v>1116</v>
      </c>
      <c r="G5" s="0" t="n">
        <v>22.4051395302148</v>
      </c>
      <c r="H5" s="0" t="n">
        <v>1605</v>
      </c>
      <c r="I5" s="0" t="n">
        <v>651</v>
      </c>
      <c r="J5" s="0" t="n">
        <v>13.0696647259586</v>
      </c>
      <c r="K5" s="0" t="n">
        <v>0.772</v>
      </c>
      <c r="L5" s="0" t="n">
        <v>502</v>
      </c>
      <c r="M5" s="0" t="n">
        <v>726</v>
      </c>
      <c r="N5" s="0" t="n">
        <v>-224</v>
      </c>
      <c r="O5" s="0" t="n">
        <v>4824</v>
      </c>
      <c r="P5" s="0" t="n">
        <v>13676</v>
      </c>
      <c r="Q5" s="0" t="n">
        <v>8852</v>
      </c>
      <c r="R5" s="0" t="n">
        <v>4315</v>
      </c>
      <c r="S5" s="0" t="n">
        <v>361</v>
      </c>
      <c r="T5" s="0" t="n">
        <v>846</v>
      </c>
      <c r="U5" s="0" t="n">
        <v>71</v>
      </c>
      <c r="V5" s="0" t="n">
        <v>0.2115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5177</v>
      </c>
      <c r="F6" s="0" t="n">
        <v>967</v>
      </c>
      <c r="G6" s="0" t="n">
        <v>18.6787714892795</v>
      </c>
      <c r="H6" s="0" t="n">
        <v>1457</v>
      </c>
      <c r="I6" s="0" t="n">
        <v>570</v>
      </c>
      <c r="J6" s="0" t="n">
        <v>11.0102375893375</v>
      </c>
      <c r="K6" s="0" t="n">
        <v>0.674</v>
      </c>
      <c r="L6" s="0" t="n">
        <v>512</v>
      </c>
      <c r="M6" s="0" t="n">
        <v>1104</v>
      </c>
      <c r="N6" s="0" t="n">
        <v>-592</v>
      </c>
      <c r="O6" s="0" t="n">
        <v>4649</v>
      </c>
      <c r="P6" s="0" t="n">
        <v>14110</v>
      </c>
      <c r="Q6" s="0" t="n">
        <v>9461</v>
      </c>
      <c r="R6" s="0" t="n">
        <v>4745</v>
      </c>
      <c r="S6" s="0" t="n">
        <v>47</v>
      </c>
      <c r="T6" s="0" t="n">
        <v>853</v>
      </c>
      <c r="U6" s="0" t="n">
        <v>43</v>
      </c>
      <c r="V6" s="0" t="n">
        <v>0.234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5695</v>
      </c>
      <c r="F7" s="0" t="n">
        <v>949</v>
      </c>
      <c r="G7" s="0" t="n">
        <v>16.6637401229148</v>
      </c>
      <c r="H7" s="0" t="n">
        <v>1488</v>
      </c>
      <c r="I7" s="0" t="n">
        <v>484</v>
      </c>
      <c r="J7" s="0" t="n">
        <v>8.49868305531168</v>
      </c>
      <c r="K7" s="0" t="n">
        <v>0.564</v>
      </c>
      <c r="L7" s="0" t="n">
        <v>1328</v>
      </c>
      <c r="M7" s="0" t="n">
        <v>1148</v>
      </c>
      <c r="N7" s="0" t="n">
        <v>180</v>
      </c>
      <c r="O7" s="0" t="n">
        <v>5097</v>
      </c>
      <c r="P7" s="0" t="n">
        <v>14727</v>
      </c>
      <c r="Q7" s="0" t="n">
        <v>9630</v>
      </c>
      <c r="R7" s="0" t="n">
        <v>4690</v>
      </c>
      <c r="S7" s="0" t="n">
        <v>333</v>
      </c>
      <c r="T7" s="0" t="n">
        <v>869.5</v>
      </c>
      <c r="U7" s="0" t="n">
        <v>64</v>
      </c>
      <c r="V7" s="0" t="n">
        <v>0.27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6133</v>
      </c>
      <c r="F8" s="0" t="n">
        <v>1420</v>
      </c>
      <c r="G8" s="0" t="n">
        <v>23.1534322517528</v>
      </c>
      <c r="H8" s="0" t="n">
        <v>1985</v>
      </c>
      <c r="I8" s="0" t="n">
        <v>875</v>
      </c>
      <c r="J8" s="0" t="n">
        <v>14.2670797325942</v>
      </c>
      <c r="K8" s="0" t="n">
        <v>1</v>
      </c>
      <c r="L8" s="0" t="n">
        <v>1950</v>
      </c>
      <c r="M8" s="0" t="n">
        <v>1236</v>
      </c>
      <c r="N8" s="0" t="n">
        <v>714</v>
      </c>
      <c r="O8" s="0" t="n">
        <v>7097</v>
      </c>
      <c r="P8" s="0" t="n">
        <v>17023</v>
      </c>
      <c r="Q8" s="0" t="n">
        <v>9926</v>
      </c>
      <c r="R8" s="0" t="n">
        <v>4839</v>
      </c>
      <c r="S8" s="0" t="n">
        <v>476</v>
      </c>
      <c r="T8" s="0" t="n">
        <v>882.5</v>
      </c>
      <c r="U8" s="0" t="n">
        <v>92</v>
      </c>
      <c r="V8" s="0" t="n">
        <v>0.28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6620</v>
      </c>
      <c r="F9" s="0" t="n">
        <v>2339</v>
      </c>
      <c r="G9" s="0" t="n">
        <v>35.3323262839879</v>
      </c>
      <c r="H9" s="0" t="n">
        <v>2891</v>
      </c>
      <c r="I9" s="0" t="n">
        <v>1476</v>
      </c>
      <c r="J9" s="0" t="n">
        <v>22.2960725075529</v>
      </c>
      <c r="K9" s="0" t="n">
        <v>1.708</v>
      </c>
      <c r="L9" s="0" t="n">
        <v>2123</v>
      </c>
      <c r="M9" s="0" t="n">
        <v>1449</v>
      </c>
      <c r="N9" s="0" t="n">
        <v>674</v>
      </c>
      <c r="O9" s="0" t="n">
        <v>5610</v>
      </c>
      <c r="P9" s="0" t="n">
        <v>16550</v>
      </c>
      <c r="Q9" s="0" t="n">
        <v>10940</v>
      </c>
      <c r="R9" s="0" t="n">
        <v>5759</v>
      </c>
      <c r="S9" s="0" t="n">
        <v>226</v>
      </c>
      <c r="T9" s="0" t="n">
        <v>872</v>
      </c>
      <c r="U9" s="0" t="n">
        <v>110</v>
      </c>
      <c r="V9" s="0" t="n">
        <v>0.28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6712</v>
      </c>
      <c r="F10" s="0" t="n">
        <v>2688</v>
      </c>
      <c r="G10" s="0" t="n">
        <v>40.0476758045292</v>
      </c>
      <c r="H10" s="0" t="n">
        <v>3283</v>
      </c>
      <c r="I10" s="0" t="n">
        <v>1352</v>
      </c>
      <c r="J10" s="0" t="n">
        <v>20.1430274135876</v>
      </c>
      <c r="K10" s="0" t="n">
        <v>1.694</v>
      </c>
      <c r="L10" s="0" t="n">
        <v>2459</v>
      </c>
      <c r="M10" s="0" t="n">
        <v>1522</v>
      </c>
      <c r="N10" s="0" t="n">
        <v>937</v>
      </c>
      <c r="O10" s="0" t="n">
        <v>4796</v>
      </c>
      <c r="P10" s="0" t="n">
        <v>19637</v>
      </c>
      <c r="Q10" s="0" t="n">
        <v>14841</v>
      </c>
      <c r="R10" s="0" t="n">
        <v>8957</v>
      </c>
      <c r="S10" s="0" t="n">
        <v>650</v>
      </c>
      <c r="T10" s="0" t="n">
        <v>805</v>
      </c>
      <c r="U10" s="0" t="n">
        <v>66</v>
      </c>
      <c r="V10" s="0" t="n">
        <v>0.28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6232</v>
      </c>
      <c r="F11" s="0" t="n">
        <v>2411</v>
      </c>
      <c r="G11" s="0" t="n">
        <v>38.6874197689345</v>
      </c>
      <c r="H11" s="0" t="n">
        <v>3051</v>
      </c>
      <c r="I11" s="0" t="n">
        <v>1599</v>
      </c>
      <c r="J11" s="0" t="n">
        <v>25.6578947368421</v>
      </c>
      <c r="K11" s="0" t="n">
        <v>2.138</v>
      </c>
      <c r="L11" s="0" t="n">
        <v>2089</v>
      </c>
      <c r="M11" s="0" t="n">
        <v>1182</v>
      </c>
      <c r="N11" s="0" t="n">
        <v>907</v>
      </c>
      <c r="O11" s="0" t="n">
        <v>4626</v>
      </c>
      <c r="P11" s="0" t="n">
        <v>19221</v>
      </c>
      <c r="Q11" s="0" t="n">
        <v>14595</v>
      </c>
      <c r="R11" s="0" t="n">
        <v>8684</v>
      </c>
      <c r="S11" s="0" t="n">
        <v>164</v>
      </c>
      <c r="T11" s="0" t="n">
        <v>752.5</v>
      </c>
      <c r="U11" s="0" t="n">
        <v>51</v>
      </c>
      <c r="V11" s="0" t="n">
        <v>0.37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6554</v>
      </c>
      <c r="F12" s="0" t="n">
        <v>2519</v>
      </c>
      <c r="G12" s="0" t="n">
        <v>38.4345437900519</v>
      </c>
      <c r="H12" s="0" t="n">
        <v>3180</v>
      </c>
      <c r="I12" s="0" t="n">
        <v>2405</v>
      </c>
      <c r="J12" s="0" t="n">
        <v>36.6951480012206</v>
      </c>
      <c r="K12" s="0" t="n">
        <v>3.298</v>
      </c>
      <c r="L12" s="0" t="n">
        <v>2182</v>
      </c>
      <c r="M12" s="0" t="n">
        <v>1340</v>
      </c>
      <c r="N12" s="0" t="n">
        <v>842</v>
      </c>
      <c r="O12" s="0" t="n">
        <v>6437</v>
      </c>
      <c r="P12" s="0" t="n">
        <v>20135</v>
      </c>
      <c r="Q12" s="0" t="n">
        <v>13698</v>
      </c>
      <c r="R12" s="0" t="n">
        <v>8159</v>
      </c>
      <c r="S12" s="0" t="n">
        <v>338</v>
      </c>
      <c r="T12" s="0" t="n">
        <v>731.5</v>
      </c>
      <c r="U12" s="0" t="n">
        <v>35</v>
      </c>
      <c r="V12" s="0" t="n">
        <v>0.4375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7316</v>
      </c>
      <c r="F13" s="0" t="n">
        <v>2831</v>
      </c>
      <c r="G13" s="0" t="n">
        <v>38.6960087479497</v>
      </c>
      <c r="H13" s="0" t="n">
        <v>3527</v>
      </c>
      <c r="I13" s="0" t="n">
        <v>1951</v>
      </c>
      <c r="J13" s="0" t="n">
        <v>26.667577911427</v>
      </c>
      <c r="K13" s="0" t="n">
        <v>2.73</v>
      </c>
      <c r="L13" s="0" t="n">
        <v>2712</v>
      </c>
      <c r="M13" s="0" t="n">
        <v>1551</v>
      </c>
      <c r="N13" s="0" t="n">
        <v>1161</v>
      </c>
      <c r="O13" s="0" t="n">
        <v>6636</v>
      </c>
      <c r="P13" s="0" t="n">
        <v>21254</v>
      </c>
      <c r="Q13" s="0" t="n">
        <v>14618</v>
      </c>
      <c r="R13" s="0" t="n">
        <v>8696</v>
      </c>
      <c r="S13" s="0" t="n">
        <v>61</v>
      </c>
      <c r="T13" s="0" t="n">
        <v>716.5</v>
      </c>
      <c r="U13" s="0" t="n">
        <v>75</v>
      </c>
      <c r="V13" s="0" t="n">
        <v>0.5025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7792</v>
      </c>
      <c r="F14" s="0" t="n">
        <v>3124</v>
      </c>
      <c r="G14" s="0" t="n">
        <v>40.0924024640657</v>
      </c>
      <c r="H14" s="0" t="n">
        <v>3830</v>
      </c>
      <c r="I14" s="0" t="n">
        <v>2440</v>
      </c>
      <c r="J14" s="0" t="n">
        <v>31.3141683778234</v>
      </c>
      <c r="K14" s="0" t="n">
        <v>3.52</v>
      </c>
      <c r="L14" s="0" t="n">
        <v>2990</v>
      </c>
      <c r="M14" s="0" t="n">
        <v>1647</v>
      </c>
      <c r="N14" s="0" t="n">
        <v>1343</v>
      </c>
      <c r="O14" s="0" t="n">
        <v>7069</v>
      </c>
      <c r="P14" s="0" t="n">
        <v>22367</v>
      </c>
      <c r="Q14" s="0" t="n">
        <v>15298</v>
      </c>
      <c r="R14" s="0" t="n">
        <v>8757</v>
      </c>
      <c r="S14" s="0" t="n">
        <v>133</v>
      </c>
      <c r="T14" s="0" t="n">
        <v>696.3</v>
      </c>
      <c r="U14" s="0" t="n">
        <v>133</v>
      </c>
      <c r="V14" s="0" t="n">
        <v>0.628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7710</v>
      </c>
      <c r="F15" s="0" t="n">
        <v>3311</v>
      </c>
      <c r="G15" s="0" t="n">
        <v>42.9442282749676</v>
      </c>
      <c r="H15" s="0" t="n">
        <v>4090</v>
      </c>
      <c r="I15" s="0" t="n">
        <v>2444</v>
      </c>
      <c r="J15" s="0" t="n">
        <v>31.6990920881971</v>
      </c>
      <c r="K15" s="0" t="n">
        <v>3.61</v>
      </c>
      <c r="L15" s="0" t="n">
        <v>2802</v>
      </c>
      <c r="M15" s="0" t="n">
        <v>1671</v>
      </c>
      <c r="N15" s="0" t="n">
        <v>1131</v>
      </c>
      <c r="O15" s="0" t="n">
        <v>7319</v>
      </c>
      <c r="P15" s="0" t="n">
        <v>23640</v>
      </c>
      <c r="Q15" s="0" t="n">
        <v>16321</v>
      </c>
      <c r="R15" s="0" t="n">
        <v>9771</v>
      </c>
      <c r="S15" s="0" t="n">
        <v>147</v>
      </c>
      <c r="T15" s="0" t="n">
        <v>679.9</v>
      </c>
      <c r="U15" s="0" t="n">
        <v>170</v>
      </c>
      <c r="V15" s="0" t="n">
        <v>0.712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7995</v>
      </c>
      <c r="F16" s="0" t="n">
        <v>3206</v>
      </c>
      <c r="G16" s="0" t="n">
        <v>40.1000625390869</v>
      </c>
      <c r="H16" s="0" t="n">
        <v>4017</v>
      </c>
      <c r="I16" s="0" t="n">
        <v>2852</v>
      </c>
      <c r="J16" s="0" t="n">
        <v>35.6722951844903</v>
      </c>
      <c r="K16" s="0" t="n">
        <v>4.2</v>
      </c>
      <c r="L16" s="0" t="n">
        <v>3688</v>
      </c>
      <c r="M16" s="0" t="n">
        <v>1532</v>
      </c>
      <c r="N16" s="0" t="n">
        <v>2156</v>
      </c>
      <c r="O16" s="0" t="n">
        <v>33829</v>
      </c>
      <c r="P16" s="0" t="n">
        <v>68177</v>
      </c>
      <c r="Q16" s="0" t="n">
        <v>34348</v>
      </c>
      <c r="R16" s="0" t="n">
        <v>20127</v>
      </c>
      <c r="S16" s="0" t="n">
        <v>69</v>
      </c>
      <c r="T16" s="0" t="n">
        <v>929.7</v>
      </c>
      <c r="U16" s="0" t="n">
        <v>131</v>
      </c>
      <c r="V16" s="0" t="n">
        <v>0.76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8814</v>
      </c>
      <c r="F17" s="0" t="n">
        <v>3329</v>
      </c>
      <c r="G17" s="0" t="n">
        <v>37.7694576809621</v>
      </c>
      <c r="H17" s="0" t="n">
        <v>4182</v>
      </c>
      <c r="I17" s="0" t="n">
        <v>3517</v>
      </c>
      <c r="J17" s="0" t="n">
        <v>39.9024279555253</v>
      </c>
      <c r="K17" s="0" t="n">
        <v>3.78</v>
      </c>
      <c r="L17" s="0" t="n">
        <v>4142</v>
      </c>
      <c r="M17" s="0" t="n">
        <v>1557</v>
      </c>
      <c r="N17" s="0" t="n">
        <v>2585</v>
      </c>
      <c r="O17" s="0" t="n">
        <v>38886</v>
      </c>
      <c r="P17" s="0" t="n">
        <v>73495</v>
      </c>
      <c r="Q17" s="0" t="n">
        <v>34609</v>
      </c>
      <c r="R17" s="0" t="n">
        <v>19651</v>
      </c>
      <c r="S17" s="0" t="n">
        <v>451</v>
      </c>
      <c r="T17" s="0" t="n">
        <v>932.9</v>
      </c>
      <c r="U17" s="0" t="n">
        <v>113</v>
      </c>
      <c r="V17" s="0" t="n">
        <v>0.76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12555</v>
      </c>
      <c r="F18" s="0" t="n">
        <v>4388</v>
      </c>
      <c r="G18" s="0" t="n">
        <v>34.9502190362405</v>
      </c>
      <c r="H18" s="0" t="n">
        <v>5931</v>
      </c>
      <c r="I18" s="0" t="n">
        <v>3927</v>
      </c>
      <c r="J18" s="0" t="n">
        <v>31.2783751493429</v>
      </c>
      <c r="K18" s="0" t="n">
        <v>4.22</v>
      </c>
      <c r="L18" s="0" t="n">
        <v>4137</v>
      </c>
      <c r="M18" s="0" t="n">
        <v>2468</v>
      </c>
      <c r="N18" s="0" t="n">
        <v>1669</v>
      </c>
      <c r="O18" s="0" t="n">
        <v>42411</v>
      </c>
      <c r="P18" s="0" t="n">
        <v>79902</v>
      </c>
      <c r="Q18" s="0" t="n">
        <v>37491</v>
      </c>
      <c r="R18" s="0" t="n">
        <v>22494</v>
      </c>
      <c r="S18" s="0" t="n">
        <v>464</v>
      </c>
      <c r="T18" s="0" t="n">
        <v>933.7</v>
      </c>
      <c r="U18" s="0" t="n">
        <v>122</v>
      </c>
      <c r="V18" s="0" t="n">
        <v>0.76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14546</v>
      </c>
      <c r="F19" s="0" t="n">
        <v>5179</v>
      </c>
      <c r="G19" s="0" t="n">
        <v>35.604289839131</v>
      </c>
      <c r="H19" s="0" t="n">
        <v>7079</v>
      </c>
      <c r="I19" s="0" t="n">
        <v>3718</v>
      </c>
      <c r="J19" s="0" t="n">
        <v>25.5602914890692</v>
      </c>
      <c r="K19" s="0" t="n">
        <v>3.98</v>
      </c>
      <c r="L19" s="0" t="n">
        <v>5269</v>
      </c>
      <c r="M19" s="0" t="n">
        <v>2825</v>
      </c>
      <c r="N19" s="0" t="n">
        <v>2444</v>
      </c>
      <c r="O19" s="0" t="n">
        <v>48890</v>
      </c>
      <c r="P19" s="0" t="n">
        <v>87744</v>
      </c>
      <c r="Q19" s="0" t="n">
        <v>38854</v>
      </c>
      <c r="R19" s="0" t="n">
        <v>22623</v>
      </c>
      <c r="S19" s="0" t="n">
        <v>739</v>
      </c>
      <c r="T19" s="0" t="n">
        <v>934.6</v>
      </c>
      <c r="U19" s="0" t="n">
        <v>108</v>
      </c>
      <c r="V19" s="0" t="n">
        <v>0.76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15078</v>
      </c>
      <c r="F20" s="0" t="n">
        <v>5609</v>
      </c>
      <c r="G20" s="0" t="n">
        <v>37.1998938851307</v>
      </c>
      <c r="H20" s="0" t="n">
        <v>7628</v>
      </c>
      <c r="I20" s="0" t="n">
        <v>4141</v>
      </c>
      <c r="J20" s="0" t="n">
        <v>27.463854622629</v>
      </c>
      <c r="K20" s="0" t="n">
        <v>4.52</v>
      </c>
      <c r="L20" s="0" t="n">
        <v>5309</v>
      </c>
      <c r="M20" s="0" t="n">
        <v>3102</v>
      </c>
      <c r="N20" s="0" t="n">
        <v>2207</v>
      </c>
      <c r="O20" s="0" t="n">
        <v>46825</v>
      </c>
      <c r="P20" s="0" t="n">
        <v>85945</v>
      </c>
      <c r="Q20" s="0" t="n">
        <v>39120</v>
      </c>
      <c r="R20" s="0" t="n">
        <v>23188</v>
      </c>
      <c r="S20" s="0" t="n">
        <v>184</v>
      </c>
      <c r="T20" s="0" t="n">
        <v>917.1</v>
      </c>
      <c r="U20" s="0" t="n">
        <v>59</v>
      </c>
      <c r="V20" s="0" t="n">
        <v>0.874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120.58</v>
      </c>
    </row>
    <row r="3" customFormat="false" ht="15" hidden="false" customHeight="false" outlineLevel="0" collapsed="false">
      <c r="A3" s="0" t="s">
        <v>85</v>
      </c>
      <c r="B3" s="3" t="n">
        <v>879.8</v>
      </c>
    </row>
    <row r="4" customFormat="false" ht="15" hidden="false" customHeight="false" outlineLevel="0" collapsed="false">
      <c r="A4" s="0" t="s">
        <v>86</v>
      </c>
      <c r="B4" s="3" t="n">
        <v>24781</v>
      </c>
    </row>
    <row r="5" customFormat="false" ht="15" hidden="false" customHeight="false" outlineLevel="0" collapsed="false">
      <c r="A5" s="0" t="s">
        <v>87</v>
      </c>
      <c r="B5" s="3" t="n">
        <v>-981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15078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3.5</v>
      </c>
      <c r="D13" s="3" t="n">
        <v>2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49.8</v>
      </c>
      <c r="D14" s="3" t="n">
        <v>49.3</v>
      </c>
      <c r="E14" s="3" t="n">
        <v>49</v>
      </c>
      <c r="F14" s="3" t="n">
        <v>49</v>
      </c>
      <c r="G14" s="3" t="n">
        <v>49</v>
      </c>
      <c r="H14" s="3" t="n">
        <v>49</v>
      </c>
      <c r="I14" s="3" t="n">
        <v>49</v>
      </c>
      <c r="J14" s="3" t="n">
        <v>49</v>
      </c>
      <c r="K14" s="3" t="n">
        <v>49</v>
      </c>
      <c r="L14" s="3" t="n">
        <v>49</v>
      </c>
    </row>
    <row r="15" customFormat="false" ht="15" hidden="false" customHeight="false" outlineLevel="0" collapsed="false">
      <c r="A15" s="0" t="s">
        <v>107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13.2</v>
      </c>
      <c r="D17" s="3" t="n">
        <v>13.2</v>
      </c>
      <c r="E17" s="3" t="n">
        <v>13.3</v>
      </c>
      <c r="F17" s="3" t="n">
        <v>13.3</v>
      </c>
      <c r="G17" s="3" t="n">
        <v>13.3</v>
      </c>
      <c r="H17" s="3" t="n">
        <v>13.3</v>
      </c>
      <c r="I17" s="3" t="n">
        <v>13.3</v>
      </c>
      <c r="J17" s="3" t="n">
        <v>13.3</v>
      </c>
      <c r="K17" s="3" t="n">
        <v>13.3</v>
      </c>
      <c r="L17" s="3" t="n">
        <v>13.3</v>
      </c>
    </row>
    <row r="18" customFormat="false" ht="15" hidden="false" customHeight="false" outlineLevel="0" collapsed="false">
      <c r="A18" s="0" t="s">
        <v>110</v>
      </c>
      <c r="C18" s="3" t="n">
        <v>17</v>
      </c>
      <c r="D18" s="3" t="n">
        <v>17.5</v>
      </c>
      <c r="E18" s="3" t="n">
        <v>18</v>
      </c>
      <c r="F18" s="3" t="n">
        <v>18.5</v>
      </c>
      <c r="G18" s="3" t="n">
        <v>18.5</v>
      </c>
      <c r="H18" s="3" t="n">
        <v>18.5</v>
      </c>
      <c r="I18" s="3" t="n">
        <v>18.5</v>
      </c>
      <c r="J18" s="3" t="n">
        <v>18.5</v>
      </c>
      <c r="K18" s="3" t="n">
        <v>18.5</v>
      </c>
      <c r="L18" s="3" t="n">
        <v>18.5</v>
      </c>
    </row>
    <row r="19" customFormat="false" ht="15" hidden="false" customHeight="false" outlineLevel="0" collapsed="false">
      <c r="A19" s="0" t="s">
        <v>111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112</v>
      </c>
      <c r="B20" s="3" t="n">
        <v>7.5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20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5.5</v>
      </c>
      <c r="D27" s="3" t="n">
        <v>5.5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50.6</v>
      </c>
      <c r="D28" s="3" t="n">
        <v>51.4</v>
      </c>
      <c r="E28" s="3" t="n">
        <v>52.2</v>
      </c>
      <c r="F28" s="3" t="n">
        <v>53</v>
      </c>
      <c r="G28" s="3" t="n">
        <v>53.6</v>
      </c>
      <c r="H28" s="3" t="n">
        <v>54</v>
      </c>
      <c r="I28" s="3" t="n">
        <v>54.3</v>
      </c>
      <c r="J28" s="3" t="n">
        <v>54.5</v>
      </c>
      <c r="K28" s="3" t="n">
        <v>54.5</v>
      </c>
      <c r="L28" s="3" t="n">
        <v>54.5</v>
      </c>
    </row>
    <row r="29" customFormat="false" ht="15" hidden="false" customHeight="false" outlineLevel="0" collapsed="false">
      <c r="A29" s="0" t="s">
        <v>107</v>
      </c>
      <c r="C29" s="3" t="n">
        <v>0.9</v>
      </c>
      <c r="D29" s="3" t="n">
        <v>0.88</v>
      </c>
      <c r="E29" s="3" t="n">
        <v>0.86</v>
      </c>
      <c r="F29" s="3" t="n">
        <v>0.84</v>
      </c>
      <c r="G29" s="3" t="n">
        <v>0.82</v>
      </c>
      <c r="H29" s="3" t="n">
        <v>0.8</v>
      </c>
      <c r="I29" s="3" t="n">
        <v>0.78</v>
      </c>
      <c r="J29" s="3" t="n">
        <v>0.76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13.2</v>
      </c>
      <c r="D31" s="3" t="n">
        <v>13.1</v>
      </c>
      <c r="E31" s="3" t="n">
        <v>13</v>
      </c>
      <c r="F31" s="3" t="n">
        <v>13</v>
      </c>
      <c r="G31" s="3" t="n">
        <v>13</v>
      </c>
      <c r="H31" s="3" t="n">
        <v>13</v>
      </c>
      <c r="I31" s="3" t="n">
        <v>13</v>
      </c>
      <c r="J31" s="3" t="n">
        <v>13</v>
      </c>
      <c r="K31" s="3" t="n">
        <v>13</v>
      </c>
      <c r="L31" s="3" t="n">
        <v>13</v>
      </c>
    </row>
    <row r="32" customFormat="false" ht="15" hidden="false" customHeight="false" outlineLevel="0" collapsed="false">
      <c r="A32" s="0" t="s">
        <v>110</v>
      </c>
      <c r="C32" s="3" t="n">
        <v>16.7</v>
      </c>
      <c r="D32" s="3" t="n">
        <v>17</v>
      </c>
      <c r="E32" s="3" t="n">
        <v>17.2</v>
      </c>
      <c r="F32" s="3" t="n">
        <v>17.5</v>
      </c>
      <c r="G32" s="3" t="n">
        <v>17.5</v>
      </c>
      <c r="H32" s="3" t="n">
        <v>17.5</v>
      </c>
      <c r="I32" s="3" t="n">
        <v>17.5</v>
      </c>
      <c r="J32" s="3" t="n">
        <v>17.5</v>
      </c>
      <c r="K32" s="3" t="n">
        <v>17.5</v>
      </c>
      <c r="L32" s="3" t="n">
        <v>17.5</v>
      </c>
    </row>
    <row r="33" customFormat="false" ht="15" hidden="false" customHeight="false" outlineLevel="0" collapsed="false">
      <c r="A33" s="0" t="s">
        <v>111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112</v>
      </c>
      <c r="B34" s="3" t="n">
        <v>7.5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7.5</v>
      </c>
      <c r="E41" s="3" t="n">
        <v>7.5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50.9</v>
      </c>
      <c r="D42" s="3" t="n">
        <v>52.3</v>
      </c>
      <c r="E42" s="3" t="n">
        <v>53.7</v>
      </c>
      <c r="F42" s="3" t="n">
        <v>55</v>
      </c>
      <c r="G42" s="3" t="n">
        <v>56</v>
      </c>
      <c r="H42" s="3" t="n">
        <v>56.7</v>
      </c>
      <c r="I42" s="3" t="n">
        <v>57.2</v>
      </c>
      <c r="J42" s="3" t="n">
        <v>57.5</v>
      </c>
      <c r="K42" s="3" t="n">
        <v>57.5</v>
      </c>
      <c r="L42" s="3" t="n">
        <v>57.5</v>
      </c>
    </row>
    <row r="43" customFormat="false" ht="15" hidden="false" customHeight="false" outlineLevel="0" collapsed="false">
      <c r="A43" s="0" t="s">
        <v>107</v>
      </c>
      <c r="C43" s="3" t="n">
        <v>0.9</v>
      </c>
      <c r="D43" s="3" t="n">
        <v>0.88</v>
      </c>
      <c r="E43" s="3" t="n">
        <v>0.86</v>
      </c>
      <c r="F43" s="3" t="n">
        <v>0.84</v>
      </c>
      <c r="G43" s="3" t="n">
        <v>0.82</v>
      </c>
      <c r="H43" s="3" t="n">
        <v>0.8</v>
      </c>
      <c r="I43" s="3" t="n">
        <v>0.78</v>
      </c>
      <c r="J43" s="3" t="n">
        <v>0.76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13.2</v>
      </c>
      <c r="D45" s="3" t="n">
        <v>13.1</v>
      </c>
      <c r="E45" s="3" t="n">
        <v>13</v>
      </c>
      <c r="F45" s="3" t="n">
        <v>12.9</v>
      </c>
      <c r="G45" s="3" t="n">
        <v>12.8</v>
      </c>
      <c r="H45" s="3" t="n">
        <v>12.8</v>
      </c>
      <c r="I45" s="3" t="n">
        <v>12.8</v>
      </c>
      <c r="J45" s="3" t="n">
        <v>12.8</v>
      </c>
      <c r="K45" s="3" t="n">
        <v>12.8</v>
      </c>
      <c r="L45" s="3" t="n">
        <v>12.8</v>
      </c>
    </row>
    <row r="46" customFormat="false" ht="15" hidden="false" customHeight="false" outlineLevel="0" collapsed="false">
      <c r="A46" s="0" t="s">
        <v>110</v>
      </c>
      <c r="C46" s="3" t="n">
        <v>16.6</v>
      </c>
      <c r="D46" s="3" t="n">
        <v>16.8</v>
      </c>
      <c r="E46" s="3" t="n">
        <v>17</v>
      </c>
      <c r="F46" s="3" t="n">
        <v>17</v>
      </c>
      <c r="G46" s="3" t="n">
        <v>17</v>
      </c>
      <c r="H46" s="3" t="n">
        <v>17</v>
      </c>
      <c r="I46" s="3" t="n">
        <v>17</v>
      </c>
      <c r="J46" s="3" t="n">
        <v>17</v>
      </c>
      <c r="K46" s="3" t="n">
        <v>17</v>
      </c>
      <c r="L46" s="3" t="n">
        <v>17</v>
      </c>
    </row>
    <row r="47" customFormat="false" ht="15" hidden="false" customHeight="false" outlineLevel="0" collapsed="false">
      <c r="A47" s="0" t="s">
        <v>111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112</v>
      </c>
      <c r="B48" s="3" t="n">
        <v>7.5</v>
      </c>
    </row>
    <row r="49" customFormat="false" ht="15" hidden="false" customHeight="false" outlineLevel="0" collapsed="false">
      <c r="A49" s="0" t="s">
        <v>113</v>
      </c>
      <c r="B49" s="3" t="n">
        <v>2.5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3.5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15078</v>
      </c>
      <c r="C6" s="0" t="n">
        <f aca="false">B6*(1+C5/100)</f>
        <v>15605.73</v>
      </c>
      <c r="D6" s="0" t="n">
        <f aca="false">C6*(1+D5/100)</f>
        <v>15917.8446</v>
      </c>
      <c r="E6" s="0" t="n">
        <f aca="false">D6*(1+E5/100)</f>
        <v>16315.790715</v>
      </c>
      <c r="F6" s="0" t="n">
        <f aca="false">E6*(1+F5/100)</f>
        <v>16723.685482875</v>
      </c>
      <c r="G6" s="0" t="n">
        <f aca="false">F6*(1+G5/100)</f>
        <v>17141.7776199469</v>
      </c>
      <c r="H6" s="0" t="n">
        <f aca="false">G6*(1+H5/100)</f>
        <v>17570.3220604455</v>
      </c>
      <c r="I6" s="0" t="n">
        <f aca="false">H6*(1+I5/100)</f>
        <v>18009.5801119567</v>
      </c>
      <c r="J6" s="0" t="n">
        <f aca="false">I6*(1+J5/100)</f>
        <v>18459.8196147556</v>
      </c>
      <c r="K6" s="0" t="n">
        <f aca="false">J6*(1+K5/100)</f>
        <v>18921.3151051245</v>
      </c>
      <c r="L6" s="0" t="n">
        <f aca="false">K6*(1+L5/100)</f>
        <v>19394.3479827526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49.8</v>
      </c>
      <c r="D7" s="4" t="n">
        <f aca="false">Assumptions!D14</f>
        <v>49.3</v>
      </c>
      <c r="E7" s="4" t="n">
        <f aca="false">Assumptions!E14</f>
        <v>49</v>
      </c>
      <c r="F7" s="4" t="n">
        <f aca="false">Assumptions!F14</f>
        <v>49</v>
      </c>
      <c r="G7" s="4" t="n">
        <f aca="false">Assumptions!G14</f>
        <v>49</v>
      </c>
      <c r="H7" s="4" t="n">
        <f aca="false">Assumptions!H14</f>
        <v>49</v>
      </c>
      <c r="I7" s="4" t="n">
        <f aca="false">Assumptions!I14</f>
        <v>49</v>
      </c>
      <c r="J7" s="4" t="n">
        <f aca="false">Assumptions!J14</f>
        <v>49</v>
      </c>
      <c r="K7" s="4" t="n">
        <f aca="false">Assumptions!K14</f>
        <v>49</v>
      </c>
      <c r="L7" s="4" t="n">
        <f aca="false">Assumptions!L14</f>
        <v>49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7771.65354</v>
      </c>
      <c r="D8" s="0" t="n">
        <f aca="false">D6*D7/100</f>
        <v>7847.4973878</v>
      </c>
      <c r="E8" s="0" t="n">
        <f aca="false">E6*E7/100</f>
        <v>7994.73745035</v>
      </c>
      <c r="F8" s="0" t="n">
        <f aca="false">F6*F7/100</f>
        <v>8194.60588660875</v>
      </c>
      <c r="G8" s="0" t="n">
        <f aca="false">G6*G7/100</f>
        <v>8399.47103377397</v>
      </c>
      <c r="H8" s="0" t="n">
        <f aca="false">H6*H7/100</f>
        <v>8609.45780961832</v>
      </c>
      <c r="I8" s="0" t="n">
        <f aca="false">I6*I7/100</f>
        <v>8824.69425485877</v>
      </c>
      <c r="J8" s="0" t="n">
        <f aca="false">J6*J7/100</f>
        <v>9045.31161123024</v>
      </c>
      <c r="K8" s="0" t="n">
        <f aca="false">K6*K7/100</f>
        <v>9271.444401511</v>
      </c>
      <c r="L8" s="0" t="n">
        <f aca="false">L6*L7/100</f>
        <v>9503.23051154877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-140.45157</v>
      </c>
      <c r="D10" s="0" t="n">
        <f aca="false">-D6*D9/100</f>
        <v>-143.2606014</v>
      </c>
      <c r="E10" s="0" t="n">
        <f aca="false">-E6*E9/100</f>
        <v>-146.842116435</v>
      </c>
      <c r="F10" s="0" t="n">
        <f aca="false">-F6*F9/100</f>
        <v>-150.513169345875</v>
      </c>
      <c r="G10" s="0" t="n">
        <f aca="false">-G6*G9/100</f>
        <v>-154.275998579522</v>
      </c>
      <c r="H10" s="0" t="n">
        <f aca="false">-H6*H9/100</f>
        <v>-158.13289854401</v>
      </c>
      <c r="I10" s="0" t="n">
        <f aca="false">-I6*I9/100</f>
        <v>-162.08622100761</v>
      </c>
      <c r="J10" s="0" t="n">
        <f aca="false">-J6*J9/100</f>
        <v>-166.1383765328</v>
      </c>
      <c r="K10" s="0" t="n">
        <f aca="false">-K6*K9/100</f>
        <v>-170.29183594612</v>
      </c>
      <c r="L10" s="0" t="n">
        <f aca="false">-L6*L9/100</f>
        <v>-174.549131844773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7631.20197</v>
      </c>
      <c r="D11" s="0" t="n">
        <f aca="false">D8+D10+D24</f>
        <v>7704.2367864</v>
      </c>
      <c r="E11" s="0" t="n">
        <f aca="false">E8+E10+E24</f>
        <v>7847.895333915</v>
      </c>
      <c r="F11" s="0" t="n">
        <f aca="false">F8+F10+F24</f>
        <v>8044.09271726287</v>
      </c>
      <c r="G11" s="0" t="n">
        <f aca="false">G8+G10+G24</f>
        <v>8245.19503519445</v>
      </c>
      <c r="H11" s="0" t="n">
        <f aca="false">H8+H10+H24</f>
        <v>8451.32491107431</v>
      </c>
      <c r="I11" s="0" t="n">
        <f aca="false">I8+I10+I24</f>
        <v>8662.60803385116</v>
      </c>
      <c r="J11" s="0" t="n">
        <f aca="false">J8+J10+J24</f>
        <v>8879.17323469744</v>
      </c>
      <c r="K11" s="0" t="n">
        <f aca="false">K8+K10+K24</f>
        <v>9101.15256556488</v>
      </c>
      <c r="L11" s="0" t="n">
        <f aca="false">L8+L10+L24</f>
        <v>9328.681379704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-2059.95636</v>
      </c>
      <c r="D12" s="4" t="n">
        <f aca="false">-D6*Assumptions!D17/100</f>
        <v>-2101.1554872</v>
      </c>
      <c r="E12" s="4" t="n">
        <f aca="false">-E6*Assumptions!E17/100</f>
        <v>-2170.000165095</v>
      </c>
      <c r="F12" s="4" t="n">
        <f aca="false">-F6*Assumptions!F17/100</f>
        <v>-2224.25016922237</v>
      </c>
      <c r="G12" s="4" t="n">
        <f aca="false">-G6*Assumptions!G17/100</f>
        <v>-2279.85642345293</v>
      </c>
      <c r="H12" s="4" t="n">
        <f aca="false">-H6*Assumptions!H17/100</f>
        <v>-2336.85283403926</v>
      </c>
      <c r="I12" s="4" t="n">
        <f aca="false">-I6*Assumptions!I17/100</f>
        <v>-2395.27415489024</v>
      </c>
      <c r="J12" s="4" t="n">
        <f aca="false">-J6*Assumptions!J17/100</f>
        <v>-2455.15600876249</v>
      </c>
      <c r="K12" s="4" t="n">
        <f aca="false">-K6*Assumptions!K17/100</f>
        <v>-2516.53490898156</v>
      </c>
      <c r="L12" s="4" t="n">
        <f aca="false">-L6*Assumptions!L17/100</f>
        <v>-2579.4482817061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5571.24561</v>
      </c>
      <c r="D13" s="0" t="n">
        <f aca="false">D11+D12</f>
        <v>5603.0812992</v>
      </c>
      <c r="E13" s="0" t="n">
        <f aca="false">E11+E12</f>
        <v>5677.89516882</v>
      </c>
      <c r="F13" s="0" t="n">
        <f aca="false">F11+F12</f>
        <v>5819.8425480405</v>
      </c>
      <c r="G13" s="0" t="n">
        <f aca="false">G11+G12</f>
        <v>5965.33861174151</v>
      </c>
      <c r="H13" s="0" t="n">
        <f aca="false">H11+H12</f>
        <v>6114.47207703505</v>
      </c>
      <c r="I13" s="0" t="n">
        <f aca="false">I11+I12</f>
        <v>6267.33387896092</v>
      </c>
      <c r="J13" s="0" t="n">
        <f aca="false">J11+J12</f>
        <v>6424.01722593495</v>
      </c>
      <c r="K13" s="0" t="n">
        <f aca="false">K11+K12</f>
        <v>6584.61765658332</v>
      </c>
      <c r="L13" s="0" t="n">
        <f aca="false">L11+L12</f>
        <v>6749.2330979979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4178.4342075</v>
      </c>
      <c r="D15" s="0" t="n">
        <f aca="false">D13-MAX(0,D13)*D14/100</f>
        <v>4202.3109744</v>
      </c>
      <c r="E15" s="0" t="n">
        <f aca="false">E13-MAX(0,E13)*E14/100</f>
        <v>4258.421376615</v>
      </c>
      <c r="F15" s="0" t="n">
        <f aca="false">F13-MAX(0,F13)*F14/100</f>
        <v>4364.88191103037</v>
      </c>
      <c r="G15" s="0" t="n">
        <f aca="false">G13-MAX(0,G13)*G14/100</f>
        <v>4474.00395880613</v>
      </c>
      <c r="H15" s="0" t="n">
        <f aca="false">H13-MAX(0,H13)*H14/100</f>
        <v>4585.85405777629</v>
      </c>
      <c r="I15" s="0" t="n">
        <f aca="false">I13-MAX(0,I13)*I14/100</f>
        <v>4700.50040922069</v>
      </c>
      <c r="J15" s="0" t="n">
        <f aca="false">J13-MAX(0,J13)*J14/100</f>
        <v>4818.01291945121</v>
      </c>
      <c r="K15" s="0" t="n">
        <f aca="false">K13-MAX(0,K13)*K14/100</f>
        <v>4938.46324243749</v>
      </c>
      <c r="L15" s="0" t="n">
        <f aca="false">L13-MAX(0,L13)*L14/100</f>
        <v>5061.92482349843</v>
      </c>
    </row>
    <row r="16" customFormat="false" ht="15" hidden="false" customHeight="false" outlineLevel="0" collapsed="false">
      <c r="A16" s="0" t="s">
        <v>127</v>
      </c>
      <c r="C16" s="0" t="n">
        <f aca="false">-C12</f>
        <v>2059.95636</v>
      </c>
      <c r="D16" s="0" t="n">
        <f aca="false">-D12</f>
        <v>2101.1554872</v>
      </c>
      <c r="E16" s="0" t="n">
        <f aca="false">-E12</f>
        <v>2170.000165095</v>
      </c>
      <c r="F16" s="0" t="n">
        <f aca="false">-F12</f>
        <v>2224.25016922237</v>
      </c>
      <c r="G16" s="0" t="n">
        <f aca="false">-G12</f>
        <v>2279.85642345293</v>
      </c>
      <c r="H16" s="0" t="n">
        <f aca="false">-H12</f>
        <v>2336.85283403926</v>
      </c>
      <c r="I16" s="0" t="n">
        <f aca="false">-I12</f>
        <v>2395.27415489024</v>
      </c>
      <c r="J16" s="0" t="n">
        <f aca="false">-J12</f>
        <v>2455.15600876249</v>
      </c>
      <c r="K16" s="0" t="n">
        <f aca="false">-K12</f>
        <v>2516.53490898156</v>
      </c>
      <c r="L16" s="0" t="n">
        <f aca="false">-L12</f>
        <v>2579.4482817061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-2652.9741</v>
      </c>
      <c r="D17" s="4" t="n">
        <f aca="false">-D6*Assumptions!D18/100</f>
        <v>-2785.622805</v>
      </c>
      <c r="E17" s="4" t="n">
        <f aca="false">-E6*Assumptions!E18/100</f>
        <v>-2936.8423287</v>
      </c>
      <c r="F17" s="4" t="n">
        <f aca="false">-F6*Assumptions!F18/100</f>
        <v>-3093.88181433187</v>
      </c>
      <c r="G17" s="4" t="n">
        <f aca="false">-G6*Assumptions!G18/100</f>
        <v>-3171.22885969017</v>
      </c>
      <c r="H17" s="4" t="n">
        <f aca="false">-H6*Assumptions!H18/100</f>
        <v>-3250.50958118243</v>
      </c>
      <c r="I17" s="4" t="n">
        <f aca="false">-I6*Assumptions!I18/100</f>
        <v>-3331.77232071199</v>
      </c>
      <c r="J17" s="4" t="n">
        <f aca="false">-J6*Assumptions!J18/100</f>
        <v>-3415.06662872979</v>
      </c>
      <c r="K17" s="4" t="n">
        <f aca="false">-K6*Assumptions!K18/100</f>
        <v>-3500.44329444803</v>
      </c>
      <c r="L17" s="4" t="n">
        <f aca="false">-L6*Assumptions!L18/100</f>
        <v>-3587.95437680923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3585.4164675</v>
      </c>
      <c r="D19" s="0" t="n">
        <f aca="false">D15+D16+D17+D18</f>
        <v>3517.8436566</v>
      </c>
      <c r="E19" s="0" t="n">
        <f aca="false">E15+E16+E17+E18</f>
        <v>3491.57921301</v>
      </c>
      <c r="F19" s="0" t="n">
        <f aca="false">F15+F16+F17+F18</f>
        <v>3495.25026592087</v>
      </c>
      <c r="G19" s="0" t="n">
        <f aca="false">G15+G16+G17+G18</f>
        <v>3582.6315225689</v>
      </c>
      <c r="H19" s="0" t="n">
        <f aca="false">H15+H16+H17+H18</f>
        <v>3672.19731063312</v>
      </c>
      <c r="I19" s="0" t="n">
        <f aca="false">I15+I16+I17+I18</f>
        <v>3764.00224339895</v>
      </c>
      <c r="J19" s="0" t="n">
        <f aca="false">J15+J16+J17+J18</f>
        <v>3858.10229948392</v>
      </c>
      <c r="K19" s="0" t="n">
        <f aca="false">K15+K16+K17+K18</f>
        <v>3954.55485697102</v>
      </c>
      <c r="L19" s="0" t="n">
        <f aca="false">L15+L16+L17+L18</f>
        <v>4053.41872839529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3335.27113255814</v>
      </c>
      <c r="D21" s="0" t="n">
        <f aca="false">D19*D20</f>
        <v>3044.10484075717</v>
      </c>
      <c r="E21" s="0" t="n">
        <f aca="false">E19*E20</f>
        <v>2810.58359179242</v>
      </c>
      <c r="F21" s="0" t="n">
        <f aca="false">F19*F20</f>
        <v>2617.24525082257</v>
      </c>
      <c r="G21" s="0" t="n">
        <f aca="false">G19*G20</f>
        <v>2495.51291357501</v>
      </c>
      <c r="H21" s="0" t="n">
        <f aca="false">H19*H20</f>
        <v>2379.44254550175</v>
      </c>
      <c r="I21" s="0" t="n">
        <f aca="false">I19*I20</f>
        <v>2268.77079919934</v>
      </c>
      <c r="J21" s="0" t="n">
        <f aca="false">J19*J20</f>
        <v>2163.24657598077</v>
      </c>
      <c r="K21" s="0" t="n">
        <f aca="false">K19*K20</f>
        <v>2062.63045616771</v>
      </c>
      <c r="L21" s="0" t="n">
        <f aca="false">L19*L20</f>
        <v>1966.69415588084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25143.5022622357</v>
      </c>
    </row>
    <row r="31" customFormat="false" ht="15" hidden="false" customHeight="false" outlineLevel="0" collapsed="false">
      <c r="A31" s="0" t="s">
        <v>136</v>
      </c>
      <c r="B31" s="0" t="n">
        <f aca="false">L19</f>
        <v>4053.41872839529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83095.0839321034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81068.3745679058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81068.3745679058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39333.8831176168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64477.3853798525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38715.3853798525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44.0047571946493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-0.63505757841558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1059.81746896621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1736.1486687082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47.1827137048498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33238.0335728414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0.792212949415811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5.5</v>
      </c>
      <c r="D5" s="4" t="n">
        <f aca="false">Assumptions!D27</f>
        <v>5.5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15078</v>
      </c>
      <c r="C6" s="0" t="n">
        <f aca="false">B6*(1+C5/100)</f>
        <v>15907.29</v>
      </c>
      <c r="D6" s="0" t="n">
        <f aca="false">C6*(1+D5/100)</f>
        <v>16782.19095</v>
      </c>
      <c r="E6" s="0" t="n">
        <f aca="false">D6*(1+E5/100)</f>
        <v>17705.21145225</v>
      </c>
      <c r="F6" s="0" t="n">
        <f aca="false">E6*(1+F5/100)</f>
        <v>18590.4720248625</v>
      </c>
      <c r="G6" s="0" t="n">
        <f aca="false">F6*(1+G5/100)</f>
        <v>19427.0432659813</v>
      </c>
      <c r="H6" s="0" t="n">
        <f aca="false">G6*(1+H5/100)</f>
        <v>20204.1249966206</v>
      </c>
      <c r="I6" s="0" t="n">
        <f aca="false">H6*(1+I5/100)</f>
        <v>20911.2693715023</v>
      </c>
      <c r="J6" s="0" t="n">
        <f aca="false">I6*(1+J5/100)</f>
        <v>21538.6074526473</v>
      </c>
      <c r="K6" s="0" t="n">
        <f aca="false">J6*(1+K5/100)</f>
        <v>22184.7656762268</v>
      </c>
      <c r="L6" s="0" t="n">
        <f aca="false">K6*(1+L5/100)</f>
        <v>22850.3086465136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50.6</v>
      </c>
      <c r="D7" s="4" t="n">
        <f aca="false">Assumptions!D28</f>
        <v>51.4</v>
      </c>
      <c r="E7" s="4" t="n">
        <f aca="false">Assumptions!E28</f>
        <v>52.2</v>
      </c>
      <c r="F7" s="4" t="n">
        <f aca="false">Assumptions!F28</f>
        <v>53</v>
      </c>
      <c r="G7" s="4" t="n">
        <f aca="false">Assumptions!G28</f>
        <v>53.6</v>
      </c>
      <c r="H7" s="4" t="n">
        <f aca="false">Assumptions!H28</f>
        <v>54</v>
      </c>
      <c r="I7" s="4" t="n">
        <f aca="false">Assumptions!I28</f>
        <v>54.3</v>
      </c>
      <c r="J7" s="4" t="n">
        <f aca="false">Assumptions!J28</f>
        <v>54.5</v>
      </c>
      <c r="K7" s="4" t="n">
        <f aca="false">Assumptions!K28</f>
        <v>54.5</v>
      </c>
      <c r="L7" s="4" t="n">
        <f aca="false">Assumptions!L28</f>
        <v>54.5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8049.08874</v>
      </c>
      <c r="D8" s="0" t="n">
        <f aca="false">D6*D7/100</f>
        <v>8626.0461483</v>
      </c>
      <c r="E8" s="0" t="n">
        <f aca="false">E6*E7/100</f>
        <v>9242.1203780745</v>
      </c>
      <c r="F8" s="0" t="n">
        <f aca="false">F6*F7/100</f>
        <v>9852.95017317712</v>
      </c>
      <c r="G8" s="0" t="n">
        <f aca="false">G6*G7/100</f>
        <v>10412.895190566</v>
      </c>
      <c r="H8" s="0" t="n">
        <f aca="false">H6*H7/100</f>
        <v>10910.2274981751</v>
      </c>
      <c r="I8" s="0" t="n">
        <f aca="false">I6*I7/100</f>
        <v>11354.8192687257</v>
      </c>
      <c r="J8" s="0" t="n">
        <f aca="false">J6*J7/100</f>
        <v>11738.5410616928</v>
      </c>
      <c r="K8" s="0" t="n">
        <f aca="false">K6*K7/100</f>
        <v>12090.6972935436</v>
      </c>
      <c r="L8" s="0" t="n">
        <f aca="false">L6*L7/100</f>
        <v>12453.4182123499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0.9</v>
      </c>
      <c r="D9" s="4" t="n">
        <f aca="false">Assumptions!D29</f>
        <v>0.88</v>
      </c>
      <c r="E9" s="4" t="n">
        <f aca="false">Assumptions!E29</f>
        <v>0.86</v>
      </c>
      <c r="F9" s="4" t="n">
        <f aca="false">Assumptions!F29</f>
        <v>0.84</v>
      </c>
      <c r="G9" s="4" t="n">
        <f aca="false">Assumptions!G29</f>
        <v>0.82</v>
      </c>
      <c r="H9" s="4" t="n">
        <f aca="false">Assumptions!H29</f>
        <v>0.8</v>
      </c>
      <c r="I9" s="4" t="n">
        <f aca="false">Assumptions!I29</f>
        <v>0.78</v>
      </c>
      <c r="J9" s="4" t="n">
        <f aca="false">Assumptions!J29</f>
        <v>0.76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-143.16561</v>
      </c>
      <c r="D10" s="0" t="n">
        <f aca="false">-D6*D9/100</f>
        <v>-147.68328036</v>
      </c>
      <c r="E10" s="0" t="n">
        <f aca="false">-E6*E9/100</f>
        <v>-152.26481848935</v>
      </c>
      <c r="F10" s="0" t="n">
        <f aca="false">-F6*F9/100</f>
        <v>-156.159965008845</v>
      </c>
      <c r="G10" s="0" t="n">
        <f aca="false">-G6*G9/100</f>
        <v>-159.301754781047</v>
      </c>
      <c r="H10" s="0" t="n">
        <f aca="false">-H6*H9/100</f>
        <v>-161.632999972964</v>
      </c>
      <c r="I10" s="0" t="n">
        <f aca="false">-I6*I9/100</f>
        <v>-163.107901097718</v>
      </c>
      <c r="J10" s="0" t="n">
        <f aca="false">-J6*J9/100</f>
        <v>-163.69341664012</v>
      </c>
      <c r="K10" s="0" t="n">
        <f aca="false">-K6*K9/100</f>
        <v>-166.385742571701</v>
      </c>
      <c r="L10" s="0" t="n">
        <f aca="false">-L6*L9/100</f>
        <v>-171.377314848852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7905.92313</v>
      </c>
      <c r="D11" s="0" t="n">
        <f aca="false">D8+D10+D24</f>
        <v>8478.36286794</v>
      </c>
      <c r="E11" s="0" t="n">
        <f aca="false">E8+E10+E24</f>
        <v>9089.85555958515</v>
      </c>
      <c r="F11" s="0" t="n">
        <f aca="false">F8+F10+F24</f>
        <v>9696.79020816828</v>
      </c>
      <c r="G11" s="0" t="n">
        <f aca="false">G8+G10+G24</f>
        <v>10253.5934357849</v>
      </c>
      <c r="H11" s="0" t="n">
        <f aca="false">H8+H10+H24</f>
        <v>10748.5944982021</v>
      </c>
      <c r="I11" s="0" t="n">
        <f aca="false">I8+I10+I24</f>
        <v>11191.711367628</v>
      </c>
      <c r="J11" s="0" t="n">
        <f aca="false">J8+J10+J24</f>
        <v>11574.8476450527</v>
      </c>
      <c r="K11" s="0" t="n">
        <f aca="false">K8+K10+K24</f>
        <v>11924.3115509719</v>
      </c>
      <c r="L11" s="0" t="n">
        <f aca="false">L8+L10+L24</f>
        <v>12282.040897501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-2099.76228</v>
      </c>
      <c r="D12" s="4" t="n">
        <f aca="false">-D6*Assumptions!D31/100</f>
        <v>-2198.46701445</v>
      </c>
      <c r="E12" s="4" t="n">
        <f aca="false">-E6*Assumptions!E31/100</f>
        <v>-2301.6774887925</v>
      </c>
      <c r="F12" s="4" t="n">
        <f aca="false">-F6*Assumptions!F31/100</f>
        <v>-2416.76136323212</v>
      </c>
      <c r="G12" s="4" t="n">
        <f aca="false">-G6*Assumptions!G31/100</f>
        <v>-2525.51562457757</v>
      </c>
      <c r="H12" s="4" t="n">
        <f aca="false">-H6*Assumptions!H31/100</f>
        <v>-2626.53624956067</v>
      </c>
      <c r="I12" s="4" t="n">
        <f aca="false">-I6*Assumptions!I31/100</f>
        <v>-2718.4650182953</v>
      </c>
      <c r="J12" s="4" t="n">
        <f aca="false">-J6*Assumptions!J31/100</f>
        <v>-2800.01896884415</v>
      </c>
      <c r="K12" s="4" t="n">
        <f aca="false">-K6*Assumptions!K31/100</f>
        <v>-2884.01953790948</v>
      </c>
      <c r="L12" s="4" t="n">
        <f aca="false">-L6*Assumptions!L31/100</f>
        <v>-2970.54012404676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5806.16085</v>
      </c>
      <c r="D13" s="0" t="n">
        <f aca="false">D11+D12</f>
        <v>6279.89585349</v>
      </c>
      <c r="E13" s="0" t="n">
        <f aca="false">E11+E12</f>
        <v>6788.17807079265</v>
      </c>
      <c r="F13" s="0" t="n">
        <f aca="false">F11+F12</f>
        <v>7280.02884493615</v>
      </c>
      <c r="G13" s="0" t="n">
        <f aca="false">G11+G12</f>
        <v>7728.07781120736</v>
      </c>
      <c r="H13" s="0" t="n">
        <f aca="false">H11+H12</f>
        <v>8122.05824864147</v>
      </c>
      <c r="I13" s="0" t="n">
        <f aca="false">I11+I12</f>
        <v>8473.24634933272</v>
      </c>
      <c r="J13" s="0" t="n">
        <f aca="false">J11+J12</f>
        <v>8774.82867620853</v>
      </c>
      <c r="K13" s="0" t="n">
        <f aca="false">K11+K12</f>
        <v>9040.29201306241</v>
      </c>
      <c r="L13" s="0" t="n">
        <f aca="false">L11+L12</f>
        <v>9311.50077345428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4383.65144175</v>
      </c>
      <c r="D15" s="0" t="n">
        <f aca="false">D13-MAX(0,D13)*D14/100</f>
        <v>4741.32136938495</v>
      </c>
      <c r="E15" s="0" t="n">
        <f aca="false">E13-MAX(0,E13)*E14/100</f>
        <v>5125.07444344845</v>
      </c>
      <c r="F15" s="0" t="n">
        <f aca="false">F13-MAX(0,F13)*F14/100</f>
        <v>5496.4217779268</v>
      </c>
      <c r="G15" s="0" t="n">
        <f aca="false">G13-MAX(0,G13)*G14/100</f>
        <v>5834.69874746156</v>
      </c>
      <c r="H15" s="0" t="n">
        <f aca="false">H13-MAX(0,H13)*H14/100</f>
        <v>6132.15397772431</v>
      </c>
      <c r="I15" s="0" t="n">
        <f aca="false">I13-MAX(0,I13)*I14/100</f>
        <v>6397.30099374621</v>
      </c>
      <c r="J15" s="0" t="n">
        <f aca="false">J13-MAX(0,J13)*J14/100</f>
        <v>6624.99565053744</v>
      </c>
      <c r="K15" s="0" t="n">
        <f aca="false">K13-MAX(0,K13)*K14/100</f>
        <v>6825.42046986212</v>
      </c>
      <c r="L15" s="0" t="n">
        <f aca="false">L13-MAX(0,L13)*L14/100</f>
        <v>7030.18308395798</v>
      </c>
    </row>
    <row r="16" customFormat="false" ht="15" hidden="false" customHeight="false" outlineLevel="0" collapsed="false">
      <c r="A16" s="0" t="s">
        <v>127</v>
      </c>
      <c r="C16" s="0" t="n">
        <f aca="false">-C12</f>
        <v>2099.76228</v>
      </c>
      <c r="D16" s="0" t="n">
        <f aca="false">-D12</f>
        <v>2198.46701445</v>
      </c>
      <c r="E16" s="0" t="n">
        <f aca="false">-E12</f>
        <v>2301.6774887925</v>
      </c>
      <c r="F16" s="0" t="n">
        <f aca="false">-F12</f>
        <v>2416.76136323212</v>
      </c>
      <c r="G16" s="0" t="n">
        <f aca="false">-G12</f>
        <v>2525.51562457757</v>
      </c>
      <c r="H16" s="0" t="n">
        <f aca="false">-H12</f>
        <v>2626.53624956067</v>
      </c>
      <c r="I16" s="0" t="n">
        <f aca="false">-I12</f>
        <v>2718.4650182953</v>
      </c>
      <c r="J16" s="0" t="n">
        <f aca="false">-J12</f>
        <v>2800.01896884415</v>
      </c>
      <c r="K16" s="0" t="n">
        <f aca="false">-K12</f>
        <v>2884.01953790948</v>
      </c>
      <c r="L16" s="0" t="n">
        <f aca="false">-L12</f>
        <v>2970.54012404676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-2656.51743</v>
      </c>
      <c r="D17" s="4" t="n">
        <f aca="false">-D6*Assumptions!D32/100</f>
        <v>-2852.9724615</v>
      </c>
      <c r="E17" s="4" t="n">
        <f aca="false">-E6*Assumptions!E32/100</f>
        <v>-3045.296369787</v>
      </c>
      <c r="F17" s="4" t="n">
        <f aca="false">-F6*Assumptions!F32/100</f>
        <v>-3253.33260435094</v>
      </c>
      <c r="G17" s="4" t="n">
        <f aca="false">-G6*Assumptions!G32/100</f>
        <v>-3399.73257154673</v>
      </c>
      <c r="H17" s="4" t="n">
        <f aca="false">-H6*Assumptions!H32/100</f>
        <v>-3535.7218744086</v>
      </c>
      <c r="I17" s="4" t="n">
        <f aca="false">-I6*Assumptions!I32/100</f>
        <v>-3659.4721400129</v>
      </c>
      <c r="J17" s="4" t="n">
        <f aca="false">-J6*Assumptions!J32/100</f>
        <v>-3769.25630421329</v>
      </c>
      <c r="K17" s="4" t="n">
        <f aca="false">-K6*Assumptions!K32/100</f>
        <v>-3882.33399333968</v>
      </c>
      <c r="L17" s="4" t="n">
        <f aca="false">-L6*Assumptions!L32/100</f>
        <v>-3998.80401313987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3826.89629175</v>
      </c>
      <c r="D19" s="0" t="n">
        <f aca="false">D15+D16+D17+D18</f>
        <v>4086.81592233495</v>
      </c>
      <c r="E19" s="0" t="n">
        <f aca="false">E15+E16+E17+E18</f>
        <v>4381.45556245395</v>
      </c>
      <c r="F19" s="0" t="n">
        <f aca="false">F15+F16+F17+F18</f>
        <v>4659.85053680798</v>
      </c>
      <c r="G19" s="0" t="n">
        <f aca="false">G15+G16+G17+G18</f>
        <v>4960.4818004924</v>
      </c>
      <c r="H19" s="0" t="n">
        <f aca="false">H15+H16+H17+H18</f>
        <v>5222.96835287638</v>
      </c>
      <c r="I19" s="0" t="n">
        <f aca="false">I15+I16+I17+I18</f>
        <v>5456.2938720286</v>
      </c>
      <c r="J19" s="0" t="n">
        <f aca="false">J15+J16+J17+J18</f>
        <v>5655.75831516831</v>
      </c>
      <c r="K19" s="0" t="n">
        <f aca="false">K15+K16+K17+K18</f>
        <v>5827.10601443191</v>
      </c>
      <c r="L19" s="0" t="n">
        <f aca="false">L15+L16+L17+L18</f>
        <v>6001.91919486487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3559.9035272093</v>
      </c>
      <c r="D21" s="0" t="n">
        <f aca="false">D19*D20</f>
        <v>3536.45509774793</v>
      </c>
      <c r="E21" s="0" t="n">
        <f aca="false">E19*E20</f>
        <v>3526.89896483395</v>
      </c>
      <c r="F21" s="0" t="n">
        <f aca="false">F19*F20</f>
        <v>3489.29855064054</v>
      </c>
      <c r="G21" s="0" t="n">
        <f aca="false">G19*G20</f>
        <v>3455.26641874863</v>
      </c>
      <c r="H21" s="0" t="n">
        <f aca="false">H19*H20</f>
        <v>3384.28250482559</v>
      </c>
      <c r="I21" s="0" t="n">
        <f aca="false">I19*I20</f>
        <v>3288.80787210433</v>
      </c>
      <c r="J21" s="0" t="n">
        <f aca="false">J19*J20</f>
        <v>3171.19631884805</v>
      </c>
      <c r="K21" s="0" t="n">
        <f aca="false">K19*K20</f>
        <v>3039.32219210416</v>
      </c>
      <c r="L21" s="0" t="n">
        <f aca="false">L19*L20</f>
        <v>2912.09475150445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33363.5261985669</v>
      </c>
    </row>
    <row r="31" customFormat="false" ht="15" hidden="false" customHeight="false" outlineLevel="0" collapsed="false">
      <c r="A31" s="0" t="s">
        <v>136</v>
      </c>
      <c r="B31" s="0" t="n">
        <f aca="false">L19</f>
        <v>6001.91919486487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123039.34349473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120038.383897297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120038.383897297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58241.895030089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91605.4212286559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65843.4212286559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74.8390784594862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-0.379340865321893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1076.19992360983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1704.60026857206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77.9997970230027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49215.7373978919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11.5149761619779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7.5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15078</v>
      </c>
      <c r="C6" s="0" t="n">
        <f aca="false">B6*(1+C5/100)</f>
        <v>16133.46</v>
      </c>
      <c r="D6" s="0" t="n">
        <f aca="false">C6*(1+D5/100)</f>
        <v>17343.4695</v>
      </c>
      <c r="E6" s="0" t="n">
        <f aca="false">D6*(1+E5/100)</f>
        <v>18644.2297125</v>
      </c>
      <c r="F6" s="0" t="n">
        <f aca="false">E6*(1+F5/100)</f>
        <v>19949.325792375</v>
      </c>
      <c r="G6" s="0" t="n">
        <f aca="false">F6*(1+G5/100)</f>
        <v>21146.2853399175</v>
      </c>
      <c r="H6" s="0" t="n">
        <f aca="false">G6*(1+H5/100)</f>
        <v>22203.5996069134</v>
      </c>
      <c r="I6" s="0" t="n">
        <f aca="false">H6*(1+I5/100)</f>
        <v>23202.7615892245</v>
      </c>
      <c r="J6" s="0" t="n">
        <f aca="false">I6*(1+J5/100)</f>
        <v>24130.8720527935</v>
      </c>
      <c r="K6" s="0" t="n">
        <f aca="false">J6*(1+K5/100)</f>
        <v>24975.4525746412</v>
      </c>
      <c r="L6" s="0" t="n">
        <f aca="false">K6*(1+L5/100)</f>
        <v>25724.7161518805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50.9</v>
      </c>
      <c r="D7" s="4" t="n">
        <f aca="false">Assumptions!D42</f>
        <v>52.3</v>
      </c>
      <c r="E7" s="4" t="n">
        <f aca="false">Assumptions!E42</f>
        <v>53.7</v>
      </c>
      <c r="F7" s="4" t="n">
        <f aca="false">Assumptions!F42</f>
        <v>55</v>
      </c>
      <c r="G7" s="4" t="n">
        <f aca="false">Assumptions!G42</f>
        <v>56</v>
      </c>
      <c r="H7" s="4" t="n">
        <f aca="false">Assumptions!H42</f>
        <v>56.7</v>
      </c>
      <c r="I7" s="4" t="n">
        <f aca="false">Assumptions!I42</f>
        <v>57.2</v>
      </c>
      <c r="J7" s="4" t="n">
        <f aca="false">Assumptions!J42</f>
        <v>57.5</v>
      </c>
      <c r="K7" s="4" t="n">
        <f aca="false">Assumptions!K42</f>
        <v>57.5</v>
      </c>
      <c r="L7" s="4" t="n">
        <f aca="false">Assumptions!L42</f>
        <v>57.5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8211.93114</v>
      </c>
      <c r="D8" s="0" t="n">
        <f aca="false">D6*D7/100</f>
        <v>9070.6345485</v>
      </c>
      <c r="E8" s="0" t="n">
        <f aca="false">E6*E7/100</f>
        <v>10011.9513556125</v>
      </c>
      <c r="F8" s="0" t="n">
        <f aca="false">F6*F7/100</f>
        <v>10972.1291858063</v>
      </c>
      <c r="G8" s="0" t="n">
        <f aca="false">G6*G7/100</f>
        <v>11841.9197903538</v>
      </c>
      <c r="H8" s="0" t="n">
        <f aca="false">H6*H7/100</f>
        <v>12589.4409771199</v>
      </c>
      <c r="I8" s="0" t="n">
        <f aca="false">I6*I7/100</f>
        <v>13271.9796290364</v>
      </c>
      <c r="J8" s="0" t="n">
        <f aca="false">J6*J7/100</f>
        <v>13875.2514303562</v>
      </c>
      <c r="K8" s="0" t="n">
        <f aca="false">K6*K7/100</f>
        <v>14360.8852304187</v>
      </c>
      <c r="L8" s="0" t="n">
        <f aca="false">L6*L7/100</f>
        <v>14791.7117873313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0.9</v>
      </c>
      <c r="D9" s="4" t="n">
        <f aca="false">Assumptions!D43</f>
        <v>0.88</v>
      </c>
      <c r="E9" s="4" t="n">
        <f aca="false">Assumptions!E43</f>
        <v>0.86</v>
      </c>
      <c r="F9" s="4" t="n">
        <f aca="false">Assumptions!F43</f>
        <v>0.84</v>
      </c>
      <c r="G9" s="4" t="n">
        <f aca="false">Assumptions!G43</f>
        <v>0.82</v>
      </c>
      <c r="H9" s="4" t="n">
        <f aca="false">Assumptions!H43</f>
        <v>0.8</v>
      </c>
      <c r="I9" s="4" t="n">
        <f aca="false">Assumptions!I43</f>
        <v>0.78</v>
      </c>
      <c r="J9" s="4" t="n">
        <f aca="false">Assumptions!J43</f>
        <v>0.76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-145.20114</v>
      </c>
      <c r="D10" s="0" t="n">
        <f aca="false">-D6*D9/100</f>
        <v>-152.6225316</v>
      </c>
      <c r="E10" s="0" t="n">
        <f aca="false">-E6*E9/100</f>
        <v>-160.3403755275</v>
      </c>
      <c r="F10" s="0" t="n">
        <f aca="false">-F6*F9/100</f>
        <v>-167.57433665595</v>
      </c>
      <c r="G10" s="0" t="n">
        <f aca="false">-G6*G9/100</f>
        <v>-173.399539787323</v>
      </c>
      <c r="H10" s="0" t="n">
        <f aca="false">-H6*H9/100</f>
        <v>-177.628796855307</v>
      </c>
      <c r="I10" s="0" t="n">
        <f aca="false">-I6*I9/100</f>
        <v>-180.981540395951</v>
      </c>
      <c r="J10" s="0" t="n">
        <f aca="false">-J6*J9/100</f>
        <v>-183.39462760123</v>
      </c>
      <c r="K10" s="0" t="n">
        <f aca="false">-K6*K9/100</f>
        <v>-187.315894309809</v>
      </c>
      <c r="L10" s="0" t="n">
        <f aca="false">-L6*L9/100</f>
        <v>-192.935371139104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8066.73</v>
      </c>
      <c r="D11" s="0" t="n">
        <f aca="false">D8+D10+D24</f>
        <v>8918.0120169</v>
      </c>
      <c r="E11" s="0" t="n">
        <f aca="false">E8+E10+E24</f>
        <v>9851.610980085</v>
      </c>
      <c r="F11" s="0" t="n">
        <f aca="false">F8+F10+F24</f>
        <v>10804.5548491503</v>
      </c>
      <c r="G11" s="0" t="n">
        <f aca="false">G8+G10+G24</f>
        <v>11668.5202505665</v>
      </c>
      <c r="H11" s="0" t="n">
        <f aca="false">H8+H10+H24</f>
        <v>12411.8121802646</v>
      </c>
      <c r="I11" s="0" t="n">
        <f aca="false">I8+I10+I24</f>
        <v>13090.9980886404</v>
      </c>
      <c r="J11" s="0" t="n">
        <f aca="false">J8+J10+J24</f>
        <v>13691.856802755</v>
      </c>
      <c r="K11" s="0" t="n">
        <f aca="false">K8+K10+K24</f>
        <v>14173.5693361089</v>
      </c>
      <c r="L11" s="0" t="n">
        <f aca="false">L8+L10+L24</f>
        <v>14598.7764161922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-2129.61672</v>
      </c>
      <c r="D12" s="4" t="n">
        <f aca="false">-D6*Assumptions!D45/100</f>
        <v>-2271.9945045</v>
      </c>
      <c r="E12" s="4" t="n">
        <f aca="false">-E6*Assumptions!E45/100</f>
        <v>-2423.749862625</v>
      </c>
      <c r="F12" s="4" t="n">
        <f aca="false">-F6*Assumptions!F45/100</f>
        <v>-2573.46302721638</v>
      </c>
      <c r="G12" s="4" t="n">
        <f aca="false">-G6*Assumptions!G45/100</f>
        <v>-2706.72452350944</v>
      </c>
      <c r="H12" s="4" t="n">
        <f aca="false">-H6*Assumptions!H45/100</f>
        <v>-2842.06074968491</v>
      </c>
      <c r="I12" s="4" t="n">
        <f aca="false">-I6*Assumptions!I45/100</f>
        <v>-2969.95348342073</v>
      </c>
      <c r="J12" s="4" t="n">
        <f aca="false">-J6*Assumptions!J45/100</f>
        <v>-3088.75162275756</v>
      </c>
      <c r="K12" s="4" t="n">
        <f aca="false">-K6*Assumptions!K45/100</f>
        <v>-3196.85792955408</v>
      </c>
      <c r="L12" s="4" t="n">
        <f aca="false">-L6*Assumptions!L45/100</f>
        <v>-3292.7636674407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5937.11328</v>
      </c>
      <c r="D13" s="0" t="n">
        <f aca="false">D11+D12</f>
        <v>6646.0175124</v>
      </c>
      <c r="E13" s="0" t="n">
        <f aca="false">E11+E12</f>
        <v>7427.86111746</v>
      </c>
      <c r="F13" s="0" t="n">
        <f aca="false">F11+F12</f>
        <v>8231.09182193393</v>
      </c>
      <c r="G13" s="0" t="n">
        <f aca="false">G11+G12</f>
        <v>8961.79572705704</v>
      </c>
      <c r="H13" s="0" t="n">
        <f aca="false">H11+H12</f>
        <v>9569.75143057967</v>
      </c>
      <c r="I13" s="0" t="n">
        <f aca="false">I11+I12</f>
        <v>10121.0446052197</v>
      </c>
      <c r="J13" s="0" t="n">
        <f aca="false">J11+J12</f>
        <v>10603.1051799974</v>
      </c>
      <c r="K13" s="0" t="n">
        <f aca="false">K11+K12</f>
        <v>10976.7114065548</v>
      </c>
      <c r="L13" s="0" t="n">
        <f aca="false">L11+L12</f>
        <v>11306.0127487515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4482.5205264</v>
      </c>
      <c r="D15" s="0" t="n">
        <f aca="false">D13-MAX(0,D13)*D14/100</f>
        <v>5017.743221862</v>
      </c>
      <c r="E15" s="0" t="n">
        <f aca="false">E13-MAX(0,E13)*E14/100</f>
        <v>5608.0351436823</v>
      </c>
      <c r="F15" s="0" t="n">
        <f aca="false">F13-MAX(0,F13)*F14/100</f>
        <v>6214.47432556011</v>
      </c>
      <c r="G15" s="0" t="n">
        <f aca="false">G13-MAX(0,G13)*G14/100</f>
        <v>6766.15577392806</v>
      </c>
      <c r="H15" s="0" t="n">
        <f aca="false">H13-MAX(0,H13)*H14/100</f>
        <v>7225.16233008765</v>
      </c>
      <c r="I15" s="0" t="n">
        <f aca="false">I13-MAX(0,I13)*I14/100</f>
        <v>7641.38867694089</v>
      </c>
      <c r="J15" s="0" t="n">
        <f aca="false">J13-MAX(0,J13)*J14/100</f>
        <v>8005.34441089807</v>
      </c>
      <c r="K15" s="0" t="n">
        <f aca="false">K13-MAX(0,K13)*K14/100</f>
        <v>8287.41711194889</v>
      </c>
      <c r="L15" s="0" t="n">
        <f aca="false">L13-MAX(0,L13)*L14/100</f>
        <v>8536.03962530736</v>
      </c>
    </row>
    <row r="16" customFormat="false" ht="15" hidden="false" customHeight="false" outlineLevel="0" collapsed="false">
      <c r="A16" s="0" t="s">
        <v>127</v>
      </c>
      <c r="C16" s="0" t="n">
        <f aca="false">-C12</f>
        <v>2129.61672</v>
      </c>
      <c r="D16" s="0" t="n">
        <f aca="false">-D12</f>
        <v>2271.9945045</v>
      </c>
      <c r="E16" s="0" t="n">
        <f aca="false">-E12</f>
        <v>2423.749862625</v>
      </c>
      <c r="F16" s="0" t="n">
        <f aca="false">-F12</f>
        <v>2573.46302721638</v>
      </c>
      <c r="G16" s="0" t="n">
        <f aca="false">-G12</f>
        <v>2706.72452350944</v>
      </c>
      <c r="H16" s="0" t="n">
        <f aca="false">-H12</f>
        <v>2842.06074968491</v>
      </c>
      <c r="I16" s="0" t="n">
        <f aca="false">-I12</f>
        <v>2969.95348342073</v>
      </c>
      <c r="J16" s="0" t="n">
        <f aca="false">-J12</f>
        <v>3088.75162275756</v>
      </c>
      <c r="K16" s="0" t="n">
        <f aca="false">-K12</f>
        <v>3196.85792955408</v>
      </c>
      <c r="L16" s="0" t="n">
        <f aca="false">-L12</f>
        <v>3292.7636674407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-2678.15436</v>
      </c>
      <c r="D17" s="4" t="n">
        <f aca="false">-D6*Assumptions!D46/100</f>
        <v>-2913.702876</v>
      </c>
      <c r="E17" s="4" t="n">
        <f aca="false">-E6*Assumptions!E46/100</f>
        <v>-3169.519051125</v>
      </c>
      <c r="F17" s="4" t="n">
        <f aca="false">-F6*Assumptions!F46/100</f>
        <v>-3391.38538470375</v>
      </c>
      <c r="G17" s="4" t="n">
        <f aca="false">-G6*Assumptions!G46/100</f>
        <v>-3594.86850778598</v>
      </c>
      <c r="H17" s="4" t="n">
        <f aca="false">-H6*Assumptions!H46/100</f>
        <v>-3774.61193317527</v>
      </c>
      <c r="I17" s="4" t="n">
        <f aca="false">-I6*Assumptions!I46/100</f>
        <v>-3944.46947016816</v>
      </c>
      <c r="J17" s="4" t="n">
        <f aca="false">-J6*Assumptions!J46/100</f>
        <v>-4102.24824897489</v>
      </c>
      <c r="K17" s="4" t="n">
        <f aca="false">-K6*Assumptions!K46/100</f>
        <v>-4245.82693768901</v>
      </c>
      <c r="L17" s="4" t="n">
        <f aca="false">-L6*Assumptions!L46/100</f>
        <v>-4373.20174581968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3933.9828864</v>
      </c>
      <c r="D19" s="0" t="n">
        <f aca="false">D15+D16+D17+D18</f>
        <v>4376.034850362</v>
      </c>
      <c r="E19" s="0" t="n">
        <f aca="false">E15+E16+E17+E18</f>
        <v>4862.2659551823</v>
      </c>
      <c r="F19" s="0" t="n">
        <f aca="false">F15+F16+F17+F18</f>
        <v>5396.55196807274</v>
      </c>
      <c r="G19" s="0" t="n">
        <f aca="false">G15+G16+G17+G18</f>
        <v>5878.01178965153</v>
      </c>
      <c r="H19" s="0" t="n">
        <f aca="false">H15+H16+H17+H18</f>
        <v>6292.61114659728</v>
      </c>
      <c r="I19" s="0" t="n">
        <f aca="false">I15+I16+I17+I18</f>
        <v>6666.87269019346</v>
      </c>
      <c r="J19" s="0" t="n">
        <f aca="false">J15+J16+J17+J18</f>
        <v>6991.84778468075</v>
      </c>
      <c r="K19" s="0" t="n">
        <f aca="false">K15+K16+K17+K18</f>
        <v>7238.44810381396</v>
      </c>
      <c r="L19" s="0" t="n">
        <f aca="false">L15+L16+L17+L18</f>
        <v>7455.60154692838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3659.51896409302</v>
      </c>
      <c r="D21" s="0" t="n">
        <f aca="false">D19*D20</f>
        <v>3786.72566824186</v>
      </c>
      <c r="E21" s="0" t="n">
        <f aca="false">E19*E20</f>
        <v>3913.9323723907</v>
      </c>
      <c r="F21" s="0" t="n">
        <f aca="false">F19*F20</f>
        <v>4040.9409726586</v>
      </c>
      <c r="G21" s="0" t="n">
        <f aca="false">G19*G20</f>
        <v>4094.37985313753</v>
      </c>
      <c r="H21" s="0" t="n">
        <f aca="false">H19*H20</f>
        <v>4077.36987366037</v>
      </c>
      <c r="I21" s="0" t="n">
        <f aca="false">I19*I20</f>
        <v>4018.49018767636</v>
      </c>
      <c r="J21" s="0" t="n">
        <f aca="false">J19*J20</f>
        <v>3920.34466841705</v>
      </c>
      <c r="K21" s="0" t="n">
        <f aca="false">K19*K20</f>
        <v>3775.45490056796</v>
      </c>
      <c r="L21" s="0" t="n">
        <f aca="false">L19*L20</f>
        <v>3617.41260240465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38904.5700632481</v>
      </c>
    </row>
    <row r="31" customFormat="false" ht="15" hidden="false" customHeight="false" outlineLevel="0" collapsed="false">
      <c r="A31" s="0" t="s">
        <v>136</v>
      </c>
      <c r="B31" s="0" t="n">
        <f aca="false">L19</f>
        <v>7455.60154692838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152839.831712032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149112.030938568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149112.030938568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72348.2520480931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111252.822111341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85490.8221113412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97.1707457505583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-0.194138781302386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1160.79631819661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1919.02694794129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100.671340506341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61135.9326848127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18.9787787633951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44.0047571946493</v>
      </c>
      <c r="C4" s="0" t="n">
        <f aca="false">B4/Assumptions!$B$2-1</f>
        <v>-0.63505757841558</v>
      </c>
      <c r="D4" s="4" t="n">
        <f aca="false">Assumptions!$B$24</f>
        <v>0.25</v>
      </c>
      <c r="E4" s="4" t="n">
        <f aca="false">DCF_Bear!$B$43</f>
        <v>47.1827137048498</v>
      </c>
      <c r="F4" s="4" t="n">
        <f aca="false">DCF_Bear!$B$47</f>
        <v>0.792212949415811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74.8390784594862</v>
      </c>
      <c r="C5" s="0" t="n">
        <f aca="false">B5/Assumptions!$B$2-1</f>
        <v>-0.379340865321893</v>
      </c>
      <c r="D5" s="4" t="n">
        <f aca="false">Assumptions!$B$38</f>
        <v>0.5</v>
      </c>
      <c r="E5" s="4" t="n">
        <f aca="false">DCF_Base!$B$43</f>
        <v>77.9997970230027</v>
      </c>
      <c r="F5" s="4" t="n">
        <f aca="false">DCF_Base!$B$47</f>
        <v>11.5149761619779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97.1707457505583</v>
      </c>
      <c r="C6" s="0" t="n">
        <f aca="false">B6/Assumptions!$B$2-1</f>
        <v>-0.194138781302386</v>
      </c>
      <c r="D6" s="4" t="n">
        <f aca="false">Assumptions!$B$52</f>
        <v>0.25</v>
      </c>
      <c r="E6" s="4" t="n">
        <f aca="false">DCF_Bull!$B$43</f>
        <v>100.671340506341</v>
      </c>
      <c r="F6" s="4" t="n">
        <f aca="false">DCF_Bull!$B$47</f>
        <v>18.9787787633951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72.713414966045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75.9634120642992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-0.658290977755718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1472.81931604394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10.7002360091917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74.8390784594862</v>
      </c>
      <c r="C15" s="3" t="n">
        <v>7.5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51.4119146563882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40.2884064149097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31.7979342650163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25.108117859032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11.5149761619779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92.5623655265009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92.5623655265009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92.5623655265009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92.5623655265009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92.5623655265009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83.2728625428891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83.2728625428891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83.2728625428891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83.2728625428891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83.2728625428891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64.6333966941546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70.0246045063076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74.8390784594862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74.8390784594862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74.8390784594862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50.5784264773079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54.1758962250513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58.3729442640853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63.3330919465799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67.1732062814145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40.0678361220073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42.5797102215725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45.4504234782185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48.7627849281946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52.6272066198334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2026-10-10T08:00:18Z</dcterms:created>
  <dc:creator>openpyxl</dc:creator>
  <dc:description/>
  <dc:language>en-NZ</dc:language>
  <cp:lastModifiedBy/>
  <dcterms:modified xsi:type="dcterms:W3CDTF">2026-10-10T08:00:18Z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