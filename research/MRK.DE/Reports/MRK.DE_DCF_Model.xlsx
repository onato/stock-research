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<sst xmlns="http://schemas.openxmlformats.org/spreadsheetml/2006/main" count="371" uniqueCount="170">
  <si>
    <t xml:space="preserve">Ticker</t>
  </si>
  <si>
    <t xml:space="preserve">MRK.DE</t>
  </si>
  <si>
    <t xml:space="preserve">Company</t>
  </si>
  <si>
    <t xml:space="preserve">Merck KGaA, Darmstadt, Germany</t>
  </si>
  <si>
    <t xml:space="preserve">Valuation date</t>
  </si>
  <si>
    <t xml:space="preserve">2026-10-25</t>
  </si>
  <si>
    <t xml:space="preserve">Current price</t>
  </si>
  <si>
    <t xml:space="preserve">Price as of</t>
  </si>
  <si>
    <t xml:space="preserve">2026-10-23T15:35:21Z (Xetra regular session, last trade before the weekend)</t>
  </si>
  <si>
    <t xml:space="preserve">Balance sheet date</t>
  </si>
  <si>
    <t xml:space="preserve">2026-03-31</t>
  </si>
  <si>
    <t xml:space="preserve">Model</t>
  </si>
  <si>
    <t xml:space="preserve">owner_fcf_dcf_component</t>
  </si>
  <si>
    <t xml:space="preserve">Currency (model)</t>
  </si>
  <si>
    <t xml:space="preserve">EUR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</si>
  <si>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</si>
  <si>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</si>
  <si>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</si>
  <si>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</si>
  <si>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</si>
  <si>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</si>
  <si>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2026-10-25T00:57:34Z</t>
  </si>
  <si>
    <t xml:space="preserve">Drivers file</t>
  </si>
  <si>
    <t xml:space="preserve">MRK.DE_Drivers.json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</si>
  <si>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</si>
  <si>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</si>
  <si>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</si>
  <si>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Owner-FCF DCF of a diversified EUR-reporting science and technology group at a 7% EUR WACC, with all three segments in one consolidated flow (no SOTP: segment capex and tax are not separately disclosed in a way that supports a credible split). SBC-zero (cash-settled LTIP already in EBITDA), so house and street coincide. Risk is carried in the bear flows and a 25% bear weight, not in the discount rate.
key_risks_to_valuation: Healthcare loss of exclusivity (Mavenclad US from 2026, Bavencio) deeper or faster than the guide, with pipeline replacement failing; Bioprocessing recovery stalls; Life Science is the largest profit pool; Semiconductor materials cyclicality in Electronics; Capital allocation under E. Merck KG control: further large acquisitions (SpringWorks ~3.9bn USD in 2025) at sub-WACC returns; EUR strength against USD/CNY on a European cost base (FY26 guide FX -3% to -1% on sales, -5% to -2% on EBITDA pre); Year-one component FCF sits just above the 1.6-2.1bn company FCF guide; historical reported FCF has trailed the component bridge; Pending Bio-Techne acquisition (~EUR 9.9bn): excluded from this standalone model; overpayment or integration slippage would cut value per share, and net debt would roughly double on close</t>
  </si>
  <si>
    <t xml:space="preserve">Data sources</t>
  </si>
  <si>
    <t xml:space="preserve">price: Yahoo Finance chart API at inputs.price_as_of; 52-week range 100.7-148.8 EUR
financials: MRK.DE_Metrics.csv (FY2013-FY2025, Q1-2026); Annual Report FY2025 (cash flow statement lines 24706-24708, share count line 24754); Quarterly Statement Q1-2026 (net financial debt table lines 305-323, balance sheet, FY2026 forecast lines 820-930)
qualitative: MRK.DE_Analysis.json (2026-10-25) plus outlook and segment sections of the FY2025 Annual Report and Q1-2026 Quarterly Statement</t>
  </si>
  <si>
    <t xml:space="preserve">Scenario narrative: bear</t>
  </si>
  <si>
    <t xml:space="preserve">Healthcare's patent cliff is deeper than replaced: Mavenclad erodes ex-US too, Bavencio declines, and the pipeline repeats the evobrutinib/xevinapant failures, so Merck pays up for more M&amp;A at low returns (intangible capex stays at 10.5%). Bioprocessing recovery stalls on biotech funding and Chinese competition, the semis cycle turns, and tariffs/FX keep pressure on a Europe-cost/US-revenue base. Sales roughly flat for two years then ~2%, margin slides to 25.5%. Minority shareholders have no lever to change capital allocation under E. Merck KG control.</t>
  </si>
  <si>
    <t xml:space="preserve">Scenario narrative: base</t>
  </si>
  <si>
    <t xml:space="preserve">Life Science is the engine: bioprocessing demand normalises after the 2023-24 destock and grows mid-single-digit organically, lab/research steady despite US academic funding pressure. Electronics re-rates on AI-driven semiconductor materials (the FY26 guide implies +21-27% organic EBITDA pre) after the Surface Solutions exit, while displays drift. Healthcare shrinks in FY26 as Mavenclad goes generic in the US and Bavencio fades, then stabilises as SpringWorks' rare-tumour franchise (Ogsiveo, Gomekli) and fertility hold up. Group sales return to ~4% growth, reported EBITDA margin back to 28.5%, capex settles at ~D&amp;A.</t>
  </si>
  <si>
    <t xml:space="preserve">Scenario narrative: bull</t>
  </si>
  <si>
    <t xml:space="preserve">Bioprocessing re-accelerates on biologics/ADC capacity and onshoring to the US; Electronics captures a larger share of advanced-node and HBM materials spend; Healthcare's pipeline (pimicotinib, SpringWorks assets, a successful in-licensed late-stage asset) more than replaces Mavenclad within three years. Mid-single-digit-plus growth and operating leverage take EBITDA margin to ~30.5%, near the 2021-22 peak, with capex easing to 9% of sales.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</si>
  <si>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</si>
  <si>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</si>
  <si>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</si>
  <si>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</si>
  <si>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</si>
  <si>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</si>
  <si>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</si>
  <si>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</si>
  <si>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</si>
  <si>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</si>
  <si>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</si>
  <si>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</si>
  <si>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</si>
  <si>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</si>
  <si>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</si>
  <si>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</si>
  <si>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</si>
  <si>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</si>
  <si>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</si>
  <si>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</si>
  <si>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</si>
  <si>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</si>
  <si>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</si>
  <si>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</si>
  <si>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</si>
  <si>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</si>
  <si>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</si>
  <si>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HealthcareRevenue</t>
  </si>
  <si>
    <t xml:space="preserve">SegmentRevenueLifeSciences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</si>
  <si>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</si>
  <si>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</si>
  <si>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</si>
  <si>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</si>
  <si>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</si>
  <si>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</si>
  <si>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</si>
  <si>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</si>
  <si>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</si>
  <si>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</si>
  <si>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</si>
  <si>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</si>
  <si>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</si>
  <si>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</si>
  <si>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</si>
  <si>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</si>
  <si>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</si>
  <si>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</si>
  <si>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</si>
  <si>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</si>
  <si>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</si>
  <si>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</si>
  <si>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</si>
  <si>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EUR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</si>
  <si>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</si>
  <si>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</si>
  <si>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</si>
  <si>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</si>
  <si>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</si>
  <si>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</si>
  <si>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</si>
  <si>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</si>
  <si>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</si>
  <si>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</si>
  <si>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</si>
  <si>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</si>
  <si>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</si>
  <si>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</si>
  <si>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</si>
  <si>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</si>
  <si>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</si>
  <si>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</si>
  <si>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</si>
  <si>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</si>
  <si>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</si>
  <si>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</si>
  <si>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</si>
  <si>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</si>
  <si>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</si>
  <si>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</si>
  <si>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MRK.DE owner-FCF component DCF: bear case (millions, EUR)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</si>
  <si>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</si>
  <si>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</si>
  <si>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</si>
  <si>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</si>
  <si>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</si>
  <si>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</si>
  <si>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</si>
  <si>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</si>
  <si>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</si>
  <si>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</si>
  <si>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</si>
  <si>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</si>
  <si>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</si>
  <si>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</si>
  <si>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</si>
  <si>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</si>
  <si>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</si>
  <si>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</si>
  <si>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</si>
  <si>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</si>
  <si>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</si>
  <si>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</si>
  <si>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</si>
  <si>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</si>
  <si>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</si>
  <si>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</si>
  <si>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</si>
  <si>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</si>
  <si>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</si>
  <si>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</si>
  <si>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MRK.DE owner-FCF component DCF: base case (millions, EUR)</t>
  </si>
  <si>
    <t xml:space="preserve">MRK.DE owner-FCF component DCF: bull case (millions, EUR)</t>
  </si>
  <si>
    <t xml:space="preserve">MRK.DE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</si>
  <si>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</si>
  <si>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</si>
  <si>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</si>
  <si>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</si>
  <si>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</si>
  <si>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</si>
  <si>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</si>
  <si>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</si>
  <si>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</si>
  <si>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</si>
  <si>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</si>
  <si>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</si>
  <si>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</si>
  <si>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</si>
  <si>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7%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</si>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</sst>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143.3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  <c r="AD1" s="2" t="s">
        <v>64</v>
      </c>
    </row>
    <row r="2" customFormat="false" ht="15" hidden="false" customHeight="false" outlineLevel="0" collapsed="false">
      <c r="A2" s="0" t="s">
        <v>65</v>
      </c>
      <c r="B2" s="0" t="n">
        <v>11095.1</v>
      </c>
      <c r="C2" s="0" t="n">
        <v>2992.5</v>
      </c>
      <c r="D2" s="0" t="n">
        <v>8102.6</v>
      </c>
      <c r="E2" s="0" t="n">
        <v>73</v>
      </c>
      <c r="F2" s="0" t="n">
        <v>1610.8</v>
      </c>
      <c r="G2" s="0" t="n">
        <v>14.5</v>
      </c>
      <c r="H2" s="0" t="n">
        <v>3069.2</v>
      </c>
      <c r="I2" s="0" t="n">
        <v>1202.2</v>
      </c>
      <c r="J2" s="0" t="n">
        <v>10.8</v>
      </c>
      <c r="K2" s="0" t="n">
        <v>2.77</v>
      </c>
      <c r="L2" s="0" t="n">
        <v>2225.5</v>
      </c>
      <c r="M2" s="0" t="n">
        <v>516.6</v>
      </c>
      <c r="N2" s="0" t="n">
        <v>1708.9</v>
      </c>
      <c r="O2" s="0" t="n">
        <v>11020</v>
      </c>
      <c r="P2" s="0" t="n">
        <v>20818.6</v>
      </c>
      <c r="R2" s="0" t="n">
        <v>3697.9</v>
      </c>
      <c r="S2" s="0" t="n">
        <v>980.8</v>
      </c>
      <c r="T2" s="0" t="n">
        <v>434.778</v>
      </c>
      <c r="W2" s="0" t="n">
        <v>3253.3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66</v>
      </c>
      <c r="B3" s="0" t="n">
        <v>11362.8</v>
      </c>
      <c r="C3" s="0" t="n">
        <v>3526.4</v>
      </c>
      <c r="D3" s="0" t="n">
        <v>7836.4</v>
      </c>
      <c r="E3" s="0" t="n">
        <v>69</v>
      </c>
      <c r="F3" s="0" t="n">
        <v>1762</v>
      </c>
      <c r="G3" s="0" t="n">
        <v>15.5</v>
      </c>
      <c r="H3" s="0" t="n">
        <v>3122.9</v>
      </c>
      <c r="I3" s="0" t="n">
        <v>1157.3</v>
      </c>
      <c r="J3" s="0" t="n">
        <v>10.2</v>
      </c>
      <c r="K3" s="0" t="n">
        <v>2.66</v>
      </c>
      <c r="L3" s="0" t="n">
        <v>2705.5</v>
      </c>
      <c r="M3" s="0" t="n">
        <v>624.2</v>
      </c>
      <c r="N3" s="0" t="n">
        <v>2081.3</v>
      </c>
      <c r="O3" s="0" t="n">
        <v>11741.6</v>
      </c>
      <c r="P3" s="0" t="n">
        <v>26010.1</v>
      </c>
      <c r="R3" s="0" t="n">
        <v>5637</v>
      </c>
      <c r="S3" s="0" t="n">
        <v>2878.5</v>
      </c>
      <c r="T3" s="0" t="n">
        <v>434.778</v>
      </c>
      <c r="W3" s="0" t="n">
        <v>3387.7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67</v>
      </c>
      <c r="B4" s="0" t="n">
        <v>12844.7</v>
      </c>
      <c r="C4" s="0" t="n">
        <v>4076.3</v>
      </c>
      <c r="D4" s="0" t="n">
        <v>8768.4</v>
      </c>
      <c r="E4" s="0" t="n">
        <v>68.3</v>
      </c>
      <c r="F4" s="0" t="n">
        <v>1843.2</v>
      </c>
      <c r="G4" s="0" t="n">
        <v>14.3</v>
      </c>
      <c r="H4" s="0" t="n">
        <v>3354.1</v>
      </c>
      <c r="I4" s="0" t="n">
        <v>1114.8</v>
      </c>
      <c r="J4" s="0" t="n">
        <v>8.7</v>
      </c>
      <c r="K4" s="0" t="n">
        <v>2.56</v>
      </c>
      <c r="L4" s="0" t="n">
        <v>2195.2</v>
      </c>
      <c r="M4" s="0" t="n">
        <v>693</v>
      </c>
      <c r="N4" s="0" t="n">
        <v>1502.2</v>
      </c>
      <c r="O4" s="0" t="n">
        <v>12787.5</v>
      </c>
      <c r="P4" s="0" t="n">
        <v>38007.2</v>
      </c>
      <c r="R4" s="0" t="n">
        <v>13712.9</v>
      </c>
      <c r="S4" s="0" t="n">
        <v>832.2</v>
      </c>
      <c r="T4" s="0" t="n">
        <v>434.778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68</v>
      </c>
      <c r="B5" s="0" t="n">
        <v>15024</v>
      </c>
      <c r="C5" s="0" t="n">
        <v>5201</v>
      </c>
      <c r="D5" s="0" t="n">
        <v>9823</v>
      </c>
      <c r="E5" s="0" t="n">
        <v>65.4</v>
      </c>
      <c r="F5" s="0" t="n">
        <v>2481</v>
      </c>
      <c r="G5" s="0" t="n">
        <v>16.5</v>
      </c>
      <c r="H5" s="0" t="n">
        <v>4415</v>
      </c>
      <c r="I5" s="0" t="n">
        <v>1629</v>
      </c>
      <c r="J5" s="0" t="n">
        <v>10.8</v>
      </c>
      <c r="K5" s="0" t="n">
        <v>3.75</v>
      </c>
      <c r="L5" s="0" t="n">
        <v>2518</v>
      </c>
      <c r="M5" s="0" t="n">
        <v>848</v>
      </c>
      <c r="N5" s="0" t="n">
        <v>1670</v>
      </c>
      <c r="O5" s="0" t="n">
        <v>13989</v>
      </c>
      <c r="P5" s="0" t="n">
        <v>38251</v>
      </c>
      <c r="R5" s="0" t="n">
        <v>12597</v>
      </c>
      <c r="S5" s="0" t="n">
        <v>939</v>
      </c>
      <c r="T5" s="0" t="n">
        <v>434.778</v>
      </c>
      <c r="W5" s="0" t="n">
        <v>4490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69</v>
      </c>
      <c r="B6" s="0" t="n">
        <v>15327</v>
      </c>
      <c r="C6" s="0" t="n">
        <v>5320</v>
      </c>
      <c r="D6" s="0" t="n">
        <v>10007</v>
      </c>
      <c r="E6" s="0" t="n">
        <v>65.3</v>
      </c>
      <c r="F6" s="0" t="n">
        <v>2525</v>
      </c>
      <c r="G6" s="0" t="n">
        <v>16.5</v>
      </c>
      <c r="H6" s="0" t="n">
        <v>4283</v>
      </c>
      <c r="I6" s="0" t="n">
        <v>2600</v>
      </c>
      <c r="J6" s="0" t="n">
        <v>17</v>
      </c>
      <c r="K6" s="0" t="n">
        <v>5.98</v>
      </c>
      <c r="L6" s="0" t="n">
        <v>2696</v>
      </c>
      <c r="M6" s="0" t="n">
        <v>1311</v>
      </c>
      <c r="N6" s="0" t="n">
        <v>1385</v>
      </c>
      <c r="O6" s="0" t="n">
        <v>14003</v>
      </c>
      <c r="P6" s="0" t="n">
        <v>35621</v>
      </c>
      <c r="R6" s="0" t="n">
        <v>10823</v>
      </c>
      <c r="S6" s="0" t="n">
        <v>589</v>
      </c>
      <c r="T6" s="0" t="n">
        <v>434.778</v>
      </c>
      <c r="W6" s="0" t="n">
        <v>4414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70</v>
      </c>
      <c r="B7" s="0" t="n">
        <v>14836</v>
      </c>
      <c r="C7" s="0" t="n">
        <v>5382</v>
      </c>
      <c r="D7" s="0" t="n">
        <v>9454</v>
      </c>
      <c r="E7" s="0" t="n">
        <v>63.7</v>
      </c>
      <c r="F7" s="0" t="n">
        <v>1727</v>
      </c>
      <c r="G7" s="0" t="n">
        <v>11.6</v>
      </c>
      <c r="H7" s="0" t="n">
        <v>3539</v>
      </c>
      <c r="I7" s="0" t="n">
        <v>3374</v>
      </c>
      <c r="J7" s="0" t="n">
        <v>22.7</v>
      </c>
      <c r="K7" s="0" t="n">
        <v>7.76</v>
      </c>
      <c r="L7" s="0" t="n">
        <v>2219</v>
      </c>
      <c r="M7" s="0" t="n">
        <v>1016</v>
      </c>
      <c r="N7" s="0" t="n">
        <v>1203</v>
      </c>
      <c r="O7" s="0" t="n">
        <v>17200</v>
      </c>
      <c r="P7" s="0" t="n">
        <v>36888</v>
      </c>
      <c r="R7" s="0" t="n">
        <v>8896</v>
      </c>
      <c r="S7" s="0" t="n">
        <v>2170</v>
      </c>
      <c r="T7" s="0" t="n">
        <v>434.778</v>
      </c>
      <c r="W7" s="0" t="n">
        <v>3800</v>
      </c>
      <c r="AA7" s="0" t="s">
        <v>17</v>
      </c>
      <c r="AB7" s="0" t="s">
        <v>14</v>
      </c>
      <c r="AC7" s="0" t="n">
        <v>6246</v>
      </c>
      <c r="AD7" s="0" t="n">
        <v>6185</v>
      </c>
    </row>
    <row r="8" customFormat="false" ht="15" hidden="false" customHeight="false" outlineLevel="0" collapsed="false">
      <c r="A8" s="0" t="s">
        <v>71</v>
      </c>
      <c r="B8" s="0" t="n">
        <v>16152</v>
      </c>
      <c r="C8" s="0" t="n">
        <v>6006</v>
      </c>
      <c r="D8" s="0" t="n">
        <v>10145</v>
      </c>
      <c r="E8" s="0" t="n">
        <v>62.8</v>
      </c>
      <c r="F8" s="0" t="n">
        <v>2120</v>
      </c>
      <c r="G8" s="0" t="n">
        <v>13.1</v>
      </c>
      <c r="H8" s="0" t="n">
        <v>4064</v>
      </c>
      <c r="I8" s="0" t="n">
        <v>1320</v>
      </c>
      <c r="J8" s="0" t="n">
        <v>8.2</v>
      </c>
      <c r="K8" s="0" t="n">
        <v>3.04</v>
      </c>
      <c r="L8" s="0" t="n">
        <v>2856</v>
      </c>
      <c r="M8" s="0" t="n">
        <v>1021</v>
      </c>
      <c r="N8" s="0" t="n">
        <v>1835</v>
      </c>
      <c r="O8" s="0" t="n">
        <v>17865</v>
      </c>
      <c r="P8" s="0" t="n">
        <v>43811</v>
      </c>
      <c r="R8" s="0" t="n">
        <v>13194</v>
      </c>
      <c r="S8" s="0" t="n">
        <v>781</v>
      </c>
      <c r="T8" s="0" t="n">
        <v>434.778</v>
      </c>
      <c r="W8" s="0" t="n">
        <v>4385</v>
      </c>
      <c r="AA8" s="0" t="s">
        <v>17</v>
      </c>
      <c r="AB8" s="0" t="s">
        <v>14</v>
      </c>
      <c r="AC8" s="0" t="n">
        <v>6714</v>
      </c>
      <c r="AD8" s="0" t="n">
        <v>6864</v>
      </c>
    </row>
    <row r="9" customFormat="false" ht="15" hidden="false" customHeight="false" outlineLevel="0" collapsed="false">
      <c r="A9" s="0" t="s">
        <v>72</v>
      </c>
      <c r="B9" s="0" t="n">
        <v>17534</v>
      </c>
      <c r="C9" s="0" t="n">
        <v>6835</v>
      </c>
      <c r="D9" s="0" t="n">
        <v>10699</v>
      </c>
      <c r="E9" s="0" t="n">
        <v>61</v>
      </c>
      <c r="F9" s="0" t="n">
        <v>2985</v>
      </c>
      <c r="G9" s="0" t="n">
        <v>17</v>
      </c>
      <c r="H9" s="0" t="n">
        <v>4923</v>
      </c>
      <c r="I9" s="0" t="n">
        <v>1987</v>
      </c>
      <c r="J9" s="0" t="n">
        <v>11.3</v>
      </c>
      <c r="K9" s="0" t="n">
        <v>4.57</v>
      </c>
      <c r="L9" s="0" t="n">
        <v>3477</v>
      </c>
      <c r="M9" s="0" t="n">
        <v>1563</v>
      </c>
      <c r="N9" s="0" t="n">
        <v>1914</v>
      </c>
      <c r="O9" s="0" t="n">
        <v>16946</v>
      </c>
      <c r="P9" s="0" t="n">
        <v>41796</v>
      </c>
      <c r="R9" s="0" t="n">
        <v>12142</v>
      </c>
      <c r="S9" s="0" t="n">
        <v>1355</v>
      </c>
      <c r="T9" s="0" t="n">
        <v>434.778</v>
      </c>
      <c r="W9" s="0" t="n">
        <v>5201</v>
      </c>
      <c r="AA9" s="0" t="s">
        <v>17</v>
      </c>
      <c r="AB9" s="0" t="s">
        <v>14</v>
      </c>
      <c r="AC9" s="0" t="n">
        <v>6639</v>
      </c>
      <c r="AD9" s="0" t="n">
        <v>7515</v>
      </c>
    </row>
    <row r="10" customFormat="false" ht="15" hidden="false" customHeight="false" outlineLevel="0" collapsed="false">
      <c r="A10" s="0" t="s">
        <v>73</v>
      </c>
      <c r="B10" s="0" t="n">
        <v>19687</v>
      </c>
      <c r="C10" s="0" t="n">
        <v>7351</v>
      </c>
      <c r="D10" s="0" t="n">
        <v>12335</v>
      </c>
      <c r="E10" s="0" t="n">
        <v>62.7</v>
      </c>
      <c r="F10" s="0" t="n">
        <v>4179</v>
      </c>
      <c r="G10" s="0" t="n">
        <v>21.2</v>
      </c>
      <c r="H10" s="0" t="n">
        <v>5941</v>
      </c>
      <c r="I10" s="0" t="n">
        <v>3055</v>
      </c>
      <c r="J10" s="0" t="n">
        <v>15.5</v>
      </c>
      <c r="K10" s="0" t="n">
        <v>7.03</v>
      </c>
      <c r="L10" s="0" t="n">
        <v>4616</v>
      </c>
      <c r="M10" s="0" t="n">
        <v>1421</v>
      </c>
      <c r="N10" s="0" t="n">
        <v>3195</v>
      </c>
      <c r="O10" s="0" t="n">
        <v>21338</v>
      </c>
      <c r="P10" s="0" t="n">
        <v>45362</v>
      </c>
      <c r="R10" s="0" t="n">
        <v>10801</v>
      </c>
      <c r="S10" s="0" t="n">
        <v>1899</v>
      </c>
      <c r="T10" s="0" t="n">
        <v>434.778</v>
      </c>
      <c r="W10" s="0" t="n">
        <v>6103</v>
      </c>
      <c r="AA10" s="0" t="s">
        <v>17</v>
      </c>
      <c r="AB10" s="0" t="s">
        <v>14</v>
      </c>
      <c r="AC10" s="0" t="n">
        <v>7089</v>
      </c>
      <c r="AD10" s="0" t="n">
        <v>8990</v>
      </c>
    </row>
    <row r="11" customFormat="false" ht="15" hidden="false" customHeight="false" outlineLevel="0" collapsed="false">
      <c r="A11" s="0" t="s">
        <v>74</v>
      </c>
      <c r="B11" s="0" t="n">
        <v>22232</v>
      </c>
      <c r="C11" s="0" t="n">
        <v>8527</v>
      </c>
      <c r="D11" s="0" t="n">
        <v>13705</v>
      </c>
      <c r="E11" s="0" t="n">
        <v>61.6</v>
      </c>
      <c r="F11" s="0" t="n">
        <v>4474</v>
      </c>
      <c r="G11" s="0" t="n">
        <v>20.1</v>
      </c>
      <c r="H11" s="0" t="n">
        <v>6504</v>
      </c>
      <c r="I11" s="0" t="n">
        <v>3326</v>
      </c>
      <c r="J11" s="0" t="n">
        <v>15</v>
      </c>
      <c r="K11" s="0" t="n">
        <v>7.65</v>
      </c>
      <c r="L11" s="0" t="n">
        <v>4259</v>
      </c>
      <c r="M11" s="0" t="n">
        <v>1806</v>
      </c>
      <c r="N11" s="0" t="n">
        <v>2453</v>
      </c>
      <c r="O11" s="0" t="n">
        <v>25927</v>
      </c>
      <c r="P11" s="0" t="n">
        <v>48526</v>
      </c>
      <c r="R11" s="0" t="n">
        <v>10428</v>
      </c>
      <c r="S11" s="0" t="n">
        <v>1854</v>
      </c>
      <c r="T11" s="0" t="n">
        <v>434.778</v>
      </c>
      <c r="W11" s="0" t="n">
        <v>6849</v>
      </c>
      <c r="AA11" s="0" t="s">
        <v>17</v>
      </c>
      <c r="AB11" s="0" t="s">
        <v>14</v>
      </c>
      <c r="AC11" s="0" t="n">
        <v>7839</v>
      </c>
      <c r="AD11" s="0" t="n">
        <v>10380</v>
      </c>
    </row>
    <row r="12" customFormat="false" ht="15" hidden="false" customHeight="false" outlineLevel="0" collapsed="false">
      <c r="A12" s="0" t="s">
        <v>75</v>
      </c>
      <c r="B12" s="0" t="n">
        <v>20993</v>
      </c>
      <c r="C12" s="0" t="n">
        <v>8600</v>
      </c>
      <c r="D12" s="0" t="n">
        <v>12392</v>
      </c>
      <c r="E12" s="0" t="n">
        <v>59</v>
      </c>
      <c r="F12" s="0" t="n">
        <v>3609</v>
      </c>
      <c r="G12" s="0" t="n">
        <v>17.2</v>
      </c>
      <c r="H12" s="0" t="n">
        <v>5489</v>
      </c>
      <c r="I12" s="0" t="n">
        <v>2824</v>
      </c>
      <c r="J12" s="0" t="n">
        <v>13.5</v>
      </c>
      <c r="K12" s="0" t="n">
        <v>6.49</v>
      </c>
      <c r="L12" s="0" t="n">
        <v>3784</v>
      </c>
      <c r="M12" s="0" t="n">
        <v>2023</v>
      </c>
      <c r="N12" s="0" t="n">
        <v>1761</v>
      </c>
      <c r="O12" s="0" t="n">
        <v>26680</v>
      </c>
      <c r="P12" s="0" t="n">
        <v>48495</v>
      </c>
      <c r="R12" s="0" t="n">
        <v>9941</v>
      </c>
      <c r="S12" s="0" t="n">
        <v>1982</v>
      </c>
      <c r="T12" s="0" t="n">
        <v>434.778</v>
      </c>
      <c r="W12" s="0" t="n">
        <v>5879</v>
      </c>
      <c r="AA12" s="0" t="s">
        <v>17</v>
      </c>
      <c r="AB12" s="0" t="s">
        <v>14</v>
      </c>
      <c r="AC12" s="0" t="n">
        <v>8053</v>
      </c>
      <c r="AD12" s="0" t="n">
        <v>9281</v>
      </c>
    </row>
    <row r="13" customFormat="false" ht="15" hidden="false" customHeight="false" outlineLevel="0" collapsed="false">
      <c r="A13" s="0" t="s">
        <v>76</v>
      </c>
      <c r="B13" s="0" t="n">
        <v>21156</v>
      </c>
      <c r="C13" s="0" t="n">
        <v>8671</v>
      </c>
      <c r="D13" s="0" t="n">
        <v>12485</v>
      </c>
      <c r="E13" s="0" t="n">
        <v>59</v>
      </c>
      <c r="F13" s="0" t="n">
        <v>3645</v>
      </c>
      <c r="G13" s="0" t="n">
        <v>17.2</v>
      </c>
      <c r="H13" s="0" t="n">
        <v>5779</v>
      </c>
      <c r="I13" s="0" t="n">
        <v>2777</v>
      </c>
      <c r="J13" s="0" t="n">
        <v>13.1</v>
      </c>
      <c r="K13" s="0" t="n">
        <v>6.39</v>
      </c>
      <c r="L13" s="0" t="n">
        <v>4586</v>
      </c>
      <c r="M13" s="0" t="n">
        <v>2184</v>
      </c>
      <c r="N13" s="0" t="n">
        <v>2402</v>
      </c>
      <c r="O13" s="0" t="n">
        <v>29912</v>
      </c>
      <c r="P13" s="0" t="n">
        <v>51567</v>
      </c>
      <c r="R13" s="0" t="n">
        <v>10301</v>
      </c>
      <c r="S13" s="0" t="n">
        <v>2517</v>
      </c>
      <c r="T13" s="0" t="n">
        <v>434.778</v>
      </c>
      <c r="W13" s="0" t="n">
        <v>6072</v>
      </c>
      <c r="AA13" s="0" t="s">
        <v>17</v>
      </c>
      <c r="AB13" s="0" t="s">
        <v>14</v>
      </c>
      <c r="AC13" s="0" t="n">
        <v>8455</v>
      </c>
      <c r="AD13" s="0" t="n">
        <v>8916</v>
      </c>
    </row>
    <row r="14" customFormat="false" ht="15" hidden="false" customHeight="false" outlineLevel="0" collapsed="false">
      <c r="A14" s="0" t="s">
        <v>77</v>
      </c>
      <c r="B14" s="0" t="n">
        <v>21102</v>
      </c>
      <c r="C14" s="0" t="n">
        <v>8756</v>
      </c>
      <c r="D14" s="0" t="n">
        <v>12346</v>
      </c>
      <c r="E14" s="0" t="n">
        <v>58.5</v>
      </c>
      <c r="F14" s="0" t="n">
        <v>3601</v>
      </c>
      <c r="G14" s="0" t="n">
        <v>17.1</v>
      </c>
      <c r="H14" s="0" t="n">
        <v>5899</v>
      </c>
      <c r="I14" s="0" t="n">
        <v>2608</v>
      </c>
      <c r="J14" s="0" t="n">
        <v>12.4</v>
      </c>
      <c r="K14" s="0" t="n">
        <v>6</v>
      </c>
      <c r="L14" s="0" t="n">
        <v>3932</v>
      </c>
      <c r="M14" s="0" t="n">
        <v>1958</v>
      </c>
      <c r="N14" s="0" t="n">
        <v>1974</v>
      </c>
      <c r="O14" s="0" t="n">
        <v>28592</v>
      </c>
      <c r="P14" s="0" t="n">
        <v>51527</v>
      </c>
      <c r="R14" s="0" t="n">
        <v>11968</v>
      </c>
      <c r="S14" s="0" t="n">
        <v>2740</v>
      </c>
      <c r="T14" s="0" t="n">
        <v>434.778</v>
      </c>
      <c r="W14" s="0" t="n">
        <v>6109</v>
      </c>
      <c r="AA14" s="0" t="s">
        <v>17</v>
      </c>
      <c r="AB14" s="0" t="s">
        <v>14</v>
      </c>
      <c r="AC14" s="0" t="n">
        <v>8607</v>
      </c>
      <c r="AD14" s="0" t="n">
        <v>8980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78</v>
      </c>
      <c r="B1" s="2" t="s">
        <v>79</v>
      </c>
    </row>
    <row r="2" customFormat="false" ht="15" hidden="false" customHeight="false" outlineLevel="0" collapsed="false">
      <c r="A2" s="0" t="s">
        <v>80</v>
      </c>
      <c r="B2" s="3" t="n">
        <v>143.3</v>
      </c>
    </row>
    <row r="3" customFormat="false" ht="15" hidden="false" customHeight="false" outlineLevel="0" collapsed="false">
      <c r="A3" s="0" t="s">
        <v>81</v>
      </c>
      <c r="B3" s="3" t="n">
        <v>434.778</v>
      </c>
    </row>
    <row r="4" customFormat="false" ht="15" hidden="false" customHeight="false" outlineLevel="0" collapsed="false">
      <c r="A4" s="0" t="s">
        <v>82</v>
      </c>
      <c r="B4" s="3" t="n">
        <v>8318</v>
      </c>
    </row>
    <row r="5" customFormat="false" ht="15" hidden="false" customHeight="false" outlineLevel="0" collapsed="false">
      <c r="A5" s="0" t="s">
        <v>83</v>
      </c>
      <c r="B5" s="3" t="n">
        <v>-1713</v>
      </c>
    </row>
    <row r="6" customFormat="false" ht="15" hidden="false" customHeight="false" outlineLevel="0" collapsed="false">
      <c r="A6" s="0" t="s">
        <v>84</v>
      </c>
      <c r="B6" s="3" t="n">
        <v>15</v>
      </c>
    </row>
    <row r="7" customFormat="false" ht="15" hidden="false" customHeight="false" outlineLevel="0" collapsed="false">
      <c r="A7" s="0" t="s">
        <v>85</v>
      </c>
      <c r="B7" s="3" t="n">
        <v>21102</v>
      </c>
    </row>
    <row r="8" customFormat="false" ht="15" hidden="false" customHeight="false" outlineLevel="0" collapsed="false">
      <c r="A8" s="0" t="s">
        <v>86</v>
      </c>
      <c r="B8" s="3" t="s">
        <v>77</v>
      </c>
    </row>
    <row r="9" customFormat="false" ht="15" hidden="false" customHeight="false" outlineLevel="0" collapsed="false">
      <c r="A9" s="0" t="s">
        <v>87</v>
      </c>
      <c r="B9" s="3" t="s">
        <v>88</v>
      </c>
    </row>
    <row r="10" customFormat="false" ht="15" hidden="false" customHeight="false" outlineLevel="0" collapsed="false">
      <c r="A10" s="0" t="s">
        <v>89</v>
      </c>
      <c r="B10" s="3" t="n">
        <v>1</v>
      </c>
    </row>
    <row r="12" customFormat="false" ht="15" hidden="false" customHeight="false" outlineLevel="0" collapsed="false">
      <c r="A12" s="2" t="s">
        <v>90</v>
      </c>
      <c r="C12" s="2" t="s">
        <v>91</v>
      </c>
      <c r="D12" s="2" t="s">
        <v>92</v>
      </c>
      <c r="E12" s="2" t="s">
        <v>93</v>
      </c>
      <c r="F12" s="2" t="s">
        <v>94</v>
      </c>
      <c r="G12" s="2" t="s">
        <v>95</v>
      </c>
      <c r="H12" s="2" t="s">
        <v>96</v>
      </c>
      <c r="I12" s="2" t="s">
        <v>97</v>
      </c>
      <c r="J12" s="2" t="s">
        <v>98</v>
      </c>
      <c r="K12" s="2" t="s">
        <v>99</v>
      </c>
      <c r="L12" s="2" t="s">
        <v>100</v>
      </c>
    </row>
    <row r="13" customFormat="false" ht="15" hidden="false" customHeight="false" outlineLevel="0" collapsed="false">
      <c r="A13" s="0" t="s">
        <v>101</v>
      </c>
      <c r="C13" s="3" t="n">
        <v>-2.5</v>
      </c>
      <c r="D13" s="3" t="n">
        <v>0</v>
      </c>
      <c r="E13" s="3" t="n">
        <v>1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1.5</v>
      </c>
      <c r="L13" s="3" t="n">
        <v>1.5</v>
      </c>
    </row>
    <row r="14" customFormat="false" ht="15" hidden="false" customHeight="false" outlineLevel="0" collapsed="false">
      <c r="A14" s="0" t="s">
        <v>102</v>
      </c>
      <c r="C14" s="3" t="n">
        <v>26.5</v>
      </c>
      <c r="D14" s="3" t="n">
        <v>26</v>
      </c>
      <c r="E14" s="3" t="n">
        <v>25.5</v>
      </c>
      <c r="F14" s="3" t="n">
        <v>25.5</v>
      </c>
      <c r="G14" s="3" t="n">
        <v>25.5</v>
      </c>
      <c r="H14" s="3" t="n">
        <v>25.5</v>
      </c>
      <c r="I14" s="3" t="n">
        <v>25.5</v>
      </c>
      <c r="J14" s="3" t="n">
        <v>25.5</v>
      </c>
      <c r="K14" s="3" t="n">
        <v>25.5</v>
      </c>
      <c r="L14" s="3" t="n">
        <v>25.5</v>
      </c>
    </row>
    <row r="15" customFormat="false" ht="15" hidden="false" customHeight="false" outlineLevel="0" collapsed="false">
      <c r="A15" s="0" t="s">
        <v>103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104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105</v>
      </c>
      <c r="C17" s="3" t="n">
        <v>9.5</v>
      </c>
      <c r="D17" s="3" t="n">
        <v>9.5</v>
      </c>
      <c r="E17" s="3" t="n">
        <v>9.5</v>
      </c>
      <c r="F17" s="3" t="n">
        <v>9.5</v>
      </c>
      <c r="G17" s="3" t="n">
        <v>9.5</v>
      </c>
      <c r="H17" s="3" t="n">
        <v>9.5</v>
      </c>
      <c r="I17" s="3" t="n">
        <v>9.5</v>
      </c>
      <c r="J17" s="3" t="n">
        <v>9.5</v>
      </c>
      <c r="K17" s="3" t="n">
        <v>9.5</v>
      </c>
      <c r="L17" s="3" t="n">
        <v>9.5</v>
      </c>
    </row>
    <row r="18" customFormat="false" ht="15" hidden="false" customHeight="false" outlineLevel="0" collapsed="false">
      <c r="A18" s="0" t="s">
        <v>106</v>
      </c>
      <c r="C18" s="3" t="n">
        <v>10.5</v>
      </c>
      <c r="D18" s="3" t="n">
        <v>10.5</v>
      </c>
      <c r="E18" s="3" t="n">
        <v>10.5</v>
      </c>
      <c r="F18" s="3" t="n">
        <v>10.5</v>
      </c>
      <c r="G18" s="3" t="n">
        <v>10.5</v>
      </c>
      <c r="H18" s="3" t="n">
        <v>10.5</v>
      </c>
      <c r="I18" s="3" t="n">
        <v>10.5</v>
      </c>
      <c r="J18" s="3" t="n">
        <v>10.5</v>
      </c>
      <c r="K18" s="3" t="n">
        <v>10.5</v>
      </c>
      <c r="L18" s="3" t="n">
        <v>10.5</v>
      </c>
    </row>
    <row r="19" customFormat="false" ht="15" hidden="false" customHeight="false" outlineLevel="0" collapsed="false">
      <c r="A19" s="0" t="s">
        <v>107</v>
      </c>
      <c r="C19" s="3" t="n">
        <v>26</v>
      </c>
      <c r="D19" s="3" t="n">
        <v>26</v>
      </c>
      <c r="E19" s="3" t="n">
        <v>26</v>
      </c>
      <c r="F19" s="3" t="n">
        <v>26</v>
      </c>
      <c r="G19" s="3" t="n">
        <v>26</v>
      </c>
      <c r="H19" s="3" t="n">
        <v>26</v>
      </c>
      <c r="I19" s="3" t="n">
        <v>26</v>
      </c>
      <c r="J19" s="3" t="n">
        <v>26</v>
      </c>
      <c r="K19" s="3" t="n">
        <v>26</v>
      </c>
      <c r="L19" s="3" t="n">
        <v>26</v>
      </c>
    </row>
    <row r="20" customFormat="false" ht="15" hidden="false" customHeight="false" outlineLevel="0" collapsed="false">
      <c r="A20" s="0" t="s">
        <v>108</v>
      </c>
      <c r="B20" s="3" t="n">
        <v>7</v>
      </c>
    </row>
    <row r="21" customFormat="false" ht="15" hidden="false" customHeight="false" outlineLevel="0" collapsed="false">
      <c r="A21" s="0" t="s">
        <v>109</v>
      </c>
      <c r="B21" s="3" t="n">
        <v>1.5</v>
      </c>
    </row>
    <row r="22" customFormat="false" ht="15" hidden="false" customHeight="false" outlineLevel="0" collapsed="false">
      <c r="A22" s="0" t="s">
        <v>110</v>
      </c>
      <c r="B22" s="3" t="n">
        <v>14</v>
      </c>
    </row>
    <row r="23" customFormat="false" ht="15" hidden="false" customHeight="false" outlineLevel="0" collapsed="false">
      <c r="A23" s="0" t="s">
        <v>111</v>
      </c>
      <c r="B23" s="3" t="n">
        <v>-15</v>
      </c>
    </row>
    <row r="24" customFormat="false" ht="15" hidden="false" customHeight="false" outlineLevel="0" collapsed="false">
      <c r="A24" s="0" t="s">
        <v>112</v>
      </c>
      <c r="B24" s="3" t="n">
        <v>0.25</v>
      </c>
    </row>
    <row r="26" customFormat="false" ht="15" hidden="false" customHeight="false" outlineLevel="0" collapsed="false">
      <c r="A26" s="2" t="s">
        <v>113</v>
      </c>
      <c r="C26" s="2" t="s">
        <v>91</v>
      </c>
      <c r="D26" s="2" t="s">
        <v>92</v>
      </c>
      <c r="E26" s="2" t="s">
        <v>93</v>
      </c>
      <c r="F26" s="2" t="s">
        <v>94</v>
      </c>
      <c r="G26" s="2" t="s">
        <v>95</v>
      </c>
      <c r="H26" s="2" t="s">
        <v>96</v>
      </c>
      <c r="I26" s="2" t="s">
        <v>97</v>
      </c>
      <c r="J26" s="2" t="s">
        <v>98</v>
      </c>
      <c r="K26" s="2" t="s">
        <v>99</v>
      </c>
      <c r="L26" s="2" t="s">
        <v>100</v>
      </c>
    </row>
    <row r="27" customFormat="false" ht="15" hidden="false" customHeight="false" outlineLevel="0" collapsed="false">
      <c r="A27" s="0" t="s">
        <v>101</v>
      </c>
      <c r="C27" s="3" t="n">
        <v>-1</v>
      </c>
      <c r="D27" s="3" t="n">
        <v>3</v>
      </c>
      <c r="E27" s="3" t="n">
        <v>4</v>
      </c>
      <c r="F27" s="3" t="n">
        <v>4</v>
      </c>
      <c r="G27" s="3" t="n">
        <v>4</v>
      </c>
      <c r="H27" s="3" t="n">
        <v>3.5</v>
      </c>
      <c r="I27" s="3" t="n">
        <v>3.5</v>
      </c>
      <c r="J27" s="3" t="n">
        <v>3</v>
      </c>
      <c r="K27" s="3" t="n">
        <v>3</v>
      </c>
      <c r="L27" s="3" t="n">
        <v>2.5</v>
      </c>
    </row>
    <row r="28" customFormat="false" ht="15" hidden="false" customHeight="false" outlineLevel="0" collapsed="false">
      <c r="A28" s="0" t="s">
        <v>102</v>
      </c>
      <c r="C28" s="3" t="n">
        <v>27</v>
      </c>
      <c r="D28" s="3" t="n">
        <v>27.5</v>
      </c>
      <c r="E28" s="3" t="n">
        <v>28</v>
      </c>
      <c r="F28" s="3" t="n">
        <v>28.5</v>
      </c>
      <c r="G28" s="3" t="n">
        <v>28.5</v>
      </c>
      <c r="H28" s="3" t="n">
        <v>28.5</v>
      </c>
      <c r="I28" s="3" t="n">
        <v>28.5</v>
      </c>
      <c r="J28" s="3" t="n">
        <v>28.5</v>
      </c>
      <c r="K28" s="3" t="n">
        <v>28.5</v>
      </c>
      <c r="L28" s="3" t="n">
        <v>28.5</v>
      </c>
    </row>
    <row r="29" customFormat="false" ht="15" hidden="false" customHeight="false" outlineLevel="0" collapsed="false">
      <c r="A29" s="0" t="s">
        <v>103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104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105</v>
      </c>
      <c r="C31" s="3" t="n">
        <v>9.5</v>
      </c>
      <c r="D31" s="3" t="n">
        <v>9.5</v>
      </c>
      <c r="E31" s="3" t="n">
        <v>9.5</v>
      </c>
      <c r="F31" s="3" t="n">
        <v>9.5</v>
      </c>
      <c r="G31" s="3" t="n">
        <v>9.5</v>
      </c>
      <c r="H31" s="3" t="n">
        <v>9.5</v>
      </c>
      <c r="I31" s="3" t="n">
        <v>9.5</v>
      </c>
      <c r="J31" s="3" t="n">
        <v>9.5</v>
      </c>
      <c r="K31" s="3" t="n">
        <v>9.5</v>
      </c>
      <c r="L31" s="3" t="n">
        <v>9.5</v>
      </c>
    </row>
    <row r="32" customFormat="false" ht="15" hidden="false" customHeight="false" outlineLevel="0" collapsed="false">
      <c r="A32" s="0" t="s">
        <v>106</v>
      </c>
      <c r="C32" s="3" t="n">
        <v>10.5</v>
      </c>
      <c r="D32" s="3" t="n">
        <v>10</v>
      </c>
      <c r="E32" s="3" t="n">
        <v>9.5</v>
      </c>
      <c r="F32" s="3" t="n">
        <v>9.5</v>
      </c>
      <c r="G32" s="3" t="n">
        <v>9.5</v>
      </c>
      <c r="H32" s="3" t="n">
        <v>9.5</v>
      </c>
      <c r="I32" s="3" t="n">
        <v>9.5</v>
      </c>
      <c r="J32" s="3" t="n">
        <v>9.5</v>
      </c>
      <c r="K32" s="3" t="n">
        <v>9.5</v>
      </c>
      <c r="L32" s="3" t="n">
        <v>9.5</v>
      </c>
    </row>
    <row r="33" customFormat="false" ht="15" hidden="false" customHeight="false" outlineLevel="0" collapsed="false">
      <c r="A33" s="0" t="s">
        <v>107</v>
      </c>
      <c r="C33" s="3" t="n">
        <v>26</v>
      </c>
      <c r="D33" s="3" t="n">
        <v>25.5</v>
      </c>
      <c r="E33" s="3" t="n">
        <v>25</v>
      </c>
      <c r="F33" s="3" t="n">
        <v>25</v>
      </c>
      <c r="G33" s="3" t="n">
        <v>25</v>
      </c>
      <c r="H33" s="3" t="n">
        <v>25</v>
      </c>
      <c r="I33" s="3" t="n">
        <v>25</v>
      </c>
      <c r="J33" s="3" t="n">
        <v>25</v>
      </c>
      <c r="K33" s="3" t="n">
        <v>25</v>
      </c>
      <c r="L33" s="3" t="n">
        <v>25</v>
      </c>
    </row>
    <row r="34" customFormat="false" ht="15" hidden="false" customHeight="false" outlineLevel="0" collapsed="false">
      <c r="A34" s="0" t="s">
        <v>108</v>
      </c>
      <c r="B34" s="3" t="n">
        <v>7</v>
      </c>
    </row>
    <row r="35" customFormat="false" ht="15" hidden="false" customHeight="false" outlineLevel="0" collapsed="false">
      <c r="A35" s="0" t="s">
        <v>109</v>
      </c>
      <c r="B35" s="3" t="n">
        <v>2</v>
      </c>
    </row>
    <row r="36" customFormat="false" ht="15" hidden="false" customHeight="false" outlineLevel="0" collapsed="false">
      <c r="A36" s="0" t="s">
        <v>110</v>
      </c>
      <c r="B36" s="3" t="n">
        <v>18</v>
      </c>
    </row>
    <row r="37" customFormat="false" ht="15" hidden="false" customHeight="false" outlineLevel="0" collapsed="false">
      <c r="A37" s="0" t="s">
        <v>111</v>
      </c>
      <c r="B37" s="3" t="n">
        <v>-15</v>
      </c>
    </row>
    <row r="38" customFormat="false" ht="15" hidden="false" customHeight="false" outlineLevel="0" collapsed="false">
      <c r="A38" s="0" t="s">
        <v>112</v>
      </c>
      <c r="B38" s="3" t="n">
        <v>0.5</v>
      </c>
    </row>
    <row r="40" customFormat="false" ht="15" hidden="false" customHeight="false" outlineLevel="0" collapsed="false">
      <c r="A40" s="2" t="s">
        <v>114</v>
      </c>
      <c r="C40" s="2" t="s">
        <v>91</v>
      </c>
      <c r="D40" s="2" t="s">
        <v>92</v>
      </c>
      <c r="E40" s="2" t="s">
        <v>93</v>
      </c>
      <c r="F40" s="2" t="s">
        <v>94</v>
      </c>
      <c r="G40" s="2" t="s">
        <v>95</v>
      </c>
      <c r="H40" s="2" t="s">
        <v>96</v>
      </c>
      <c r="I40" s="2" t="s">
        <v>97</v>
      </c>
      <c r="J40" s="2" t="s">
        <v>98</v>
      </c>
      <c r="K40" s="2" t="s">
        <v>99</v>
      </c>
      <c r="L40" s="2" t="s">
        <v>100</v>
      </c>
    </row>
    <row r="41" customFormat="false" ht="15" hidden="false" customHeight="false" outlineLevel="0" collapsed="false">
      <c r="A41" s="0" t="s">
        <v>101</v>
      </c>
      <c r="C41" s="3" t="n">
        <v>0</v>
      </c>
      <c r="D41" s="3" t="n">
        <v>5</v>
      </c>
      <c r="E41" s="3" t="n">
        <v>6</v>
      </c>
      <c r="F41" s="3" t="n">
        <v>6</v>
      </c>
      <c r="G41" s="3" t="n">
        <v>5.5</v>
      </c>
      <c r="H41" s="3" t="n">
        <v>5</v>
      </c>
      <c r="I41" s="3" t="n">
        <v>4.5</v>
      </c>
      <c r="J41" s="3" t="n">
        <v>4</v>
      </c>
      <c r="K41" s="3" t="n">
        <v>3.5</v>
      </c>
      <c r="L41" s="3" t="n">
        <v>3</v>
      </c>
    </row>
    <row r="42" customFormat="false" ht="15" hidden="false" customHeight="false" outlineLevel="0" collapsed="false">
      <c r="A42" s="0" t="s">
        <v>102</v>
      </c>
      <c r="C42" s="3" t="n">
        <v>27.5</v>
      </c>
      <c r="D42" s="3" t="n">
        <v>28.5</v>
      </c>
      <c r="E42" s="3" t="n">
        <v>29.5</v>
      </c>
      <c r="F42" s="3" t="n">
        <v>30</v>
      </c>
      <c r="G42" s="3" t="n">
        <v>30.5</v>
      </c>
      <c r="H42" s="3" t="n">
        <v>30.5</v>
      </c>
      <c r="I42" s="3" t="n">
        <v>30.5</v>
      </c>
      <c r="J42" s="3" t="n">
        <v>30.5</v>
      </c>
      <c r="K42" s="3" t="n">
        <v>30.5</v>
      </c>
      <c r="L42" s="3" t="n">
        <v>30.5</v>
      </c>
    </row>
    <row r="43" customFormat="false" ht="15" hidden="false" customHeight="false" outlineLevel="0" collapsed="false">
      <c r="A43" s="0" t="s">
        <v>103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104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105</v>
      </c>
      <c r="C45" s="3" t="n">
        <v>9.5</v>
      </c>
      <c r="D45" s="3" t="n">
        <v>9.5</v>
      </c>
      <c r="E45" s="3" t="n">
        <v>9.5</v>
      </c>
      <c r="F45" s="3" t="n">
        <v>9.5</v>
      </c>
      <c r="G45" s="3" t="n">
        <v>9.5</v>
      </c>
      <c r="H45" s="3" t="n">
        <v>9.5</v>
      </c>
      <c r="I45" s="3" t="n">
        <v>9.5</v>
      </c>
      <c r="J45" s="3" t="n">
        <v>9.5</v>
      </c>
      <c r="K45" s="3" t="n">
        <v>9.5</v>
      </c>
      <c r="L45" s="3" t="n">
        <v>9.5</v>
      </c>
    </row>
    <row r="46" customFormat="false" ht="15" hidden="false" customHeight="false" outlineLevel="0" collapsed="false">
      <c r="A46" s="0" t="s">
        <v>106</v>
      </c>
      <c r="C46" s="3" t="n">
        <v>10</v>
      </c>
      <c r="D46" s="3" t="n">
        <v>9.5</v>
      </c>
      <c r="E46" s="3" t="n">
        <v>9</v>
      </c>
      <c r="F46" s="3" t="n">
        <v>9</v>
      </c>
      <c r="G46" s="3" t="n">
        <v>9</v>
      </c>
      <c r="H46" s="3" t="n">
        <v>9</v>
      </c>
      <c r="I46" s="3" t="n">
        <v>9</v>
      </c>
      <c r="J46" s="3" t="n">
        <v>9</v>
      </c>
      <c r="K46" s="3" t="n">
        <v>9</v>
      </c>
      <c r="L46" s="3" t="n">
        <v>9</v>
      </c>
    </row>
    <row r="47" customFormat="false" ht="15" hidden="false" customHeight="false" outlineLevel="0" collapsed="false">
      <c r="A47" s="0" t="s">
        <v>107</v>
      </c>
      <c r="C47" s="3" t="n">
        <v>25</v>
      </c>
      <c r="D47" s="3" t="n">
        <v>25</v>
      </c>
      <c r="E47" s="3" t="n">
        <v>25</v>
      </c>
      <c r="F47" s="3" t="n">
        <v>25</v>
      </c>
      <c r="G47" s="3" t="n">
        <v>25</v>
      </c>
      <c r="H47" s="3" t="n">
        <v>25</v>
      </c>
      <c r="I47" s="3" t="n">
        <v>25</v>
      </c>
      <c r="J47" s="3" t="n">
        <v>25</v>
      </c>
      <c r="K47" s="3" t="n">
        <v>25</v>
      </c>
      <c r="L47" s="3" t="n">
        <v>25</v>
      </c>
    </row>
    <row r="48" customFormat="false" ht="15" hidden="false" customHeight="false" outlineLevel="0" collapsed="false">
      <c r="A48" s="0" t="s">
        <v>108</v>
      </c>
      <c r="B48" s="3" t="n">
        <v>7</v>
      </c>
    </row>
    <row r="49" customFormat="false" ht="15" hidden="false" customHeight="false" outlineLevel="0" collapsed="false">
      <c r="A49" s="0" t="s">
        <v>109</v>
      </c>
      <c r="B49" s="3" t="n">
        <v>2.5</v>
      </c>
    </row>
    <row r="50" customFormat="false" ht="15" hidden="false" customHeight="false" outlineLevel="0" collapsed="false">
      <c r="A50" s="0" t="s">
        <v>110</v>
      </c>
      <c r="B50" s="3" t="n">
        <v>20</v>
      </c>
    </row>
    <row r="51" customFormat="false" ht="15" hidden="false" customHeight="false" outlineLevel="0" collapsed="false">
      <c r="A51" s="0" t="s">
        <v>111</v>
      </c>
      <c r="B51" s="3" t="n">
        <v>-15</v>
      </c>
    </row>
    <row r="52" customFormat="false" ht="15" hidden="false" customHeight="false" outlineLevel="0" collapsed="false">
      <c r="A52" s="0" t="s">
        <v>112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115</v>
      </c>
    </row>
    <row r="3" customFormat="false" ht="15" hidden="false" customHeight="false" outlineLevel="0" collapsed="false">
      <c r="A3" s="0" t="s">
        <v>116</v>
      </c>
      <c r="B3" s="0" t="s">
        <v>77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  <c r="I3" s="2" t="s">
        <v>97</v>
      </c>
      <c r="J3" s="2" t="s">
        <v>98</v>
      </c>
      <c r="K3" s="2" t="s">
        <v>99</v>
      </c>
      <c r="L3" s="2" t="s">
        <v>100</v>
      </c>
    </row>
    <row r="4" customFormat="false" ht="15" hidden="false" customHeight="false" outlineLevel="0" collapsed="false">
      <c r="A4" s="0" t="s">
        <v>117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101</v>
      </c>
      <c r="C5" s="4" t="n">
        <f aca="false">Assumptions!C13</f>
        <v>-2.5</v>
      </c>
      <c r="D5" s="4" t="n">
        <f aca="false">Assumptions!D13</f>
        <v>0</v>
      </c>
      <c r="E5" s="4" t="n">
        <f aca="false">Assumptions!E13</f>
        <v>1</v>
      </c>
      <c r="F5" s="4" t="n">
        <f aca="false">Assumptions!F13</f>
        <v>2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1.5</v>
      </c>
      <c r="L5" s="4" t="n">
        <f aca="false">Assumptions!L13</f>
        <v>1.5</v>
      </c>
    </row>
    <row r="6" customFormat="false" ht="15" hidden="false" customHeight="false" outlineLevel="0" collapsed="false">
      <c r="A6" s="0" t="s">
        <v>37</v>
      </c>
      <c r="B6" s="3" t="n">
        <v>21102</v>
      </c>
      <c r="C6" s="0" t="n">
        <f aca="false">B6*(1+C5/100)</f>
        <v>20574.45</v>
      </c>
      <c r="D6" s="0" t="n">
        <f aca="false">C6*(1+D5/100)</f>
        <v>20574.45</v>
      </c>
      <c r="E6" s="0" t="n">
        <f aca="false">D6*(1+E5/100)</f>
        <v>20780.1945</v>
      </c>
      <c r="F6" s="0" t="n">
        <f aca="false">E6*(1+F5/100)</f>
        <v>21195.79839</v>
      </c>
      <c r="G6" s="0" t="n">
        <f aca="false">F6*(1+G5/100)</f>
        <v>21619.7143578</v>
      </c>
      <c r="H6" s="0" t="n">
        <f aca="false">G6*(1+H5/100)</f>
        <v>22052.108644956</v>
      </c>
      <c r="I6" s="0" t="n">
        <f aca="false">H6*(1+I5/100)</f>
        <v>22493.1508178551</v>
      </c>
      <c r="J6" s="0" t="n">
        <f aca="false">I6*(1+J5/100)</f>
        <v>22943.0138342122</v>
      </c>
      <c r="K6" s="0" t="n">
        <f aca="false">J6*(1+K5/100)</f>
        <v>23287.1590417254</v>
      </c>
      <c r="L6" s="0" t="n">
        <f aca="false">K6*(1+L5/100)</f>
        <v>23636.4664273513</v>
      </c>
    </row>
    <row r="7" customFormat="false" ht="15" hidden="false" customHeight="false" outlineLevel="0" collapsed="false">
      <c r="A7" s="0" t="s">
        <v>102</v>
      </c>
      <c r="C7" s="4" t="n">
        <f aca="false">Assumptions!C14</f>
        <v>26.5</v>
      </c>
      <c r="D7" s="4" t="n">
        <f aca="false">Assumptions!D14</f>
        <v>26</v>
      </c>
      <c r="E7" s="4" t="n">
        <f aca="false">Assumptions!E14</f>
        <v>25.5</v>
      </c>
      <c r="F7" s="4" t="n">
        <f aca="false">Assumptions!F14</f>
        <v>25.5</v>
      </c>
      <c r="G7" s="4" t="n">
        <f aca="false">Assumptions!G14</f>
        <v>25.5</v>
      </c>
      <c r="H7" s="4" t="n">
        <f aca="false">Assumptions!H14</f>
        <v>25.5</v>
      </c>
      <c r="I7" s="4" t="n">
        <f aca="false">Assumptions!I14</f>
        <v>25.5</v>
      </c>
      <c r="J7" s="4" t="n">
        <f aca="false">Assumptions!J14</f>
        <v>25.5</v>
      </c>
      <c r="K7" s="4" t="n">
        <f aca="false">Assumptions!K14</f>
        <v>25.5</v>
      </c>
      <c r="L7" s="4" t="n">
        <f aca="false">Assumptions!L14</f>
        <v>25.5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5452.22925</v>
      </c>
      <c r="D8" s="0" t="n">
        <f aca="false">D6*D7/100</f>
        <v>5349.357</v>
      </c>
      <c r="E8" s="0" t="n">
        <f aca="false">E6*E7/100</f>
        <v>5298.9495975</v>
      </c>
      <c r="F8" s="0" t="n">
        <f aca="false">F6*F7/100</f>
        <v>5404.92858945</v>
      </c>
      <c r="G8" s="0" t="n">
        <f aca="false">G6*G7/100</f>
        <v>5513.027161239</v>
      </c>
      <c r="H8" s="0" t="n">
        <f aca="false">H6*H7/100</f>
        <v>5623.28770446378</v>
      </c>
      <c r="I8" s="0" t="n">
        <f aca="false">I6*I7/100</f>
        <v>5735.75345855306</v>
      </c>
      <c r="J8" s="0" t="n">
        <f aca="false">J6*J7/100</f>
        <v>5850.46852772412</v>
      </c>
      <c r="K8" s="0" t="n">
        <f aca="false">K6*K7/100</f>
        <v>5938.22555563998</v>
      </c>
      <c r="L8" s="0" t="n">
        <f aca="false">L6*L7/100</f>
        <v>6027.29893897458</v>
      </c>
    </row>
    <row r="9" customFormat="false" ht="15" hidden="false" customHeight="false" outlineLevel="0" collapsed="false">
      <c r="A9" s="0" t="s">
        <v>103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118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119</v>
      </c>
      <c r="C11" s="0" t="n">
        <f aca="false">C8+C10+C24</f>
        <v>5452.22925</v>
      </c>
      <c r="D11" s="0" t="n">
        <f aca="false">D8+D10+D24</f>
        <v>5349.357</v>
      </c>
      <c r="E11" s="0" t="n">
        <f aca="false">E8+E10+E24</f>
        <v>5298.9495975</v>
      </c>
      <c r="F11" s="0" t="n">
        <f aca="false">F8+F10+F24</f>
        <v>5404.92858945</v>
      </c>
      <c r="G11" s="0" t="n">
        <f aca="false">G8+G10+G24</f>
        <v>5513.027161239</v>
      </c>
      <c r="H11" s="0" t="n">
        <f aca="false">H8+H10+H24</f>
        <v>5623.28770446378</v>
      </c>
      <c r="I11" s="0" t="n">
        <f aca="false">I8+I10+I24</f>
        <v>5735.75345855306</v>
      </c>
      <c r="J11" s="0" t="n">
        <f aca="false">J8+J10+J24</f>
        <v>5850.46852772412</v>
      </c>
      <c r="K11" s="0" t="n">
        <f aca="false">K8+K10+K24</f>
        <v>5938.22555563998</v>
      </c>
      <c r="L11" s="0" t="n">
        <f aca="false">L8+L10+L24</f>
        <v>6027.29893897458</v>
      </c>
    </row>
    <row r="12" customFormat="false" ht="15" hidden="false" customHeight="false" outlineLevel="0" collapsed="false">
      <c r="A12" s="0" t="s">
        <v>120</v>
      </c>
      <c r="C12" s="4" t="n">
        <f aca="false">-C6*Assumptions!C17/100</f>
        <v>-1954.57275</v>
      </c>
      <c r="D12" s="4" t="n">
        <f aca="false">-D6*Assumptions!D17/100</f>
        <v>-1954.57275</v>
      </c>
      <c r="E12" s="4" t="n">
        <f aca="false">-E6*Assumptions!E17/100</f>
        <v>-1974.1184775</v>
      </c>
      <c r="F12" s="4" t="n">
        <f aca="false">-F6*Assumptions!F17/100</f>
        <v>-2013.60084705</v>
      </c>
      <c r="G12" s="4" t="n">
        <f aca="false">-G6*Assumptions!G17/100</f>
        <v>-2053.872863991</v>
      </c>
      <c r="H12" s="4" t="n">
        <f aca="false">-H6*Assumptions!H17/100</f>
        <v>-2094.95032127082</v>
      </c>
      <c r="I12" s="4" t="n">
        <f aca="false">-I6*Assumptions!I17/100</f>
        <v>-2136.84932769624</v>
      </c>
      <c r="J12" s="4" t="n">
        <f aca="false">-J6*Assumptions!J17/100</f>
        <v>-2179.58631425016</v>
      </c>
      <c r="K12" s="4" t="n">
        <f aca="false">-K6*Assumptions!K17/100</f>
        <v>-2212.28010896391</v>
      </c>
      <c r="L12" s="4" t="n">
        <f aca="false">-L6*Assumptions!L17/100</f>
        <v>-2245.46431059837</v>
      </c>
    </row>
    <row r="13" customFormat="false" ht="15" hidden="false" customHeight="false" outlineLevel="0" collapsed="false">
      <c r="A13" s="0" t="s">
        <v>121</v>
      </c>
      <c r="C13" s="0" t="n">
        <f aca="false">C11+C12</f>
        <v>3497.6565</v>
      </c>
      <c r="D13" s="0" t="n">
        <f aca="false">D11+D12</f>
        <v>3394.78425</v>
      </c>
      <c r="E13" s="0" t="n">
        <f aca="false">E11+E12</f>
        <v>3324.83112</v>
      </c>
      <c r="F13" s="0" t="n">
        <f aca="false">F11+F12</f>
        <v>3391.3277424</v>
      </c>
      <c r="G13" s="0" t="n">
        <f aca="false">G11+G12</f>
        <v>3459.154297248</v>
      </c>
      <c r="H13" s="0" t="n">
        <f aca="false">H11+H12</f>
        <v>3528.33738319296</v>
      </c>
      <c r="I13" s="0" t="n">
        <f aca="false">I11+I12</f>
        <v>3598.90413085682</v>
      </c>
      <c r="J13" s="0" t="n">
        <f aca="false">J11+J12</f>
        <v>3670.88221347396</v>
      </c>
      <c r="K13" s="0" t="n">
        <f aca="false">K11+K12</f>
        <v>3725.94544667607</v>
      </c>
      <c r="L13" s="0" t="n">
        <f aca="false">L11+L12</f>
        <v>3781.83462837621</v>
      </c>
    </row>
    <row r="14" customFormat="false" ht="15" hidden="false" customHeight="false" outlineLevel="0" collapsed="false">
      <c r="A14" s="0" t="s">
        <v>107</v>
      </c>
      <c r="C14" s="4" t="n">
        <f aca="false">Assumptions!C19</f>
        <v>26</v>
      </c>
      <c r="D14" s="4" t="n">
        <f aca="false">Assumptions!D19</f>
        <v>26</v>
      </c>
      <c r="E14" s="4" t="n">
        <f aca="false">Assumptions!E19</f>
        <v>26</v>
      </c>
      <c r="F14" s="4" t="n">
        <f aca="false">Assumptions!F19</f>
        <v>26</v>
      </c>
      <c r="G14" s="4" t="n">
        <f aca="false">Assumptions!G19</f>
        <v>26</v>
      </c>
      <c r="H14" s="4" t="n">
        <f aca="false">Assumptions!H19</f>
        <v>26</v>
      </c>
      <c r="I14" s="4" t="n">
        <f aca="false">Assumptions!I19</f>
        <v>26</v>
      </c>
      <c r="J14" s="4" t="n">
        <f aca="false">Assumptions!J19</f>
        <v>26</v>
      </c>
      <c r="K14" s="4" t="n">
        <f aca="false">Assumptions!K19</f>
        <v>26</v>
      </c>
      <c r="L14" s="4" t="n">
        <f aca="false">Assumptions!L19</f>
        <v>26</v>
      </c>
    </row>
    <row r="15" customFormat="false" ht="15" hidden="false" customHeight="false" outlineLevel="0" collapsed="false">
      <c r="A15" s="0" t="s">
        <v>122</v>
      </c>
      <c r="C15" s="0" t="n">
        <f aca="false">C13-MAX(0,C13)*C14/100</f>
        <v>2588.26581</v>
      </c>
      <c r="D15" s="0" t="n">
        <f aca="false">D13-MAX(0,D13)*D14/100</f>
        <v>2512.140345</v>
      </c>
      <c r="E15" s="0" t="n">
        <f aca="false">E13-MAX(0,E13)*E14/100</f>
        <v>2460.3750288</v>
      </c>
      <c r="F15" s="0" t="n">
        <f aca="false">F13-MAX(0,F13)*F14/100</f>
        <v>2509.582529376</v>
      </c>
      <c r="G15" s="0" t="n">
        <f aca="false">G13-MAX(0,G13)*G14/100</f>
        <v>2559.77417996352</v>
      </c>
      <c r="H15" s="0" t="n">
        <f aca="false">H13-MAX(0,H13)*H14/100</f>
        <v>2610.96966356279</v>
      </c>
      <c r="I15" s="0" t="n">
        <f aca="false">I13-MAX(0,I13)*I14/100</f>
        <v>2663.18905683405</v>
      </c>
      <c r="J15" s="0" t="n">
        <f aca="false">J13-MAX(0,J13)*J14/100</f>
        <v>2716.45283797073</v>
      </c>
      <c r="K15" s="0" t="n">
        <f aca="false">K13-MAX(0,K13)*K14/100</f>
        <v>2757.19963054029</v>
      </c>
      <c r="L15" s="0" t="n">
        <f aca="false">L13-MAX(0,L13)*L14/100</f>
        <v>2798.55762499839</v>
      </c>
    </row>
    <row r="16" customFormat="false" ht="15" hidden="false" customHeight="false" outlineLevel="0" collapsed="false">
      <c r="A16" s="0" t="s">
        <v>123</v>
      </c>
      <c r="C16" s="0" t="n">
        <f aca="false">-C12</f>
        <v>1954.57275</v>
      </c>
      <c r="D16" s="0" t="n">
        <f aca="false">-D12</f>
        <v>1954.57275</v>
      </c>
      <c r="E16" s="0" t="n">
        <f aca="false">-E12</f>
        <v>1974.1184775</v>
      </c>
      <c r="F16" s="0" t="n">
        <f aca="false">-F12</f>
        <v>2013.60084705</v>
      </c>
      <c r="G16" s="0" t="n">
        <f aca="false">-G12</f>
        <v>2053.872863991</v>
      </c>
      <c r="H16" s="0" t="n">
        <f aca="false">-H12</f>
        <v>2094.95032127082</v>
      </c>
      <c r="I16" s="0" t="n">
        <f aca="false">-I12</f>
        <v>2136.84932769624</v>
      </c>
      <c r="J16" s="0" t="n">
        <f aca="false">-J12</f>
        <v>2179.58631425016</v>
      </c>
      <c r="K16" s="0" t="n">
        <f aca="false">-K12</f>
        <v>2212.28010896391</v>
      </c>
      <c r="L16" s="0" t="n">
        <f aca="false">-L12</f>
        <v>2245.46431059837</v>
      </c>
    </row>
    <row r="17" customFormat="false" ht="15" hidden="false" customHeight="false" outlineLevel="0" collapsed="false">
      <c r="A17" s="0" t="s">
        <v>124</v>
      </c>
      <c r="C17" s="4" t="n">
        <f aca="false">-C6*Assumptions!C18/100</f>
        <v>-2160.31725</v>
      </c>
      <c r="D17" s="4" t="n">
        <f aca="false">-D6*Assumptions!D18/100</f>
        <v>-2160.31725</v>
      </c>
      <c r="E17" s="4" t="n">
        <f aca="false">-E6*Assumptions!E18/100</f>
        <v>-2181.9204225</v>
      </c>
      <c r="F17" s="4" t="n">
        <f aca="false">-F6*Assumptions!F18/100</f>
        <v>-2225.55883095</v>
      </c>
      <c r="G17" s="4" t="n">
        <f aca="false">-G6*Assumptions!G18/100</f>
        <v>-2270.070007569</v>
      </c>
      <c r="H17" s="4" t="n">
        <f aca="false">-H6*Assumptions!H18/100</f>
        <v>-2315.47140772038</v>
      </c>
      <c r="I17" s="4" t="n">
        <f aca="false">-I6*Assumptions!I18/100</f>
        <v>-2361.78083587479</v>
      </c>
      <c r="J17" s="4" t="n">
        <f aca="false">-J6*Assumptions!J18/100</f>
        <v>-2409.01645259228</v>
      </c>
      <c r="K17" s="4" t="n">
        <f aca="false">-K6*Assumptions!K18/100</f>
        <v>-2445.15169938117</v>
      </c>
      <c r="L17" s="4" t="n">
        <f aca="false">-L6*Assumptions!L18/100</f>
        <v>-2481.82897487189</v>
      </c>
    </row>
    <row r="18" customFormat="false" ht="15" hidden="false" customHeight="false" outlineLevel="0" collapsed="false">
      <c r="A18" s="0" t="s">
        <v>125</v>
      </c>
      <c r="C18" s="4" t="n">
        <f aca="false">(C6-B6)*Assumptions!$B$23/100</f>
        <v>79.1324999999999</v>
      </c>
      <c r="D18" s="4" t="n">
        <f aca="false">(D6-C6)*Assumptions!$B$23/100</f>
        <v>-0</v>
      </c>
      <c r="E18" s="4" t="n">
        <f aca="false">(E6-D6)*Assumptions!$B$23/100</f>
        <v>-30.8616750000001</v>
      </c>
      <c r="F18" s="4" t="n">
        <f aca="false">(F6-E6)*Assumptions!$B$23/100</f>
        <v>-62.3405835000003</v>
      </c>
      <c r="G18" s="4" t="n">
        <f aca="false">(G6-F6)*Assumptions!$B$23/100</f>
        <v>-63.5873951699999</v>
      </c>
      <c r="H18" s="4" t="n">
        <f aca="false">(H6-G6)*Assumptions!$B$23/100</f>
        <v>-64.8591430733999</v>
      </c>
      <c r="I18" s="4" t="n">
        <f aca="false">(I6-H6)*Assumptions!$B$23/100</f>
        <v>-66.1563259348681</v>
      </c>
      <c r="J18" s="4" t="n">
        <f aca="false">(J6-I6)*Assumptions!$B$23/100</f>
        <v>-67.4794524535655</v>
      </c>
      <c r="K18" s="4" t="n">
        <f aca="false">(K6-J6)*Assumptions!$B$23/100</f>
        <v>-51.6217811269773</v>
      </c>
      <c r="L18" s="4" t="n">
        <f aca="false">(L6-K6)*Assumptions!$B$23/100</f>
        <v>-52.3961078438817</v>
      </c>
    </row>
    <row r="19" customFormat="false" ht="15" hidden="false" customHeight="false" outlineLevel="0" collapsed="false">
      <c r="A19" s="0" t="s">
        <v>126</v>
      </c>
      <c r="C19" s="0" t="n">
        <f aca="false">C15+C16+C17+C18</f>
        <v>2461.65381</v>
      </c>
      <c r="D19" s="0" t="n">
        <f aca="false">D15+D16+D17+D18</f>
        <v>2306.395845</v>
      </c>
      <c r="E19" s="0" t="n">
        <f aca="false">E15+E16+E17+E18</f>
        <v>2221.7114088</v>
      </c>
      <c r="F19" s="0" t="n">
        <f aca="false">F15+F16+F17+F18</f>
        <v>2235.283961976</v>
      </c>
      <c r="G19" s="0" t="n">
        <f aca="false">G15+G16+G17+G18</f>
        <v>2279.98964121552</v>
      </c>
      <c r="H19" s="0" t="n">
        <f aca="false">H15+H16+H17+H18</f>
        <v>2325.58943403983</v>
      </c>
      <c r="I19" s="0" t="n">
        <f aca="false">I15+I16+I17+I18</f>
        <v>2372.10122272063</v>
      </c>
      <c r="J19" s="0" t="n">
        <f aca="false">J15+J16+J17+J18</f>
        <v>2419.54324717504</v>
      </c>
      <c r="K19" s="0" t="n">
        <f aca="false">K15+K16+K17+K18</f>
        <v>2472.70625899606</v>
      </c>
      <c r="L19" s="0" t="n">
        <f aca="false">L15+L16+L17+L18</f>
        <v>2509.796852881</v>
      </c>
    </row>
    <row r="20" customFormat="false" ht="15" hidden="false" customHeight="false" outlineLevel="0" collapsed="false">
      <c r="A20" s="0" t="s">
        <v>127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128</v>
      </c>
      <c r="C21" s="0" t="n">
        <f aca="false">C19*C20</f>
        <v>2300.61103738318</v>
      </c>
      <c r="D21" s="0" t="n">
        <f aca="false">D19*D20</f>
        <v>2014.49545375142</v>
      </c>
      <c r="E21" s="0" t="n">
        <f aca="false">E19*E20</f>
        <v>1813.57830606762</v>
      </c>
      <c r="F21" s="0" t="n">
        <f aca="false">F19*F20</f>
        <v>1705.28743215811</v>
      </c>
      <c r="G21" s="0" t="n">
        <f aca="false">G19*G20</f>
        <v>1625.60110355259</v>
      </c>
      <c r="H21" s="0" t="n">
        <f aca="false">H19*H20</f>
        <v>1549.63843516229</v>
      </c>
      <c r="I21" s="0" t="n">
        <f aca="false">I19*I20</f>
        <v>1477.22542417339</v>
      </c>
      <c r="J21" s="0" t="n">
        <f aca="false">J19*J20</f>
        <v>1408.19619874473</v>
      </c>
      <c r="K21" s="0" t="n">
        <f aca="false">K19*K20</f>
        <v>1344.98836976697</v>
      </c>
      <c r="L21" s="0" t="n">
        <f aca="false">L19*L20</f>
        <v>1275.853453564</v>
      </c>
    </row>
    <row r="23" customFormat="false" ht="15" hidden="false" customHeight="false" outlineLevel="0" collapsed="false">
      <c r="A23" s="0" t="s">
        <v>104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129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130</v>
      </c>
    </row>
    <row r="27" customFormat="false" ht="15" hidden="false" customHeight="false" outlineLevel="0" collapsed="false">
      <c r="A27" s="0" t="s">
        <v>108</v>
      </c>
      <c r="B27" s="4" t="n">
        <f aca="false">Assumptions!$B$20</f>
        <v>7</v>
      </c>
    </row>
    <row r="28" customFormat="false" ht="15" hidden="false" customHeight="false" outlineLevel="0" collapsed="false">
      <c r="A28" s="0" t="s">
        <v>109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110</v>
      </c>
      <c r="B29" s="4" t="n">
        <f aca="false">Assumptions!$B$22</f>
        <v>14</v>
      </c>
    </row>
    <row r="30" customFormat="false" ht="15" hidden="false" customHeight="false" outlineLevel="0" collapsed="false">
      <c r="A30" s="0" t="s">
        <v>131</v>
      </c>
      <c r="B30" s="0" t="n">
        <f aca="false">SUM(C21:L21)</f>
        <v>16515.4752143243</v>
      </c>
    </row>
    <row r="31" customFormat="false" ht="15" hidden="false" customHeight="false" outlineLevel="0" collapsed="false">
      <c r="A31" s="0" t="s">
        <v>132</v>
      </c>
      <c r="B31" s="0" t="n">
        <f aca="false">L19</f>
        <v>2509.796852881</v>
      </c>
    </row>
    <row r="32" customFormat="false" ht="15" hidden="false" customHeight="false" outlineLevel="0" collapsed="false">
      <c r="A32" s="0" t="s">
        <v>133</v>
      </c>
      <c r="B32" s="0" t="n">
        <f aca="false">IF(B27&gt;B28,B31*(1+B28/100)/((B27-B28)/100),B31*B29)</f>
        <v>46317.1601031675</v>
      </c>
    </row>
    <row r="33" customFormat="false" ht="15" hidden="false" customHeight="false" outlineLevel="0" collapsed="false">
      <c r="A33" s="0" t="s">
        <v>134</v>
      </c>
      <c r="B33" s="0" t="n">
        <f aca="false">B31*B29</f>
        <v>35137.155940334</v>
      </c>
    </row>
    <row r="34" customFormat="false" ht="15" hidden="false" customHeight="false" outlineLevel="0" collapsed="false">
      <c r="A34" s="0" t="s">
        <v>135</v>
      </c>
      <c r="B34" s="0" t="n">
        <f aca="false">MAX(0,MIN(B32,B33))</f>
        <v>35137.155940334</v>
      </c>
    </row>
    <row r="35" customFormat="false" ht="15" hidden="false" customHeight="false" outlineLevel="0" collapsed="false">
      <c r="A35" s="0" t="s">
        <v>136</v>
      </c>
      <c r="B35" s="0" t="n">
        <f aca="false">B34/(1+B27/100)^L4</f>
        <v>17861.948349896</v>
      </c>
    </row>
    <row r="36" customFormat="false" ht="15" hidden="false" customHeight="false" outlineLevel="0" collapsed="false">
      <c r="A36" s="0" t="s">
        <v>137</v>
      </c>
      <c r="B36" s="0" t="n">
        <f aca="false">B30+B35</f>
        <v>34377.4235642203</v>
      </c>
    </row>
    <row r="37" customFormat="false" ht="15" hidden="false" customHeight="false" outlineLevel="0" collapsed="false">
      <c r="A37" s="0" t="s">
        <v>138</v>
      </c>
      <c r="B37" s="0" t="n">
        <f aca="false">B36+Assumptions!$B$5-Assumptions!$B$4</f>
        <v>24346.4235642203</v>
      </c>
    </row>
    <row r="38" customFormat="false" ht="15" hidden="false" customHeight="false" outlineLevel="0" collapsed="false">
      <c r="A38" s="0" t="s">
        <v>139</v>
      </c>
      <c r="B38" s="0" t="n">
        <f aca="false">B37/Assumptions!$B$3*Assumptions!$B$10</f>
        <v>55.9973677698049</v>
      </c>
    </row>
    <row r="39" customFormat="false" ht="15" hidden="false" customHeight="false" outlineLevel="0" collapsed="false">
      <c r="A39" s="0" t="s">
        <v>140</v>
      </c>
      <c r="B39" s="4" t="n">
        <f aca="false">B38/Assumptions!$B$2-1</f>
        <v>-0.609229813190475</v>
      </c>
    </row>
    <row r="41" customFormat="false" ht="15" hidden="false" customHeight="false" outlineLevel="0" collapsed="false">
      <c r="A41" s="0" t="s">
        <v>141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142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143</v>
      </c>
      <c r="B43" s="0" t="n">
        <f aca="false">(B37+B41+B42)/Assumptions!$B$3*Assumptions!$B$10</f>
        <v>55.9973677698049</v>
      </c>
    </row>
    <row r="45" customFormat="false" ht="15" hidden="false" customHeight="false" outlineLevel="0" collapsed="false">
      <c r="A45" s="0" t="s">
        <v>84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144</v>
      </c>
      <c r="B46" s="0" t="n">
        <f aca="false">MAX(0,MIN(IF(B45&gt;B28,B31*(1+B28/100)/((B45-B28)/100),B31*B29),B31*B29))</f>
        <v>18869.9541161053</v>
      </c>
    </row>
    <row r="47" customFormat="false" ht="15" hidden="false" customHeight="false" outlineLevel="0" collapsed="false">
      <c r="A47" s="0" t="s">
        <v>145</v>
      </c>
      <c r="B47" s="0" t="n">
        <f aca="false">(SUMPRODUCT(C19:L19/(1+B45/100)^C4:L4)+B46/(1+B45/100)^L4+Assumptions!$B$5-Assumptions!$B$4)/Assumptions!$B$3*Assumptions!$B$10</f>
        <v>14.7240895597998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146</v>
      </c>
    </row>
    <row r="3" customFormat="false" ht="15" hidden="false" customHeight="false" outlineLevel="0" collapsed="false">
      <c r="A3" s="0" t="s">
        <v>116</v>
      </c>
      <c r="B3" s="0" t="s">
        <v>77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  <c r="I3" s="2" t="s">
        <v>97</v>
      </c>
      <c r="J3" s="2" t="s">
        <v>98</v>
      </c>
      <c r="K3" s="2" t="s">
        <v>99</v>
      </c>
      <c r="L3" s="2" t="s">
        <v>100</v>
      </c>
    </row>
    <row r="4" customFormat="false" ht="15" hidden="false" customHeight="false" outlineLevel="0" collapsed="false">
      <c r="A4" s="0" t="s">
        <v>117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101</v>
      </c>
      <c r="C5" s="4" t="n">
        <f aca="false">Assumptions!C27</f>
        <v>-1</v>
      </c>
      <c r="D5" s="4" t="n">
        <f aca="false">Assumptions!D27</f>
        <v>3</v>
      </c>
      <c r="E5" s="4" t="n">
        <f aca="false">Assumptions!E27</f>
        <v>4</v>
      </c>
      <c r="F5" s="4" t="n">
        <f aca="false">Assumptions!F27</f>
        <v>4</v>
      </c>
      <c r="G5" s="4" t="n">
        <f aca="false">Assumptions!G27</f>
        <v>4</v>
      </c>
      <c r="H5" s="4" t="n">
        <f aca="false">Assumptions!H27</f>
        <v>3.5</v>
      </c>
      <c r="I5" s="4" t="n">
        <f aca="false">Assumptions!I27</f>
        <v>3.5</v>
      </c>
      <c r="J5" s="4" t="n">
        <f aca="false">Assumptions!J27</f>
        <v>3</v>
      </c>
      <c r="K5" s="4" t="n">
        <f aca="false">Assumptions!K27</f>
        <v>3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21102</v>
      </c>
      <c r="C6" s="0" t="n">
        <f aca="false">B6*(1+C5/100)</f>
        <v>20890.98</v>
      </c>
      <c r="D6" s="0" t="n">
        <f aca="false">C6*(1+D5/100)</f>
        <v>21517.7094</v>
      </c>
      <c r="E6" s="0" t="n">
        <f aca="false">D6*(1+E5/100)</f>
        <v>22378.417776</v>
      </c>
      <c r="F6" s="0" t="n">
        <f aca="false">E6*(1+F5/100)</f>
        <v>23273.55448704</v>
      </c>
      <c r="G6" s="0" t="n">
        <f aca="false">F6*(1+G5/100)</f>
        <v>24204.4966665216</v>
      </c>
      <c r="H6" s="0" t="n">
        <f aca="false">G6*(1+H5/100)</f>
        <v>25051.6540498499</v>
      </c>
      <c r="I6" s="0" t="n">
        <f aca="false">H6*(1+I5/100)</f>
        <v>25928.4619415946</v>
      </c>
      <c r="J6" s="0" t="n">
        <f aca="false">I6*(1+J5/100)</f>
        <v>26706.3157998424</v>
      </c>
      <c r="K6" s="0" t="n">
        <f aca="false">J6*(1+K5/100)</f>
        <v>27507.5052738377</v>
      </c>
      <c r="L6" s="0" t="n">
        <f aca="false">K6*(1+L5/100)</f>
        <v>28195.1929056837</v>
      </c>
    </row>
    <row r="7" customFormat="false" ht="15" hidden="false" customHeight="false" outlineLevel="0" collapsed="false">
      <c r="A7" s="0" t="s">
        <v>102</v>
      </c>
      <c r="C7" s="4" t="n">
        <f aca="false">Assumptions!C28</f>
        <v>27</v>
      </c>
      <c r="D7" s="4" t="n">
        <f aca="false">Assumptions!D28</f>
        <v>27.5</v>
      </c>
      <c r="E7" s="4" t="n">
        <f aca="false">Assumptions!E28</f>
        <v>28</v>
      </c>
      <c r="F7" s="4" t="n">
        <f aca="false">Assumptions!F28</f>
        <v>28.5</v>
      </c>
      <c r="G7" s="4" t="n">
        <f aca="false">Assumptions!G28</f>
        <v>28.5</v>
      </c>
      <c r="H7" s="4" t="n">
        <f aca="false">Assumptions!H28</f>
        <v>28.5</v>
      </c>
      <c r="I7" s="4" t="n">
        <f aca="false">Assumptions!I28</f>
        <v>28.5</v>
      </c>
      <c r="J7" s="4" t="n">
        <f aca="false">Assumptions!J28</f>
        <v>28.5</v>
      </c>
      <c r="K7" s="4" t="n">
        <f aca="false">Assumptions!K28</f>
        <v>28.5</v>
      </c>
      <c r="L7" s="4" t="n">
        <f aca="false">Assumptions!L28</f>
        <v>28.5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5640.5646</v>
      </c>
      <c r="D8" s="0" t="n">
        <f aca="false">D6*D7/100</f>
        <v>5917.370085</v>
      </c>
      <c r="E8" s="0" t="n">
        <f aca="false">E6*E7/100</f>
        <v>6265.95697728</v>
      </c>
      <c r="F8" s="0" t="n">
        <f aca="false">F6*F7/100</f>
        <v>6632.9630288064</v>
      </c>
      <c r="G8" s="0" t="n">
        <f aca="false">G6*G7/100</f>
        <v>6898.28154995866</v>
      </c>
      <c r="H8" s="0" t="n">
        <f aca="false">H6*H7/100</f>
        <v>7139.72140420721</v>
      </c>
      <c r="I8" s="0" t="n">
        <f aca="false">I6*I7/100</f>
        <v>7389.61165335446</v>
      </c>
      <c r="J8" s="0" t="n">
        <f aca="false">J6*J7/100</f>
        <v>7611.3000029551</v>
      </c>
      <c r="K8" s="0" t="n">
        <f aca="false">K6*K7/100</f>
        <v>7839.63900304375</v>
      </c>
      <c r="L8" s="0" t="n">
        <f aca="false">L6*L7/100</f>
        <v>8035.62997811984</v>
      </c>
    </row>
    <row r="9" customFormat="false" ht="15" hidden="false" customHeight="false" outlineLevel="0" collapsed="false">
      <c r="A9" s="0" t="s">
        <v>103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118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119</v>
      </c>
      <c r="C11" s="0" t="n">
        <f aca="false">C8+C10+C24</f>
        <v>5640.5646</v>
      </c>
      <c r="D11" s="0" t="n">
        <f aca="false">D8+D10+D24</f>
        <v>5917.370085</v>
      </c>
      <c r="E11" s="0" t="n">
        <f aca="false">E8+E10+E24</f>
        <v>6265.95697728</v>
      </c>
      <c r="F11" s="0" t="n">
        <f aca="false">F8+F10+F24</f>
        <v>6632.9630288064</v>
      </c>
      <c r="G11" s="0" t="n">
        <f aca="false">G8+G10+G24</f>
        <v>6898.28154995866</v>
      </c>
      <c r="H11" s="0" t="n">
        <f aca="false">H8+H10+H24</f>
        <v>7139.72140420721</v>
      </c>
      <c r="I11" s="0" t="n">
        <f aca="false">I8+I10+I24</f>
        <v>7389.61165335446</v>
      </c>
      <c r="J11" s="0" t="n">
        <f aca="false">J8+J10+J24</f>
        <v>7611.3000029551</v>
      </c>
      <c r="K11" s="0" t="n">
        <f aca="false">K8+K10+K24</f>
        <v>7839.63900304375</v>
      </c>
      <c r="L11" s="0" t="n">
        <f aca="false">L8+L10+L24</f>
        <v>8035.62997811984</v>
      </c>
    </row>
    <row r="12" customFormat="false" ht="15" hidden="false" customHeight="false" outlineLevel="0" collapsed="false">
      <c r="A12" s="0" t="s">
        <v>120</v>
      </c>
      <c r="C12" s="4" t="n">
        <f aca="false">-C6*Assumptions!C31/100</f>
        <v>-1984.6431</v>
      </c>
      <c r="D12" s="4" t="n">
        <f aca="false">-D6*Assumptions!D31/100</f>
        <v>-2044.182393</v>
      </c>
      <c r="E12" s="4" t="n">
        <f aca="false">-E6*Assumptions!E31/100</f>
        <v>-2125.94968872</v>
      </c>
      <c r="F12" s="4" t="n">
        <f aca="false">-F6*Assumptions!F31/100</f>
        <v>-2210.9876762688</v>
      </c>
      <c r="G12" s="4" t="n">
        <f aca="false">-G6*Assumptions!G31/100</f>
        <v>-2299.42718331955</v>
      </c>
      <c r="H12" s="4" t="n">
        <f aca="false">-H6*Assumptions!H31/100</f>
        <v>-2379.90713473574</v>
      </c>
      <c r="I12" s="4" t="n">
        <f aca="false">-I6*Assumptions!I31/100</f>
        <v>-2463.20388445149</v>
      </c>
      <c r="J12" s="4" t="n">
        <f aca="false">-J6*Assumptions!J31/100</f>
        <v>-2537.10000098503</v>
      </c>
      <c r="K12" s="4" t="n">
        <f aca="false">-K6*Assumptions!K31/100</f>
        <v>-2613.21300101458</v>
      </c>
      <c r="L12" s="4" t="n">
        <f aca="false">-L6*Assumptions!L31/100</f>
        <v>-2678.54332603995</v>
      </c>
    </row>
    <row r="13" customFormat="false" ht="15" hidden="false" customHeight="false" outlineLevel="0" collapsed="false">
      <c r="A13" s="0" t="s">
        <v>121</v>
      </c>
      <c r="C13" s="0" t="n">
        <f aca="false">C11+C12</f>
        <v>3655.9215</v>
      </c>
      <c r="D13" s="0" t="n">
        <f aca="false">D11+D12</f>
        <v>3873.187692</v>
      </c>
      <c r="E13" s="0" t="n">
        <f aca="false">E11+E12</f>
        <v>4140.00728856</v>
      </c>
      <c r="F13" s="0" t="n">
        <f aca="false">F11+F12</f>
        <v>4421.9753525376</v>
      </c>
      <c r="G13" s="0" t="n">
        <f aca="false">G11+G12</f>
        <v>4598.85436663911</v>
      </c>
      <c r="H13" s="0" t="n">
        <f aca="false">H11+H12</f>
        <v>4759.81426947147</v>
      </c>
      <c r="I13" s="0" t="n">
        <f aca="false">I11+I12</f>
        <v>4926.40776890297</v>
      </c>
      <c r="J13" s="0" t="n">
        <f aca="false">J11+J12</f>
        <v>5074.20000197006</v>
      </c>
      <c r="K13" s="0" t="n">
        <f aca="false">K11+K12</f>
        <v>5226.42600202917</v>
      </c>
      <c r="L13" s="0" t="n">
        <f aca="false">L11+L12</f>
        <v>5357.08665207989</v>
      </c>
    </row>
    <row r="14" customFormat="false" ht="15" hidden="false" customHeight="false" outlineLevel="0" collapsed="false">
      <c r="A14" s="0" t="s">
        <v>107</v>
      </c>
      <c r="C14" s="4" t="n">
        <f aca="false">Assumptions!C33</f>
        <v>26</v>
      </c>
      <c r="D14" s="4" t="n">
        <f aca="false">Assumptions!D33</f>
        <v>25.5</v>
      </c>
      <c r="E14" s="4" t="n">
        <f aca="false">Assumptions!E33</f>
        <v>25</v>
      </c>
      <c r="F14" s="4" t="n">
        <f aca="false">Assumptions!F33</f>
        <v>25</v>
      </c>
      <c r="G14" s="4" t="n">
        <f aca="false">Assumptions!G33</f>
        <v>25</v>
      </c>
      <c r="H14" s="4" t="n">
        <f aca="false">Assumptions!H33</f>
        <v>25</v>
      </c>
      <c r="I14" s="4" t="n">
        <f aca="false">Assumptions!I33</f>
        <v>25</v>
      </c>
      <c r="J14" s="4" t="n">
        <f aca="false">Assumptions!J33</f>
        <v>25</v>
      </c>
      <c r="K14" s="4" t="n">
        <f aca="false">Assumptions!K33</f>
        <v>25</v>
      </c>
      <c r="L14" s="4" t="n">
        <f aca="false">Assumptions!L33</f>
        <v>25</v>
      </c>
    </row>
    <row r="15" customFormat="false" ht="15" hidden="false" customHeight="false" outlineLevel="0" collapsed="false">
      <c r="A15" s="0" t="s">
        <v>122</v>
      </c>
      <c r="C15" s="0" t="n">
        <f aca="false">C13-MAX(0,C13)*C14/100</f>
        <v>2705.38191</v>
      </c>
      <c r="D15" s="0" t="n">
        <f aca="false">D13-MAX(0,D13)*D14/100</f>
        <v>2885.52483054</v>
      </c>
      <c r="E15" s="0" t="n">
        <f aca="false">E13-MAX(0,E13)*E14/100</f>
        <v>3105.00546642</v>
      </c>
      <c r="F15" s="0" t="n">
        <f aca="false">F13-MAX(0,F13)*F14/100</f>
        <v>3316.4815144032</v>
      </c>
      <c r="G15" s="0" t="n">
        <f aca="false">G13-MAX(0,G13)*G14/100</f>
        <v>3449.14077497933</v>
      </c>
      <c r="H15" s="0" t="n">
        <f aca="false">H13-MAX(0,H13)*H14/100</f>
        <v>3569.8607021036</v>
      </c>
      <c r="I15" s="0" t="n">
        <f aca="false">I13-MAX(0,I13)*I14/100</f>
        <v>3694.80582667723</v>
      </c>
      <c r="J15" s="0" t="n">
        <f aca="false">J13-MAX(0,J13)*J14/100</f>
        <v>3805.65000147755</v>
      </c>
      <c r="K15" s="0" t="n">
        <f aca="false">K13-MAX(0,K13)*K14/100</f>
        <v>3919.81950152187</v>
      </c>
      <c r="L15" s="0" t="n">
        <f aca="false">L13-MAX(0,L13)*L14/100</f>
        <v>4017.81498905992</v>
      </c>
    </row>
    <row r="16" customFormat="false" ht="15" hidden="false" customHeight="false" outlineLevel="0" collapsed="false">
      <c r="A16" s="0" t="s">
        <v>123</v>
      </c>
      <c r="C16" s="0" t="n">
        <f aca="false">-C12</f>
        <v>1984.6431</v>
      </c>
      <c r="D16" s="0" t="n">
        <f aca="false">-D12</f>
        <v>2044.182393</v>
      </c>
      <c r="E16" s="0" t="n">
        <f aca="false">-E12</f>
        <v>2125.94968872</v>
      </c>
      <c r="F16" s="0" t="n">
        <f aca="false">-F12</f>
        <v>2210.9876762688</v>
      </c>
      <c r="G16" s="0" t="n">
        <f aca="false">-G12</f>
        <v>2299.42718331955</v>
      </c>
      <c r="H16" s="0" t="n">
        <f aca="false">-H12</f>
        <v>2379.90713473574</v>
      </c>
      <c r="I16" s="0" t="n">
        <f aca="false">-I12</f>
        <v>2463.20388445149</v>
      </c>
      <c r="J16" s="0" t="n">
        <f aca="false">-J12</f>
        <v>2537.10000098503</v>
      </c>
      <c r="K16" s="0" t="n">
        <f aca="false">-K12</f>
        <v>2613.21300101458</v>
      </c>
      <c r="L16" s="0" t="n">
        <f aca="false">-L12</f>
        <v>2678.54332603995</v>
      </c>
    </row>
    <row r="17" customFormat="false" ht="15" hidden="false" customHeight="false" outlineLevel="0" collapsed="false">
      <c r="A17" s="0" t="s">
        <v>124</v>
      </c>
      <c r="C17" s="4" t="n">
        <f aca="false">-C6*Assumptions!C32/100</f>
        <v>-2193.5529</v>
      </c>
      <c r="D17" s="4" t="n">
        <f aca="false">-D6*Assumptions!D32/100</f>
        <v>-2151.77094</v>
      </c>
      <c r="E17" s="4" t="n">
        <f aca="false">-E6*Assumptions!E32/100</f>
        <v>-2125.94968872</v>
      </c>
      <c r="F17" s="4" t="n">
        <f aca="false">-F6*Assumptions!F32/100</f>
        <v>-2210.9876762688</v>
      </c>
      <c r="G17" s="4" t="n">
        <f aca="false">-G6*Assumptions!G32/100</f>
        <v>-2299.42718331955</v>
      </c>
      <c r="H17" s="4" t="n">
        <f aca="false">-H6*Assumptions!H32/100</f>
        <v>-2379.90713473574</v>
      </c>
      <c r="I17" s="4" t="n">
        <f aca="false">-I6*Assumptions!I32/100</f>
        <v>-2463.20388445149</v>
      </c>
      <c r="J17" s="4" t="n">
        <f aca="false">-J6*Assumptions!J32/100</f>
        <v>-2537.10000098503</v>
      </c>
      <c r="K17" s="4" t="n">
        <f aca="false">-K6*Assumptions!K32/100</f>
        <v>-2613.21300101458</v>
      </c>
      <c r="L17" s="4" t="n">
        <f aca="false">-L6*Assumptions!L32/100</f>
        <v>-2678.54332603995</v>
      </c>
    </row>
    <row r="18" customFormat="false" ht="15" hidden="false" customHeight="false" outlineLevel="0" collapsed="false">
      <c r="A18" s="0" t="s">
        <v>125</v>
      </c>
      <c r="C18" s="4" t="n">
        <f aca="false">(C6-B6)*Assumptions!$B$37/100</f>
        <v>31.6530000000001</v>
      </c>
      <c r="D18" s="4" t="n">
        <f aca="false">(D6-C6)*Assumptions!$B$37/100</f>
        <v>-94.00941</v>
      </c>
      <c r="E18" s="4" t="n">
        <f aca="false">(E6-D6)*Assumptions!$B$37/100</f>
        <v>-129.1062564</v>
      </c>
      <c r="F18" s="4" t="n">
        <f aca="false">(F6-E6)*Assumptions!$B$37/100</f>
        <v>-134.270506656</v>
      </c>
      <c r="G18" s="4" t="n">
        <f aca="false">(G6-F6)*Assumptions!$B$37/100</f>
        <v>-139.64132692224</v>
      </c>
      <c r="H18" s="4" t="n">
        <f aca="false">(H6-G6)*Assumptions!$B$37/100</f>
        <v>-127.073607499238</v>
      </c>
      <c r="I18" s="4" t="n">
        <f aca="false">(I6-H6)*Assumptions!$B$37/100</f>
        <v>-131.521183761711</v>
      </c>
      <c r="J18" s="4" t="n">
        <f aca="false">(J6-I6)*Assumptions!$B$37/100</f>
        <v>-116.678078737176</v>
      </c>
      <c r="K18" s="4" t="n">
        <f aca="false">(K6-J6)*Assumptions!$B$37/100</f>
        <v>-120.178421099291</v>
      </c>
      <c r="L18" s="4" t="n">
        <f aca="false">(L6-K6)*Assumptions!$B$37/100</f>
        <v>-103.153144776891</v>
      </c>
    </row>
    <row r="19" customFormat="false" ht="15" hidden="false" customHeight="false" outlineLevel="0" collapsed="false">
      <c r="A19" s="0" t="s">
        <v>126</v>
      </c>
      <c r="C19" s="0" t="n">
        <f aca="false">C15+C16+C17+C18</f>
        <v>2528.12511</v>
      </c>
      <c r="D19" s="0" t="n">
        <f aca="false">D15+D16+D17+D18</f>
        <v>2683.92687354</v>
      </c>
      <c r="E19" s="0" t="n">
        <f aca="false">E15+E16+E17+E18</f>
        <v>2975.89921002</v>
      </c>
      <c r="F19" s="0" t="n">
        <f aca="false">F15+F16+F17+F18</f>
        <v>3182.2110077472</v>
      </c>
      <c r="G19" s="0" t="n">
        <f aca="false">G15+G16+G17+G18</f>
        <v>3309.49944805709</v>
      </c>
      <c r="H19" s="0" t="n">
        <f aca="false">H15+H16+H17+H18</f>
        <v>3442.78709460437</v>
      </c>
      <c r="I19" s="0" t="n">
        <f aca="false">I15+I16+I17+I18</f>
        <v>3563.28464291552</v>
      </c>
      <c r="J19" s="0" t="n">
        <f aca="false">J15+J16+J17+J18</f>
        <v>3688.97192274037</v>
      </c>
      <c r="K19" s="0" t="n">
        <f aca="false">K15+K16+K17+K18</f>
        <v>3799.64108042258</v>
      </c>
      <c r="L19" s="0" t="n">
        <f aca="false">L15+L16+L17+L18</f>
        <v>3914.66184428303</v>
      </c>
    </row>
    <row r="20" customFormat="false" ht="15" hidden="false" customHeight="false" outlineLevel="0" collapsed="false">
      <c r="A20" s="0" t="s">
        <v>127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128</v>
      </c>
      <c r="C21" s="0" t="n">
        <f aca="false">C19*C20</f>
        <v>2362.73374766355</v>
      </c>
      <c r="D21" s="0" t="n">
        <f aca="false">D19*D20</f>
        <v>2344.24567520307</v>
      </c>
      <c r="E21" s="0" t="n">
        <f aca="false">E19*E20</f>
        <v>2429.22020698049</v>
      </c>
      <c r="F21" s="0" t="n">
        <f aca="false">F19*F20</f>
        <v>2427.69354153527</v>
      </c>
      <c r="G21" s="0" t="n">
        <f aca="false">G19*G20</f>
        <v>2359.62736747353</v>
      </c>
      <c r="H21" s="0" t="n">
        <f aca="false">H19*H20</f>
        <v>2294.07440874546</v>
      </c>
      <c r="I21" s="0" t="n">
        <f aca="false">I19*I20</f>
        <v>2219.03459163697</v>
      </c>
      <c r="J21" s="0" t="n">
        <f aca="false">J19*J20</f>
        <v>2147.01524551969</v>
      </c>
      <c r="K21" s="0" t="n">
        <f aca="false">K19*K20</f>
        <v>2066.75299335073</v>
      </c>
      <c r="L21" s="0" t="n">
        <f aca="false">L19*L20</f>
        <v>1990.01557748807</v>
      </c>
    </row>
    <row r="23" customFormat="false" ht="15" hidden="false" customHeight="false" outlineLevel="0" collapsed="false">
      <c r="A23" s="0" t="s">
        <v>104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129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130</v>
      </c>
    </row>
    <row r="27" customFormat="false" ht="15" hidden="false" customHeight="false" outlineLevel="0" collapsed="false">
      <c r="A27" s="0" t="s">
        <v>108</v>
      </c>
      <c r="B27" s="4" t="n">
        <f aca="false">Assumptions!$B$34</f>
        <v>7</v>
      </c>
    </row>
    <row r="28" customFormat="false" ht="15" hidden="false" customHeight="false" outlineLevel="0" collapsed="false">
      <c r="A28" s="0" t="s">
        <v>109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110</v>
      </c>
      <c r="B29" s="4" t="n">
        <f aca="false">Assumptions!$B$36</f>
        <v>18</v>
      </c>
    </row>
    <row r="30" customFormat="false" ht="15" hidden="false" customHeight="false" outlineLevel="0" collapsed="false">
      <c r="A30" s="0" t="s">
        <v>131</v>
      </c>
      <c r="B30" s="0" t="n">
        <f aca="false">SUM(C21:L21)</f>
        <v>22640.4133555968</v>
      </c>
    </row>
    <row r="31" customFormat="false" ht="15" hidden="false" customHeight="false" outlineLevel="0" collapsed="false">
      <c r="A31" s="0" t="s">
        <v>132</v>
      </c>
      <c r="B31" s="0" t="n">
        <f aca="false">L19</f>
        <v>3914.66184428303</v>
      </c>
    </row>
    <row r="32" customFormat="false" ht="15" hidden="false" customHeight="false" outlineLevel="0" collapsed="false">
      <c r="A32" s="0" t="s">
        <v>133</v>
      </c>
      <c r="B32" s="0" t="n">
        <f aca="false">IF(B27&gt;B28,B31*(1+B28/100)/((B27-B28)/100),B31*B29)</f>
        <v>79859.1016233738</v>
      </c>
    </row>
    <row r="33" customFormat="false" ht="15" hidden="false" customHeight="false" outlineLevel="0" collapsed="false">
      <c r="A33" s="0" t="s">
        <v>134</v>
      </c>
      <c r="B33" s="0" t="n">
        <f aca="false">B31*B29</f>
        <v>70463.9131970945</v>
      </c>
    </row>
    <row r="34" customFormat="false" ht="15" hidden="false" customHeight="false" outlineLevel="0" collapsed="false">
      <c r="A34" s="0" t="s">
        <v>135</v>
      </c>
      <c r="B34" s="0" t="n">
        <f aca="false">MAX(0,MIN(B32,B33))</f>
        <v>70463.9131970945</v>
      </c>
    </row>
    <row r="35" customFormat="false" ht="15" hidden="false" customHeight="false" outlineLevel="0" collapsed="false">
      <c r="A35" s="0" t="s">
        <v>136</v>
      </c>
      <c r="B35" s="0" t="n">
        <f aca="false">B34/(1+B27/100)^L4</f>
        <v>35820.2803947852</v>
      </c>
    </row>
    <row r="36" customFormat="false" ht="15" hidden="false" customHeight="false" outlineLevel="0" collapsed="false">
      <c r="A36" s="0" t="s">
        <v>137</v>
      </c>
      <c r="B36" s="0" t="n">
        <f aca="false">B30+B35</f>
        <v>58460.693750382</v>
      </c>
    </row>
    <row r="37" customFormat="false" ht="15" hidden="false" customHeight="false" outlineLevel="0" collapsed="false">
      <c r="A37" s="0" t="s">
        <v>138</v>
      </c>
      <c r="B37" s="0" t="n">
        <f aca="false">B36+Assumptions!$B$5-Assumptions!$B$4</f>
        <v>48429.693750382</v>
      </c>
    </row>
    <row r="38" customFormat="false" ht="15" hidden="false" customHeight="false" outlineLevel="0" collapsed="false">
      <c r="A38" s="0" t="s">
        <v>139</v>
      </c>
      <c r="B38" s="0" t="n">
        <f aca="false">B37/Assumptions!$B$3*Assumptions!$B$10</f>
        <v>111.389476354328</v>
      </c>
    </row>
    <row r="39" customFormat="false" ht="15" hidden="false" customHeight="false" outlineLevel="0" collapsed="false">
      <c r="A39" s="0" t="s">
        <v>140</v>
      </c>
      <c r="B39" s="4" t="n">
        <f aca="false">B38/Assumptions!$B$2-1</f>
        <v>-0.222683347143559</v>
      </c>
    </row>
    <row r="41" customFormat="false" ht="15" hidden="false" customHeight="false" outlineLevel="0" collapsed="false">
      <c r="A41" s="0" t="s">
        <v>141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142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143</v>
      </c>
      <c r="B43" s="0" t="n">
        <f aca="false">(B37+B41+B42)/Assumptions!$B$3*Assumptions!$B$10</f>
        <v>111.389476354328</v>
      </c>
    </row>
    <row r="45" customFormat="false" ht="15" hidden="false" customHeight="false" outlineLevel="0" collapsed="false">
      <c r="A45" s="0" t="s">
        <v>84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144</v>
      </c>
      <c r="B46" s="0" t="n">
        <f aca="false">MAX(0,MIN(IF(B45&gt;B28,B31*(1+B28/100)/((B45-B28)/100),B31*B29),B31*B29))</f>
        <v>30715.039085913</v>
      </c>
    </row>
    <row r="47" customFormat="false" ht="15" hidden="false" customHeight="false" outlineLevel="0" collapsed="false">
      <c r="A47" s="0" t="s">
        <v>145</v>
      </c>
      <c r="B47" s="0" t="n">
        <f aca="false">(SUMPRODUCT(C19:L19/(1+B45/100)^C4:L4)+B46/(1+B45/100)^L4+Assumptions!$B$5-Assumptions!$B$4)/Assumptions!$B$3*Assumptions!$B$10</f>
        <v>30.5725984511582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147</v>
      </c>
    </row>
    <row r="3" customFormat="false" ht="15" hidden="false" customHeight="false" outlineLevel="0" collapsed="false">
      <c r="A3" s="0" t="s">
        <v>116</v>
      </c>
      <c r="B3" s="0" t="s">
        <v>77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  <c r="I3" s="2" t="s">
        <v>97</v>
      </c>
      <c r="J3" s="2" t="s">
        <v>98</v>
      </c>
      <c r="K3" s="2" t="s">
        <v>99</v>
      </c>
      <c r="L3" s="2" t="s">
        <v>100</v>
      </c>
    </row>
    <row r="4" customFormat="false" ht="15" hidden="false" customHeight="false" outlineLevel="0" collapsed="false">
      <c r="A4" s="0" t="s">
        <v>117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101</v>
      </c>
      <c r="C5" s="4" t="n">
        <f aca="false">Assumptions!C41</f>
        <v>0</v>
      </c>
      <c r="D5" s="4" t="n">
        <f aca="false">Assumptions!D41</f>
        <v>5</v>
      </c>
      <c r="E5" s="4" t="n">
        <f aca="false">Assumptions!E41</f>
        <v>6</v>
      </c>
      <c r="F5" s="4" t="n">
        <f aca="false">Assumptions!F41</f>
        <v>6</v>
      </c>
      <c r="G5" s="4" t="n">
        <f aca="false">Assumptions!G41</f>
        <v>5.5</v>
      </c>
      <c r="H5" s="4" t="n">
        <f aca="false">Assumptions!H41</f>
        <v>5</v>
      </c>
      <c r="I5" s="4" t="n">
        <f aca="false">Assumptions!I41</f>
        <v>4.5</v>
      </c>
      <c r="J5" s="4" t="n">
        <f aca="false">Assumptions!J41</f>
        <v>4</v>
      </c>
      <c r="K5" s="4" t="n">
        <f aca="false">Assumptions!K41</f>
        <v>3.5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21102</v>
      </c>
      <c r="C6" s="0" t="n">
        <f aca="false">B6*(1+C5/100)</f>
        <v>21102</v>
      </c>
      <c r="D6" s="0" t="n">
        <f aca="false">C6*(1+D5/100)</f>
        <v>22157.1</v>
      </c>
      <c r="E6" s="0" t="n">
        <f aca="false">D6*(1+E5/100)</f>
        <v>23486.526</v>
      </c>
      <c r="F6" s="0" t="n">
        <f aca="false">E6*(1+F5/100)</f>
        <v>24895.71756</v>
      </c>
      <c r="G6" s="0" t="n">
        <f aca="false">F6*(1+G5/100)</f>
        <v>26264.9820258</v>
      </c>
      <c r="H6" s="0" t="n">
        <f aca="false">G6*(1+H5/100)</f>
        <v>27578.23112709</v>
      </c>
      <c r="I6" s="0" t="n">
        <f aca="false">H6*(1+I5/100)</f>
        <v>28819.2515278091</v>
      </c>
      <c r="J6" s="0" t="n">
        <f aca="false">I6*(1+J5/100)</f>
        <v>29972.0215889214</v>
      </c>
      <c r="K6" s="0" t="n">
        <f aca="false">J6*(1+K5/100)</f>
        <v>31021.0423445337</v>
      </c>
      <c r="L6" s="0" t="n">
        <f aca="false">K6*(1+L5/100)</f>
        <v>31951.6736148697</v>
      </c>
    </row>
    <row r="7" customFormat="false" ht="15" hidden="false" customHeight="false" outlineLevel="0" collapsed="false">
      <c r="A7" s="0" t="s">
        <v>102</v>
      </c>
      <c r="C7" s="4" t="n">
        <f aca="false">Assumptions!C42</f>
        <v>27.5</v>
      </c>
      <c r="D7" s="4" t="n">
        <f aca="false">Assumptions!D42</f>
        <v>28.5</v>
      </c>
      <c r="E7" s="4" t="n">
        <f aca="false">Assumptions!E42</f>
        <v>29.5</v>
      </c>
      <c r="F7" s="4" t="n">
        <f aca="false">Assumptions!F42</f>
        <v>30</v>
      </c>
      <c r="G7" s="4" t="n">
        <f aca="false">Assumptions!G42</f>
        <v>30.5</v>
      </c>
      <c r="H7" s="4" t="n">
        <f aca="false">Assumptions!H42</f>
        <v>30.5</v>
      </c>
      <c r="I7" s="4" t="n">
        <f aca="false">Assumptions!I42</f>
        <v>30.5</v>
      </c>
      <c r="J7" s="4" t="n">
        <f aca="false">Assumptions!J42</f>
        <v>30.5</v>
      </c>
      <c r="K7" s="4" t="n">
        <f aca="false">Assumptions!K42</f>
        <v>30.5</v>
      </c>
      <c r="L7" s="4" t="n">
        <f aca="false">Assumptions!L42</f>
        <v>30.5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5803.05</v>
      </c>
      <c r="D8" s="0" t="n">
        <f aca="false">D6*D7/100</f>
        <v>6314.7735</v>
      </c>
      <c r="E8" s="0" t="n">
        <f aca="false">E6*E7/100</f>
        <v>6928.52517</v>
      </c>
      <c r="F8" s="0" t="n">
        <f aca="false">F6*F7/100</f>
        <v>7468.715268</v>
      </c>
      <c r="G8" s="0" t="n">
        <f aca="false">G6*G7/100</f>
        <v>8010.819517869</v>
      </c>
      <c r="H8" s="0" t="n">
        <f aca="false">H6*H7/100</f>
        <v>8411.36049376245</v>
      </c>
      <c r="I8" s="0" t="n">
        <f aca="false">I6*I7/100</f>
        <v>8789.87171598176</v>
      </c>
      <c r="J8" s="0" t="n">
        <f aca="false">J6*J7/100</f>
        <v>9141.46658462103</v>
      </c>
      <c r="K8" s="0" t="n">
        <f aca="false">K6*K7/100</f>
        <v>9461.41791508277</v>
      </c>
      <c r="L8" s="0" t="n">
        <f aca="false">L6*L7/100</f>
        <v>9745.26045253525</v>
      </c>
    </row>
    <row r="9" customFormat="false" ht="15" hidden="false" customHeight="false" outlineLevel="0" collapsed="false">
      <c r="A9" s="0" t="s">
        <v>103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118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119</v>
      </c>
      <c r="C11" s="0" t="n">
        <f aca="false">C8+C10+C24</f>
        <v>5803.05</v>
      </c>
      <c r="D11" s="0" t="n">
        <f aca="false">D8+D10+D24</f>
        <v>6314.7735</v>
      </c>
      <c r="E11" s="0" t="n">
        <f aca="false">E8+E10+E24</f>
        <v>6928.52517</v>
      </c>
      <c r="F11" s="0" t="n">
        <f aca="false">F8+F10+F24</f>
        <v>7468.715268</v>
      </c>
      <c r="G11" s="0" t="n">
        <f aca="false">G8+G10+G24</f>
        <v>8010.819517869</v>
      </c>
      <c r="H11" s="0" t="n">
        <f aca="false">H8+H10+H24</f>
        <v>8411.36049376245</v>
      </c>
      <c r="I11" s="0" t="n">
        <f aca="false">I8+I10+I24</f>
        <v>8789.87171598176</v>
      </c>
      <c r="J11" s="0" t="n">
        <f aca="false">J8+J10+J24</f>
        <v>9141.46658462103</v>
      </c>
      <c r="K11" s="0" t="n">
        <f aca="false">K8+K10+K24</f>
        <v>9461.41791508277</v>
      </c>
      <c r="L11" s="0" t="n">
        <f aca="false">L8+L10+L24</f>
        <v>9745.26045253525</v>
      </c>
    </row>
    <row r="12" customFormat="false" ht="15" hidden="false" customHeight="false" outlineLevel="0" collapsed="false">
      <c r="A12" s="0" t="s">
        <v>120</v>
      </c>
      <c r="C12" s="4" t="n">
        <f aca="false">-C6*Assumptions!C45/100</f>
        <v>-2004.69</v>
      </c>
      <c r="D12" s="4" t="n">
        <f aca="false">-D6*Assumptions!D45/100</f>
        <v>-2104.9245</v>
      </c>
      <c r="E12" s="4" t="n">
        <f aca="false">-E6*Assumptions!E45/100</f>
        <v>-2231.21997</v>
      </c>
      <c r="F12" s="4" t="n">
        <f aca="false">-F6*Assumptions!F45/100</f>
        <v>-2365.0931682</v>
      </c>
      <c r="G12" s="4" t="n">
        <f aca="false">-G6*Assumptions!G45/100</f>
        <v>-2495.173292451</v>
      </c>
      <c r="H12" s="4" t="n">
        <f aca="false">-H6*Assumptions!H45/100</f>
        <v>-2619.93195707355</v>
      </c>
      <c r="I12" s="4" t="n">
        <f aca="false">-I6*Assumptions!I45/100</f>
        <v>-2737.82889514186</v>
      </c>
      <c r="J12" s="4" t="n">
        <f aca="false">-J6*Assumptions!J45/100</f>
        <v>-2847.34205094753</v>
      </c>
      <c r="K12" s="4" t="n">
        <f aca="false">-K6*Assumptions!K45/100</f>
        <v>-2946.9990227307</v>
      </c>
      <c r="L12" s="4" t="n">
        <f aca="false">-L6*Assumptions!L45/100</f>
        <v>-3035.40899341262</v>
      </c>
    </row>
    <row r="13" customFormat="false" ht="15" hidden="false" customHeight="false" outlineLevel="0" collapsed="false">
      <c r="A13" s="0" t="s">
        <v>121</v>
      </c>
      <c r="C13" s="0" t="n">
        <f aca="false">C11+C12</f>
        <v>3798.36</v>
      </c>
      <c r="D13" s="0" t="n">
        <f aca="false">D11+D12</f>
        <v>4209.849</v>
      </c>
      <c r="E13" s="0" t="n">
        <f aca="false">E11+E12</f>
        <v>4697.3052</v>
      </c>
      <c r="F13" s="0" t="n">
        <f aca="false">F11+F12</f>
        <v>5103.6220998</v>
      </c>
      <c r="G13" s="0" t="n">
        <f aca="false">G11+G12</f>
        <v>5515.646225418</v>
      </c>
      <c r="H13" s="0" t="n">
        <f aca="false">H11+H12</f>
        <v>5791.4285366889</v>
      </c>
      <c r="I13" s="0" t="n">
        <f aca="false">I11+I12</f>
        <v>6052.0428208399</v>
      </c>
      <c r="J13" s="0" t="n">
        <f aca="false">J11+J12</f>
        <v>6294.1245336735</v>
      </c>
      <c r="K13" s="0" t="n">
        <f aca="false">K11+K12</f>
        <v>6514.41889235207</v>
      </c>
      <c r="L13" s="0" t="n">
        <f aca="false">L11+L12</f>
        <v>6709.85145912263</v>
      </c>
    </row>
    <row r="14" customFormat="false" ht="15" hidden="false" customHeight="false" outlineLevel="0" collapsed="false">
      <c r="A14" s="0" t="s">
        <v>107</v>
      </c>
      <c r="C14" s="4" t="n">
        <f aca="false">Assumptions!C47</f>
        <v>25</v>
      </c>
      <c r="D14" s="4" t="n">
        <f aca="false">Assumptions!D47</f>
        <v>25</v>
      </c>
      <c r="E14" s="4" t="n">
        <f aca="false">Assumptions!E47</f>
        <v>25</v>
      </c>
      <c r="F14" s="4" t="n">
        <f aca="false">Assumptions!F47</f>
        <v>25</v>
      </c>
      <c r="G14" s="4" t="n">
        <f aca="false">Assumptions!G47</f>
        <v>25</v>
      </c>
      <c r="H14" s="4" t="n">
        <f aca="false">Assumptions!H47</f>
        <v>25</v>
      </c>
      <c r="I14" s="4" t="n">
        <f aca="false">Assumptions!I47</f>
        <v>25</v>
      </c>
      <c r="J14" s="4" t="n">
        <f aca="false">Assumptions!J47</f>
        <v>25</v>
      </c>
      <c r="K14" s="4" t="n">
        <f aca="false">Assumptions!K47</f>
        <v>25</v>
      </c>
      <c r="L14" s="4" t="n">
        <f aca="false">Assumptions!L47</f>
        <v>25</v>
      </c>
    </row>
    <row r="15" customFormat="false" ht="15" hidden="false" customHeight="false" outlineLevel="0" collapsed="false">
      <c r="A15" s="0" t="s">
        <v>122</v>
      </c>
      <c r="C15" s="0" t="n">
        <f aca="false">C13-MAX(0,C13)*C14/100</f>
        <v>2848.77</v>
      </c>
      <c r="D15" s="0" t="n">
        <f aca="false">D13-MAX(0,D13)*D14/100</f>
        <v>3157.38675</v>
      </c>
      <c r="E15" s="0" t="n">
        <f aca="false">E13-MAX(0,E13)*E14/100</f>
        <v>3522.9789</v>
      </c>
      <c r="F15" s="0" t="n">
        <f aca="false">F13-MAX(0,F13)*F14/100</f>
        <v>3827.71657485</v>
      </c>
      <c r="G15" s="0" t="n">
        <f aca="false">G13-MAX(0,G13)*G14/100</f>
        <v>4136.7346690635</v>
      </c>
      <c r="H15" s="0" t="n">
        <f aca="false">H13-MAX(0,H13)*H14/100</f>
        <v>4343.57140251668</v>
      </c>
      <c r="I15" s="0" t="n">
        <f aca="false">I13-MAX(0,I13)*I14/100</f>
        <v>4539.03211562993</v>
      </c>
      <c r="J15" s="0" t="n">
        <f aca="false">J13-MAX(0,J13)*J14/100</f>
        <v>4720.59340025512</v>
      </c>
      <c r="K15" s="0" t="n">
        <f aca="false">K13-MAX(0,K13)*K14/100</f>
        <v>4885.81416926405</v>
      </c>
      <c r="L15" s="0" t="n">
        <f aca="false">L13-MAX(0,L13)*L14/100</f>
        <v>5032.38859434197</v>
      </c>
    </row>
    <row r="16" customFormat="false" ht="15" hidden="false" customHeight="false" outlineLevel="0" collapsed="false">
      <c r="A16" s="0" t="s">
        <v>123</v>
      </c>
      <c r="C16" s="0" t="n">
        <f aca="false">-C12</f>
        <v>2004.69</v>
      </c>
      <c r="D16" s="0" t="n">
        <f aca="false">-D12</f>
        <v>2104.9245</v>
      </c>
      <c r="E16" s="0" t="n">
        <f aca="false">-E12</f>
        <v>2231.21997</v>
      </c>
      <c r="F16" s="0" t="n">
        <f aca="false">-F12</f>
        <v>2365.0931682</v>
      </c>
      <c r="G16" s="0" t="n">
        <f aca="false">-G12</f>
        <v>2495.173292451</v>
      </c>
      <c r="H16" s="0" t="n">
        <f aca="false">-H12</f>
        <v>2619.93195707355</v>
      </c>
      <c r="I16" s="0" t="n">
        <f aca="false">-I12</f>
        <v>2737.82889514186</v>
      </c>
      <c r="J16" s="0" t="n">
        <f aca="false">-J12</f>
        <v>2847.34205094753</v>
      </c>
      <c r="K16" s="0" t="n">
        <f aca="false">-K12</f>
        <v>2946.9990227307</v>
      </c>
      <c r="L16" s="0" t="n">
        <f aca="false">-L12</f>
        <v>3035.40899341262</v>
      </c>
    </row>
    <row r="17" customFormat="false" ht="15" hidden="false" customHeight="false" outlineLevel="0" collapsed="false">
      <c r="A17" s="0" t="s">
        <v>124</v>
      </c>
      <c r="C17" s="4" t="n">
        <f aca="false">-C6*Assumptions!C46/100</f>
        <v>-2110.2</v>
      </c>
      <c r="D17" s="4" t="n">
        <f aca="false">-D6*Assumptions!D46/100</f>
        <v>-2104.9245</v>
      </c>
      <c r="E17" s="4" t="n">
        <f aca="false">-E6*Assumptions!E46/100</f>
        <v>-2113.78734</v>
      </c>
      <c r="F17" s="4" t="n">
        <f aca="false">-F6*Assumptions!F46/100</f>
        <v>-2240.6145804</v>
      </c>
      <c r="G17" s="4" t="n">
        <f aca="false">-G6*Assumptions!G46/100</f>
        <v>-2363.848382322</v>
      </c>
      <c r="H17" s="4" t="n">
        <f aca="false">-H6*Assumptions!H46/100</f>
        <v>-2482.0408014381</v>
      </c>
      <c r="I17" s="4" t="n">
        <f aca="false">-I6*Assumptions!I46/100</f>
        <v>-2593.73263750282</v>
      </c>
      <c r="J17" s="4" t="n">
        <f aca="false">-J6*Assumptions!J46/100</f>
        <v>-2697.48194300293</v>
      </c>
      <c r="K17" s="4" t="n">
        <f aca="false">-K6*Assumptions!K46/100</f>
        <v>-2791.89381100803</v>
      </c>
      <c r="L17" s="4" t="n">
        <f aca="false">-L6*Assumptions!L46/100</f>
        <v>-2875.65062533827</v>
      </c>
    </row>
    <row r="18" customFormat="false" ht="15" hidden="false" customHeight="false" outlineLevel="0" collapsed="false">
      <c r="A18" s="0" t="s">
        <v>125</v>
      </c>
      <c r="C18" s="4" t="n">
        <f aca="false">(C6-B6)*Assumptions!$B$51/100</f>
        <v>-0</v>
      </c>
      <c r="D18" s="4" t="n">
        <f aca="false">(D6-C6)*Assumptions!$B$51/100</f>
        <v>-158.265</v>
      </c>
      <c r="E18" s="4" t="n">
        <f aca="false">(E6-D6)*Assumptions!$B$51/100</f>
        <v>-199.4139</v>
      </c>
      <c r="F18" s="4" t="n">
        <f aca="false">(F6-E6)*Assumptions!$B$51/100</f>
        <v>-211.378734</v>
      </c>
      <c r="G18" s="4" t="n">
        <f aca="false">(G6-F6)*Assumptions!$B$51/100</f>
        <v>-205.38966987</v>
      </c>
      <c r="H18" s="4" t="n">
        <f aca="false">(H6-G6)*Assumptions!$B$51/100</f>
        <v>-196.9873651935</v>
      </c>
      <c r="I18" s="4" t="n">
        <f aca="false">(I6-H6)*Assumptions!$B$51/100</f>
        <v>-186.153060107857</v>
      </c>
      <c r="J18" s="4" t="n">
        <f aca="false">(J6-I6)*Assumptions!$B$51/100</f>
        <v>-172.915509166854</v>
      </c>
      <c r="K18" s="4" t="n">
        <f aca="false">(K6-J6)*Assumptions!$B$51/100</f>
        <v>-157.353113341837</v>
      </c>
      <c r="L18" s="4" t="n">
        <f aca="false">(L6-K6)*Assumptions!$B$51/100</f>
        <v>-139.594690550401</v>
      </c>
    </row>
    <row r="19" customFormat="false" ht="15" hidden="false" customHeight="false" outlineLevel="0" collapsed="false">
      <c r="A19" s="0" t="s">
        <v>126</v>
      </c>
      <c r="C19" s="0" t="n">
        <f aca="false">C15+C16+C17+C18</f>
        <v>2743.26</v>
      </c>
      <c r="D19" s="0" t="n">
        <f aca="false">D15+D16+D17+D18</f>
        <v>2999.12175</v>
      </c>
      <c r="E19" s="0" t="n">
        <f aca="false">E15+E16+E17+E18</f>
        <v>3440.99763</v>
      </c>
      <c r="F19" s="0" t="n">
        <f aca="false">F15+F16+F17+F18</f>
        <v>3740.81642865</v>
      </c>
      <c r="G19" s="0" t="n">
        <f aca="false">G15+G16+G17+G18</f>
        <v>4062.6699093225</v>
      </c>
      <c r="H19" s="0" t="n">
        <f aca="false">H15+H16+H17+H18</f>
        <v>4284.47519295863</v>
      </c>
      <c r="I19" s="0" t="n">
        <f aca="false">I15+I16+I17+I18</f>
        <v>4496.97531316111</v>
      </c>
      <c r="J19" s="0" t="n">
        <f aca="false">J15+J16+J17+J18</f>
        <v>4697.53799903288</v>
      </c>
      <c r="K19" s="0" t="n">
        <f aca="false">K15+K16+K17+K18</f>
        <v>4883.56626764488</v>
      </c>
      <c r="L19" s="0" t="n">
        <f aca="false">L15+L16+L17+L18</f>
        <v>5052.55227186592</v>
      </c>
    </row>
    <row r="20" customFormat="false" ht="15" hidden="false" customHeight="false" outlineLevel="0" collapsed="false">
      <c r="A20" s="0" t="s">
        <v>127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128</v>
      </c>
      <c r="C21" s="0" t="n">
        <f aca="false">C19*C20</f>
        <v>2563.79439252337</v>
      </c>
      <c r="D21" s="0" t="n">
        <f aca="false">D19*D20</f>
        <v>2619.54908725653</v>
      </c>
      <c r="E21" s="0" t="n">
        <f aca="false">E19*E20</f>
        <v>2808.87905975545</v>
      </c>
      <c r="F21" s="0" t="n">
        <f aca="false">F19*F20</f>
        <v>2853.85094256581</v>
      </c>
      <c r="G21" s="0" t="n">
        <f aca="false">G19*G20</f>
        <v>2896.62749715111</v>
      </c>
      <c r="H21" s="0" t="n">
        <f aca="false">H19*H20</f>
        <v>2854.92672796273</v>
      </c>
      <c r="I21" s="0" t="n">
        <f aca="false">I19*I20</f>
        <v>2800.49021553246</v>
      </c>
      <c r="J21" s="0" t="n">
        <f aca="false">J19*J20</f>
        <v>2734.00988447737</v>
      </c>
      <c r="K21" s="0" t="n">
        <f aca="false">K19*K20</f>
        <v>2656.33647711778</v>
      </c>
      <c r="L21" s="0" t="n">
        <f aca="false">L19*L20</f>
        <v>2568.4613708767</v>
      </c>
    </row>
    <row r="23" customFormat="false" ht="15" hidden="false" customHeight="false" outlineLevel="0" collapsed="false">
      <c r="A23" s="0" t="s">
        <v>104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129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130</v>
      </c>
    </row>
    <row r="27" customFormat="false" ht="15" hidden="false" customHeight="false" outlineLevel="0" collapsed="false">
      <c r="A27" s="0" t="s">
        <v>108</v>
      </c>
      <c r="B27" s="4" t="n">
        <f aca="false">Assumptions!$B$48</f>
        <v>7</v>
      </c>
    </row>
    <row r="28" customFormat="false" ht="15" hidden="false" customHeight="false" outlineLevel="0" collapsed="false">
      <c r="A28" s="0" t="s">
        <v>109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110</v>
      </c>
      <c r="B29" s="4" t="n">
        <f aca="false">Assumptions!$B$50</f>
        <v>20</v>
      </c>
    </row>
    <row r="30" customFormat="false" ht="15" hidden="false" customHeight="false" outlineLevel="0" collapsed="false">
      <c r="A30" s="0" t="s">
        <v>131</v>
      </c>
      <c r="B30" s="0" t="n">
        <f aca="false">SUM(C21:L21)</f>
        <v>27356.9256552193</v>
      </c>
    </row>
    <row r="31" customFormat="false" ht="15" hidden="false" customHeight="false" outlineLevel="0" collapsed="false">
      <c r="A31" s="0" t="s">
        <v>132</v>
      </c>
      <c r="B31" s="0" t="n">
        <f aca="false">L19</f>
        <v>5052.55227186592</v>
      </c>
    </row>
    <row r="32" customFormat="false" ht="15" hidden="false" customHeight="false" outlineLevel="0" collapsed="false">
      <c r="A32" s="0" t="s">
        <v>133</v>
      </c>
      <c r="B32" s="0" t="n">
        <f aca="false">IF(B27&gt;B28,B31*(1+B28/100)/((B27-B28)/100),B31*B29)</f>
        <v>115085.912859168</v>
      </c>
    </row>
    <row r="33" customFormat="false" ht="15" hidden="false" customHeight="false" outlineLevel="0" collapsed="false">
      <c r="A33" s="0" t="s">
        <v>134</v>
      </c>
      <c r="B33" s="0" t="n">
        <f aca="false">B31*B29</f>
        <v>101051.045437318</v>
      </c>
    </row>
    <row r="34" customFormat="false" ht="15" hidden="false" customHeight="false" outlineLevel="0" collapsed="false">
      <c r="A34" s="0" t="s">
        <v>135</v>
      </c>
      <c r="B34" s="0" t="n">
        <f aca="false">MAX(0,MIN(B32,B33))</f>
        <v>101051.045437318</v>
      </c>
    </row>
    <row r="35" customFormat="false" ht="15" hidden="false" customHeight="false" outlineLevel="0" collapsed="false">
      <c r="A35" s="0" t="s">
        <v>136</v>
      </c>
      <c r="B35" s="0" t="n">
        <f aca="false">B34/(1+B27/100)^L4</f>
        <v>51369.227417534</v>
      </c>
    </row>
    <row r="36" customFormat="false" ht="15" hidden="false" customHeight="false" outlineLevel="0" collapsed="false">
      <c r="A36" s="0" t="s">
        <v>137</v>
      </c>
      <c r="B36" s="0" t="n">
        <f aca="false">B30+B35</f>
        <v>78726.1530727533</v>
      </c>
    </row>
    <row r="37" customFormat="false" ht="15" hidden="false" customHeight="false" outlineLevel="0" collapsed="false">
      <c r="A37" s="0" t="s">
        <v>138</v>
      </c>
      <c r="B37" s="0" t="n">
        <f aca="false">B36+Assumptions!$B$5-Assumptions!$B$4</f>
        <v>68695.1530727533</v>
      </c>
    </row>
    <row r="38" customFormat="false" ht="15" hidden="false" customHeight="false" outlineLevel="0" collapsed="false">
      <c r="A38" s="0" t="s">
        <v>139</v>
      </c>
      <c r="B38" s="0" t="n">
        <f aca="false">B37/Assumptions!$B$3*Assumptions!$B$10</f>
        <v>158.000526872917</v>
      </c>
    </row>
    <row r="39" customFormat="false" ht="15" hidden="false" customHeight="false" outlineLevel="0" collapsed="false">
      <c r="A39" s="0" t="s">
        <v>140</v>
      </c>
      <c r="B39" s="4" t="n">
        <f aca="false">B38/Assumptions!$B$2-1</f>
        <v>0.102585672525592</v>
      </c>
    </row>
    <row r="41" customFormat="false" ht="15" hidden="false" customHeight="false" outlineLevel="0" collapsed="false">
      <c r="A41" s="0" t="s">
        <v>141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142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143</v>
      </c>
      <c r="B43" s="0" t="n">
        <f aca="false">(B37+B41+B42)/Assumptions!$B$3*Assumptions!$B$10</f>
        <v>158.000526872917</v>
      </c>
    </row>
    <row r="45" customFormat="false" ht="15" hidden="false" customHeight="false" outlineLevel="0" collapsed="false">
      <c r="A45" s="0" t="s">
        <v>84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144</v>
      </c>
      <c r="B46" s="0" t="n">
        <f aca="false">MAX(0,MIN(IF(B45&gt;B28,B31*(1+B28/100)/((B45-B28)/100),B31*B29),B31*B29))</f>
        <v>41430.9286293005</v>
      </c>
    </row>
    <row r="47" customFormat="false" ht="15" hidden="false" customHeight="false" outlineLevel="0" collapsed="false">
      <c r="A47" s="0" t="s">
        <v>145</v>
      </c>
      <c r="B47" s="0" t="n">
        <f aca="false">(SUMPRODUCT(C19:L19/(1+B45/100)^C4:L4)+B46/(1+B45/100)^L4+Assumptions!$B$5-Assumptions!$B$4)/Assumptions!$B$3*Assumptions!$B$10</f>
        <v>43.700787380779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148</v>
      </c>
    </row>
    <row r="3" customFormat="false" ht="15" hidden="false" customHeight="false" outlineLevel="0" collapsed="false">
      <c r="A3" s="2" t="s">
        <v>149</v>
      </c>
      <c r="B3" s="2" t="s">
        <v>150</v>
      </c>
      <c r="C3" s="2" t="s">
        <v>140</v>
      </c>
      <c r="D3" s="2" t="s">
        <v>151</v>
      </c>
      <c r="E3" s="2" t="s">
        <v>143</v>
      </c>
      <c r="F3" s="2" t="s">
        <v>152</v>
      </c>
    </row>
    <row r="4" customFormat="false" ht="15" hidden="false" customHeight="false" outlineLevel="0" collapsed="false">
      <c r="A4" s="0" t="s">
        <v>153</v>
      </c>
      <c r="B4" s="4" t="n">
        <f aca="false">DCF_Bear!$B$38</f>
        <v>55.9973677698049</v>
      </c>
      <c r="C4" s="0" t="n">
        <f aca="false">B4/Assumptions!$B$2-1</f>
        <v>-0.609229813190475</v>
      </c>
      <c r="D4" s="4" t="n">
        <f aca="false">Assumptions!$B$24</f>
        <v>0.25</v>
      </c>
      <c r="E4" s="4" t="n">
        <f aca="false">DCF_Bear!$B$43</f>
        <v>55.9973677698049</v>
      </c>
      <c r="F4" s="4" t="n">
        <f aca="false">DCF_Bear!$B$47</f>
        <v>14.7240895597998</v>
      </c>
    </row>
    <row r="5" customFormat="false" ht="15" hidden="false" customHeight="false" outlineLevel="0" collapsed="false">
      <c r="A5" s="0" t="s">
        <v>154</v>
      </c>
      <c r="B5" s="4" t="n">
        <f aca="false">DCF_Base!$B$38</f>
        <v>111.389476354328</v>
      </c>
      <c r="C5" s="0" t="n">
        <f aca="false">B5/Assumptions!$B$2-1</f>
        <v>-0.222683347143559</v>
      </c>
      <c r="D5" s="4" t="n">
        <f aca="false">Assumptions!$B$38</f>
        <v>0.5</v>
      </c>
      <c r="E5" s="4" t="n">
        <f aca="false">DCF_Base!$B$43</f>
        <v>111.389476354328</v>
      </c>
      <c r="F5" s="4" t="n">
        <f aca="false">DCF_Base!$B$47</f>
        <v>30.5725984511582</v>
      </c>
    </row>
    <row r="6" customFormat="false" ht="15" hidden="false" customHeight="false" outlineLevel="0" collapsed="false">
      <c r="A6" s="0" t="s">
        <v>155</v>
      </c>
      <c r="B6" s="4" t="n">
        <f aca="false">DCF_Bull!$B$38</f>
        <v>158.000526872917</v>
      </c>
      <c r="C6" s="0" t="n">
        <f aca="false">B6/Assumptions!$B$2-1</f>
        <v>0.102585672525592</v>
      </c>
      <c r="D6" s="4" t="n">
        <f aca="false">Assumptions!$B$52</f>
        <v>0.25</v>
      </c>
      <c r="E6" s="4" t="n">
        <f aca="false">DCF_Bull!$B$43</f>
        <v>158.000526872917</v>
      </c>
      <c r="F6" s="4" t="n">
        <f aca="false">DCF_Bull!$B$47</f>
        <v>43.700787380779</v>
      </c>
    </row>
    <row r="8" customFormat="false" ht="15" hidden="false" customHeight="false" outlineLevel="0" collapsed="false">
      <c r="A8" s="0" t="s">
        <v>156</v>
      </c>
      <c r="B8" s="0" t="n">
        <f aca="false">SUMPRODUCT(B4:B6,D4:D6)</f>
        <v>109.194211837845</v>
      </c>
    </row>
    <row r="9" customFormat="false" ht="15" hidden="false" customHeight="false" outlineLevel="0" collapsed="false">
      <c r="A9" s="0" t="s">
        <v>157</v>
      </c>
      <c r="B9" s="0" t="n">
        <f aca="false">SUMPRODUCT(E4:E6,D4:D6)</f>
        <v>109.194211837845</v>
      </c>
    </row>
    <row r="10" customFormat="false" ht="15" hidden="false" customHeight="false" outlineLevel="0" collapsed="false">
      <c r="A10" s="0" t="s">
        <v>158</v>
      </c>
      <c r="B10" s="0" t="n">
        <f aca="false">1-Assumptions!$B$2/B8</f>
        <v>-0.312340623079941</v>
      </c>
    </row>
    <row r="11" customFormat="false" ht="15" hidden="false" customHeight="false" outlineLevel="0" collapsed="false">
      <c r="A11" s="0" t="s">
        <v>159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160</v>
      </c>
      <c r="B12" s="0" t="n">
        <f aca="false">SUMPRODUCT(F4:F6,D4:D6)</f>
        <v>29.8925184607238</v>
      </c>
    </row>
    <row r="14" customFormat="false" ht="15" hidden="false" customHeight="false" outlineLevel="0" collapsed="false">
      <c r="A14" s="2" t="s">
        <v>161</v>
      </c>
      <c r="C14" s="0" t="s">
        <v>162</v>
      </c>
    </row>
    <row r="15" customFormat="false" ht="15" hidden="false" customHeight="false" outlineLevel="0" collapsed="false">
      <c r="A15" s="0" t="s">
        <v>163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111.389476354328</v>
      </c>
      <c r="C15" s="3" t="n">
        <v>7</v>
      </c>
    </row>
    <row r="16" customFormat="false" ht="15" hidden="false" customHeight="false" outlineLevel="0" collapsed="false">
      <c r="A16" s="0" t="s">
        <v>164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79.5862934389427</v>
      </c>
      <c r="C16" s="3" t="n">
        <v>9</v>
      </c>
    </row>
    <row r="17" customFormat="false" ht="15" hidden="false" customHeight="false" outlineLevel="0" collapsed="false">
      <c r="A17" s="0" t="s">
        <v>165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66.255453811545</v>
      </c>
      <c r="C17" s="3" t="n">
        <v>10</v>
      </c>
    </row>
    <row r="18" customFormat="false" ht="15" hidden="false" customHeight="false" outlineLevel="0" collapsed="false">
      <c r="A18" s="0" t="s">
        <v>166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55.9088567404415</v>
      </c>
      <c r="C18" s="3" t="n">
        <v>11</v>
      </c>
    </row>
    <row r="19" customFormat="false" ht="15" hidden="false" customHeight="false" outlineLevel="0" collapsed="false">
      <c r="A19" s="0" t="s">
        <v>167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47.6499273357403</v>
      </c>
      <c r="C19" s="3" t="n">
        <v>12</v>
      </c>
    </row>
    <row r="20" customFormat="false" ht="15" hidden="false" customHeight="false" outlineLevel="0" collapsed="false">
      <c r="A20" s="0" t="s">
        <v>168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30.5725984511582</v>
      </c>
      <c r="C20" s="3" t="n">
        <v>15</v>
      </c>
    </row>
    <row r="22" customFormat="false" ht="15" hidden="false" customHeight="false" outlineLevel="0" collapsed="false">
      <c r="A22" s="2" t="s">
        <v>169</v>
      </c>
    </row>
    <row r="23" customFormat="false" ht="15" hidden="false" customHeight="false" outlineLevel="0" collapsed="false">
      <c r="B23" s="3" t="n">
        <v>1</v>
      </c>
      <c r="C23" s="3" t="n">
        <v>1.5</v>
      </c>
      <c r="D23" s="3" t="n">
        <v>2</v>
      </c>
      <c r="E23" s="3" t="n">
        <v>2.5</v>
      </c>
      <c r="F23" s="3" t="n">
        <v>3</v>
      </c>
    </row>
    <row r="24" customFormat="false" ht="15" hidden="false" customHeight="false" outlineLevel="0" collapsed="false">
      <c r="A24" s="3" t="n">
        <v>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134.097085023164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134.097085023164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134.097085023164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134.097085023164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134.097085023164</v>
      </c>
    </row>
    <row r="25" customFormat="false" ht="15" hidden="false" customHeight="false" outlineLevel="0" collapsed="false">
      <c r="A25" s="3" t="n">
        <v>6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122.195520713436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122.195520713436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122.195520713436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122.195520713436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122.195520713436</v>
      </c>
    </row>
    <row r="26" customFormat="false" ht="15" hidden="false" customHeight="false" outlineLevel="0" collapsed="false">
      <c r="A26" s="3" t="n">
        <v>7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106.049544618125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111.389476354328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111.389476354328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111.389476354328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111.389476354328</v>
      </c>
    </row>
    <row r="27" customFormat="false" ht="15" hidden="false" customHeight="false" outlineLevel="0" collapsed="false">
      <c r="A27" s="3" t="n">
        <v>8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86.6716917832006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91.6213077126729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97.3958596303905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101.566369348742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101.566369348742</v>
      </c>
    </row>
    <row r="28" customFormat="false" ht="15" hidden="false" customHeight="false" outlineLevel="0" collapsed="false">
      <c r="A28" s="3" t="n">
        <v>9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72.1834223985151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75.6380955507147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79.5862934389427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84.1419063868982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89.4567881595129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2026-10-25T00:57:34Z</dcterms:created>
  <dc:creator>openpyxl</dc:creator>
  <dc:description/>
  <dc:language>en-NZ</dc:language>
  <cp:lastModifiedBy/>
  <dcterms:modified xsi:type="dcterms:W3CDTF">2026-10-25T00:57:34Z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