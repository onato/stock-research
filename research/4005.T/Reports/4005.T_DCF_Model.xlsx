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<sst xmlns="http://schemas.openxmlformats.org/spreadsheetml/2006/main" count="372" uniqueCount="175">
  <si>
    <t xml:space="preserve">Ticker</t>
  </si>
  <si>
    <t xml:space="preserve">4005.T</t>
  </si>
  <si>
    <t xml:space="preserve">Company</t>
  </si>
  <si>
    <t xml:space="preserve">Sumitomo Chemical Co., Ltd.</t>
  </si>
  <si>
    <t xml:space="preserve">Valuation date</t>
  </si>
  <si>
    <t xml:space="preserve">2026-10-31</t>
  </si>
  <si>
    <t xml:space="preserve">Current price</t>
  </si>
  <si>
    <t xml:space="preserve">Price as of</t>
  </si>
  <si>
    <t xml:space="preserve">2026-10-30T06:30:00Z regular TSE close (Friday); valuation date is the following Saturday</t>
  </si>
  <si>
    <t xml:space="preserve">Balance sheet date</t>
  </si>
  <si>
    <t xml:space="preserve">2026-03-31</t>
  </si>
  <si>
    <t xml:space="preserve">Model</t>
  </si>
  <si>
    <t xml:space="preserve">Consolidated owner-FCF DCF (engine route) with Sumitomo Pharma minority deducted at market value in the equity bridge</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</si>
  <si>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</si>
  <si>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</si>
  <si>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</si>
  <si>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</si>
  <si>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</si>
  <si>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</si>
  <si>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</si>
  <si>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</si>
  <si>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2026-10-30T22:47:48Z</t>
  </si>
  <si>
    <t xml:space="preserve">Drivers file</t>
  </si>
  <si>
    <t xml:space="preserve">4005.T_Drivers.json</t>
  </si>
  <si>
    <t xml:space="preserve">Convention</t>
  </si>
  <si>
    <t xml:space="preserve">Percents stored as percents; formulas divide by 100. Blue = input, green = link, black = formula.</t>
  </si>
  <si>
    <t xml:space="preserve">Methodology</t>
  </si>
  <si>
    <t xml:space="preserve">summary: Value the consolidated cash flows of a restructured, still-leveraged, still-cyclical chemicals group at a JPY cost of capital, deduct every claim ahead of SC shareholders exactly once (bonds and borrowings, IFRS 16 leases, the 54% of Sumitomo Pharma owned by the public at what the market pays for it, other minorities at book) and add back the investment securities whose dividends were excluded from the flows. Capping the terminal at 13x FCF (~5x EBITDA) means the model pays nothing for a re-rating of a company that has traded at 6-9x EBITDA for a decade; the probability weights, not the discount rate, carry the cyclicality. The reading is that the stock trades close to the probability-weighted value: the market is already pricing the recovery management has guided, and the 15% hurdle entry price sits well below the current price, as it does for any slow compounder discounted at 7%.
key_risks_to_valuation: Sumitomo Pharma's share price is the largest single swing factor outside the flows: the minority deduction is marked to 4506.T (52-week range 1,188-3,288 yen), and every 100 yen move is ~15 yen per SC share; Guidance rests on 92,000 yen/kl naphtha and 155 yen/USD; the petrochemical segment's 20bn guided core OI is the residual after feedstock pass-through, and Middle East supply risk is explicitly unquantified by management; Core operating income excludes restructuring cash costs (~1% of revenue in each of the last two years) and impairments; a base margin path 0.5pp below guidance is the only allowance made for their continuation; Leverage: net debt plus leases of ~1,037bn against guided EBITDA of 336bn; long-term borrowings in covenant conflict were reclassified to current at 31-Mar-2026 and the Sumitomo Pharma guarantees were only released in April 2026 -- a second earnings shock would hit equity holders disproportionately; The 20% haircut on 320bn of investment securities and the level-3 mark on Petro Rabigh Class B shares (99bn) are judgments; a 40% haircut would remove ~40 yen per share; The March-2026 balance sheet is seven months old; the June-2026 quarter has not been extracted, so net debt, NCI and working capital should be refreshed on the next update; Sumitomo Pharma deconsolidation: value-neutral in this bridge by construction, but it would change every reported consolidated metric the sanity check reads (revenue, EBITDA, net debt) and must be re-based if it happens</t>
  </si>
  <si>
    <t xml:space="preserve">Data sources</t>
  </si>
  <si>
    <t xml:space="preserve">price: Yahoo Finance chart API, regular TSE close at inputs.price_as_of; 52-week range 419.0-638.8 yen. Sumitomo Pharma (4506.T) from the same endpoint, same close, for the NCI mark
financials: research/4005.T/Reports/4005.T_Metrics.csv (CSV fiscal years labelled by end year); 4005.T_Annual_FY2025.txt (year ended 31-Mar-2026): balance sheet, Note 10 other financial assets, Note 19 bonds and borrowings, segment table with D&amp;A and capex by segment, core-OI-to-pretax reconciliation, IFRS 12 Sumitomo Pharma summarized financials, EPS note (diluted shares), Note 41 subsequent events (Sumitomo Pharma offering); 4005.T_Presentation_FY2025-Supplement.txt for FY2026 guidance by segment and segment capex/D&amp;A forecasts
qualitative: research/4005.T/Reports/4005.T_Analysis.json (2026-10-31)</t>
  </si>
  <si>
    <t xml:space="preserve">Scenario narrative: bear</t>
  </si>
  <si>
    <t xml:space="preserve">The guided FY1 is missed: the 92,000 yen/kl naphtha assumption proves too low or Middle East supply disruption (Singapore force majeure, March 2026) stretches into lost volume that cannot be passed through; a Y2-3 Asian petrochemical and memory/logic capex downcycle pushes the consolidated core EBITDA margin back to the 11-12% FY2019-21 band; Sumitomo Pharma's US pricing and the post-marketing conditions on Amchepry (full approval contingent on studies through FY2032) cap its contribution; and the equity-method and FX finance-expense swings that have hit the P&amp;L repeatedly recur. Revenue is flat for two years and then grows 1.5%. With net debt plus leases at ~3x guided EBITDA and a covenant breach on record (long-term borrowings reclassified to current at 31-Mar-2026), the bear case is not a solvency case but it is a case where SC shareholders see little of the group's cash. Terminal cap 11x, 0.5% growth.</t>
  </si>
  <si>
    <t xml:space="preserve">Scenario narrative: base</t>
  </si>
  <si>
    <t xml:space="preserve">The FY2023 crisis is behind the company: the 10% headcount cut, the Petro Rabigh and Asian-pharma disposals and the Keiyo/Singapore rationalisations have shrunk the commodity base, and FY1 guidance (sales 2,360bn, core OI 215bn, net income 70bn at 155 yen/USD and 92,000 yen/kl naphtha) is delivered within ~0.5pp of margin. Sumitomo Pharma's US franchise (Orgovyx, Gemtesa, Rethymic) grows ~20% in Y1 and mid-single digits after; Agro &amp; Life Solutions scales biorationals and the first of the three in-house actives; ICT &amp; Mobility rides the AI-driven photoresist and high-purity chemicals cycle with the AUECC bolt-on. Core EBITDA margin rises from 13.7% to 14.5% and stays there -- one point above the ex-crisis mid-cycle, reflecting the smaller petrochemical weight, not a structural re-rating. The cash tax rate normalises as NOLs are consumed, capex runs modestly above D&amp;A, and the terminal value is capped at 13x FCF (~5.3x EBITDA). Risk is carried in the 30% bear weight and the flows, not in a WACC premium.</t>
  </si>
  <si>
    <t xml:space="preserve">Scenario narrative: bull</t>
  </si>
  <si>
    <t xml:space="preserve">All three growth engines land together: Amchepry (iPS-cell Parkinson's therapy, conditional approval March 2026) converts to the &gt;100bn-yen franchise management describes, the INDIFLIN/Rapidicil/Pavecto agro actives ramp toward their tens-of-billions targets by the early 2030s, and the High-NA EUV / advanced-packaging materials cycle persists so ICT &amp; Mobility compounds high-single digits. Naphtha relief and the Prime Polymer integration lift Essential &amp; Green Materials above its 20bn guidance. Consolidated core EBITDA margin returns to the ~16% FY2018 peak on a far better mix, revenue compounds 5-6% in Y2-4, and the exit is a 15x FCF cap with 1.5% terminal growth. Capex is held higher (6%) because this outcome has to be paid for.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</si>
  <si>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</si>
  <si>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</si>
  <si>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</si>
  <si>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</si>
  <si>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</si>
  <si>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</si>
  <si>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</si>
  <si>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</si>
  <si>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</si>
  <si>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</si>
  <si>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</si>
  <si>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</si>
  <si>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</si>
  <si>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</si>
  <si>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</si>
  <si>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</si>
  <si>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</si>
  <si>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</si>
  <si>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</si>
  <si>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</si>
  <si>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</si>
  <si>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</si>
  <si>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</si>
  <si>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</si>
  <si>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</si>
  <si>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</si>
  <si>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</si>
  <si>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CoreOperatingIncome</t>
  </si>
  <si>
    <t xml:space="preserve">DividendsPaidToNCI</t>
  </si>
  <si>
    <t xml:space="preserve">LeasePrincipalRepaid</t>
  </si>
  <si>
    <t xml:space="preserve">NonControllingInterestProfit</t>
  </si>
  <si>
    <t xml:space="preserve">NonControllingInterests</t>
  </si>
  <si>
    <t xml:space="preserve">SegmentOperatingProfitOthers</t>
  </si>
  <si>
    <t xml:space="preserve">SegmentRevenueOthers</t>
  </si>
  <si>
    <t xml:space="preserve">SegmentRevenuePharmaceuticals</t>
  </si>
  <si>
    <t xml:space="preserve">TotalEquityInclNCI</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</si>
  <si>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</si>
  <si>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</si>
  <si>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</si>
  <si>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</si>
  <si>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</si>
  <si>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</si>
  <si>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</si>
  <si>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</si>
  <si>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</si>
  <si>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</si>
  <si>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</si>
  <si>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</si>
  <si>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</si>
  <si>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</si>
  <si>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</si>
  <si>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</si>
  <si>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</si>
  <si>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</si>
  <si>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</si>
  <si>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</si>
  <si>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</si>
  <si>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</si>
  <si>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</si>
  <si>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</si>
  <si>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</si>
  <si>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</si>
  <si>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</si>
  <si>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</si>
  <si>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</si>
  <si>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</si>
  <si>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</si>
  <si>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</si>
  <si>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</si>
  <si>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</si>
  <si>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</si>
  <si>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</si>
  <si>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</si>
  <si>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</si>
  <si>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</si>
  <si>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</si>
  <si>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</si>
  <si>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</si>
  <si>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</si>
  <si>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</si>
  <si>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</si>
  <si>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</si>
  <si>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</si>
  <si>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</si>
  <si>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4005.T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</si>
  <si>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</si>
  <si>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</si>
  <si>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</si>
  <si>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</si>
  <si>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</si>
  <si>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</si>
  <si>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</si>
  <si>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</si>
  <si>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</si>
  <si>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</si>
  <si>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</si>
  <si>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</si>
  <si>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</si>
  <si>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</si>
  <si>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</si>
  <si>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</si>
  <si>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</si>
  <si>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</si>
  <si>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</si>
  <si>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</si>
  <si>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</si>
  <si>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</si>
  <si>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</si>
  <si>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</si>
  <si>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</si>
  <si>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</si>
  <si>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</si>
  <si>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</si>
  <si>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</si>
  <si>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</si>
  <si>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4005.T owner-FCF component DCF: base case (millions, JPY)</t>
  </si>
  <si>
    <t xml:space="preserve">4005.T owner-FCF component DCF: bull case (millions, JPY)</t>
  </si>
  <si>
    <t xml:space="preserve">4005.T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</si>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</sst>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row>
    <row r="2" customFormat="false" ht="15" hidden="false" customHeight="false" outlineLevel="0" collapsed="false">
      <c r="A2" s="0" t="s">
        <v>72</v>
      </c>
      <c r="B2" s="0" t="n">
        <v>2101764</v>
      </c>
      <c r="C2" s="0" t="n">
        <v>1404801</v>
      </c>
      <c r="D2" s="0" t="n">
        <v>696963</v>
      </c>
      <c r="E2" s="0" t="n">
        <v>33.2</v>
      </c>
      <c r="F2" s="0" t="n">
        <v>164446</v>
      </c>
      <c r="G2" s="0" t="n">
        <v>7.8</v>
      </c>
      <c r="H2" s="0" t="n">
        <v>272540</v>
      </c>
      <c r="I2" s="0" t="n">
        <v>81451</v>
      </c>
      <c r="J2" s="0" t="n">
        <v>3.9</v>
      </c>
      <c r="K2" s="0" t="n">
        <v>49.84</v>
      </c>
      <c r="L2" s="0" t="n">
        <v>261172</v>
      </c>
      <c r="M2" s="0" t="n">
        <v>89765</v>
      </c>
      <c r="N2" s="0" t="n">
        <v>171407</v>
      </c>
      <c r="O2" s="0" t="n">
        <v>766874</v>
      </c>
      <c r="P2" s="0" t="n">
        <v>2662150</v>
      </c>
      <c r="Q2" s="0" t="n">
        <v>1571374</v>
      </c>
      <c r="R2" s="0" t="n">
        <v>831505</v>
      </c>
      <c r="S2" s="0" t="n">
        <v>215592</v>
      </c>
      <c r="T2" s="0" t="n">
        <v>1634.2</v>
      </c>
      <c r="AA2" s="0" t="s">
        <v>17</v>
      </c>
      <c r="AB2" s="0" t="s">
        <v>14</v>
      </c>
      <c r="AD2" s="0" t="n">
        <v>17898</v>
      </c>
      <c r="AE2" s="0" t="n">
        <v>992</v>
      </c>
      <c r="AF2" s="0" t="n">
        <v>30947</v>
      </c>
      <c r="AG2" s="0" t="n">
        <v>323902</v>
      </c>
    </row>
    <row r="3" customFormat="false" ht="15" hidden="false" customHeight="false" outlineLevel="0" collapsed="false">
      <c r="A3" s="0" t="s">
        <v>73</v>
      </c>
      <c r="B3" s="0" t="n">
        <v>1954283</v>
      </c>
      <c r="C3" s="0" t="n">
        <v>1285764</v>
      </c>
      <c r="D3" s="0" t="n">
        <v>668519</v>
      </c>
      <c r="E3" s="0" t="n">
        <v>34.2</v>
      </c>
      <c r="F3" s="0" t="n">
        <v>134336</v>
      </c>
      <c r="G3" s="0" t="n">
        <v>6.9</v>
      </c>
      <c r="H3" s="0" t="n">
        <v>236473</v>
      </c>
      <c r="I3" s="0" t="n">
        <v>85482</v>
      </c>
      <c r="J3" s="0" t="n">
        <v>4.4</v>
      </c>
      <c r="K3" s="0" t="n">
        <v>52.31</v>
      </c>
      <c r="L3" s="0" t="n">
        <v>187446</v>
      </c>
      <c r="M3" s="0" t="n">
        <v>131755</v>
      </c>
      <c r="N3" s="0" t="n">
        <v>55691</v>
      </c>
      <c r="O3" s="0" t="n">
        <v>820318</v>
      </c>
      <c r="P3" s="0" t="n">
        <v>2862052</v>
      </c>
      <c r="Q3" s="0" t="n">
        <v>1699526</v>
      </c>
      <c r="R3" s="0" t="n">
        <v>875252</v>
      </c>
      <c r="S3" s="0" t="n">
        <v>193289</v>
      </c>
      <c r="T3" s="0" t="n">
        <v>1634.1</v>
      </c>
      <c r="AA3" s="0" t="s">
        <v>17</v>
      </c>
      <c r="AB3" s="0" t="s">
        <v>14</v>
      </c>
      <c r="AC3" s="0" t="n">
        <v>184547</v>
      </c>
      <c r="AD3" s="0" t="n">
        <v>17538</v>
      </c>
      <c r="AE3" s="0" t="n">
        <v>1095</v>
      </c>
      <c r="AF3" s="0" t="n">
        <v>31571</v>
      </c>
      <c r="AG3" s="0" t="n">
        <v>342208</v>
      </c>
      <c r="AH3" s="0" t="n">
        <v>10146</v>
      </c>
      <c r="AI3" s="0" t="n">
        <v>54743</v>
      </c>
      <c r="AJ3" s="0" t="n">
        <v>440974</v>
      </c>
    </row>
    <row r="4" customFormat="false" ht="15" hidden="false" customHeight="false" outlineLevel="0" collapsed="false">
      <c r="A4" s="0" t="s">
        <v>74</v>
      </c>
      <c r="B4" s="0" t="n">
        <v>2190509</v>
      </c>
      <c r="C4" s="0" t="n">
        <v>1440635</v>
      </c>
      <c r="D4" s="0" t="n">
        <v>749874</v>
      </c>
      <c r="E4" s="0" t="n">
        <v>34.2</v>
      </c>
      <c r="F4" s="0" t="n">
        <v>250923</v>
      </c>
      <c r="G4" s="0" t="n">
        <v>11.5</v>
      </c>
      <c r="H4" s="0" t="n">
        <v>358026</v>
      </c>
      <c r="I4" s="0" t="n">
        <v>133768</v>
      </c>
      <c r="J4" s="0" t="n">
        <v>6.1</v>
      </c>
      <c r="K4" s="0" t="n">
        <v>81.81</v>
      </c>
      <c r="L4" s="0" t="n">
        <v>293250</v>
      </c>
      <c r="M4" s="0" t="n">
        <v>149207</v>
      </c>
      <c r="N4" s="0" t="n">
        <v>144043</v>
      </c>
      <c r="O4" s="0" t="n">
        <v>927141</v>
      </c>
      <c r="P4" s="0" t="n">
        <v>3068685</v>
      </c>
      <c r="Q4" s="0" t="n">
        <v>1816471</v>
      </c>
      <c r="R4" s="0" t="n">
        <v>842161</v>
      </c>
      <c r="S4" s="0" t="n">
        <v>231929</v>
      </c>
      <c r="T4" s="0" t="n">
        <v>1635.1</v>
      </c>
      <c r="AA4" s="0" t="s">
        <v>17</v>
      </c>
      <c r="AB4" s="0" t="s">
        <v>14</v>
      </c>
      <c r="AC4" s="0" t="n">
        <v>262694</v>
      </c>
      <c r="AD4" s="0" t="n">
        <v>15569</v>
      </c>
      <c r="AE4" s="0" t="n">
        <v>3281</v>
      </c>
      <c r="AF4" s="0" t="n">
        <v>44390</v>
      </c>
      <c r="AG4" s="0" t="n">
        <v>325073</v>
      </c>
      <c r="AH4" s="0" t="n">
        <v>11052</v>
      </c>
      <c r="AI4" s="0" t="n">
        <v>56771</v>
      </c>
      <c r="AJ4" s="0" t="n">
        <v>500227</v>
      </c>
    </row>
    <row r="5" customFormat="false" ht="15" hidden="false" customHeight="false" outlineLevel="0" collapsed="false">
      <c r="A5" s="0" t="s">
        <v>75</v>
      </c>
      <c r="B5" s="0" t="n">
        <v>2318572</v>
      </c>
      <c r="C5" s="0" t="n">
        <v>1576299</v>
      </c>
      <c r="D5" s="0" t="n">
        <v>742273</v>
      </c>
      <c r="E5" s="0" t="n">
        <v>32</v>
      </c>
      <c r="F5" s="0" t="n">
        <v>182972</v>
      </c>
      <c r="G5" s="0" t="n">
        <v>7.9</v>
      </c>
      <c r="H5" s="0" t="n">
        <v>295467</v>
      </c>
      <c r="I5" s="0" t="n">
        <v>117992</v>
      </c>
      <c r="J5" s="0" t="n">
        <v>5.1</v>
      </c>
      <c r="K5" s="0" t="n">
        <v>72.17</v>
      </c>
      <c r="L5" s="0" t="n">
        <v>208143</v>
      </c>
      <c r="M5" s="0" t="n">
        <v>174816</v>
      </c>
      <c r="N5" s="0" t="n">
        <v>33327</v>
      </c>
      <c r="O5" s="0" t="n">
        <v>998702</v>
      </c>
      <c r="P5" s="0" t="n">
        <v>3171618</v>
      </c>
      <c r="Q5" s="0" t="n">
        <v>1819732</v>
      </c>
      <c r="R5" s="0" t="n">
        <v>839530</v>
      </c>
      <c r="S5" s="0" t="n">
        <v>201678</v>
      </c>
      <c r="T5" s="0" t="n">
        <v>1634.9</v>
      </c>
      <c r="AA5" s="0" t="s">
        <v>17</v>
      </c>
      <c r="AB5" s="0" t="s">
        <v>14</v>
      </c>
      <c r="AC5" s="0" t="n">
        <v>204252</v>
      </c>
      <c r="AD5" s="0" t="n">
        <v>13521</v>
      </c>
      <c r="AE5" s="0" t="n">
        <v>3175</v>
      </c>
      <c r="AF5" s="0" t="n">
        <v>34474</v>
      </c>
      <c r="AG5" s="0" t="n">
        <v>353184</v>
      </c>
      <c r="AH5" s="0" t="n">
        <v>9422</v>
      </c>
      <c r="AI5" s="0" t="n">
        <v>51130</v>
      </c>
      <c r="AJ5" s="0" t="n">
        <v>492130</v>
      </c>
    </row>
    <row r="6" customFormat="false" ht="15" hidden="false" customHeight="false" outlineLevel="0" collapsed="false">
      <c r="A6" s="0" t="s">
        <v>76</v>
      </c>
      <c r="B6" s="0" t="n">
        <v>2225804</v>
      </c>
      <c r="C6" s="0" t="n">
        <v>1519047</v>
      </c>
      <c r="D6" s="0" t="n">
        <v>706757</v>
      </c>
      <c r="E6" s="0" t="n">
        <v>31.8</v>
      </c>
      <c r="F6" s="0" t="n">
        <v>137517</v>
      </c>
      <c r="G6" s="0" t="n">
        <v>6.2</v>
      </c>
      <c r="H6" s="0" t="n">
        <v>269258</v>
      </c>
      <c r="I6" s="0" t="n">
        <v>30926</v>
      </c>
      <c r="J6" s="0" t="n">
        <v>1.4</v>
      </c>
      <c r="K6" s="0" t="n">
        <v>18.91</v>
      </c>
      <c r="L6" s="0" t="n">
        <v>106012</v>
      </c>
      <c r="M6" s="0" t="n">
        <v>120449</v>
      </c>
      <c r="N6" s="0" t="n">
        <v>-14437</v>
      </c>
      <c r="O6" s="0" t="n">
        <v>922342</v>
      </c>
      <c r="P6" s="0" t="n">
        <v>3650332</v>
      </c>
      <c r="Q6" s="0" t="n">
        <v>2261495</v>
      </c>
      <c r="R6" s="0" t="n">
        <v>1304666</v>
      </c>
      <c r="S6" s="0" t="n">
        <v>180648</v>
      </c>
      <c r="T6" s="0" t="n">
        <v>1635.4</v>
      </c>
      <c r="AA6" s="0" t="s">
        <v>17</v>
      </c>
      <c r="AB6" s="0" t="s">
        <v>14</v>
      </c>
      <c r="AC6" s="0" t="n">
        <v>132652</v>
      </c>
      <c r="AD6" s="0" t="n">
        <v>16717</v>
      </c>
      <c r="AE6" s="0" t="n">
        <v>14778</v>
      </c>
      <c r="AF6" s="0" t="n">
        <v>23473</v>
      </c>
      <c r="AG6" s="0" t="n">
        <v>466495</v>
      </c>
      <c r="AH6" s="0" t="n">
        <v>8770</v>
      </c>
      <c r="AI6" s="0" t="n">
        <v>49459</v>
      </c>
      <c r="AJ6" s="0" t="n">
        <v>515845</v>
      </c>
    </row>
    <row r="7" customFormat="false" ht="15" hidden="false" customHeight="false" outlineLevel="0" collapsed="false">
      <c r="A7" s="0" t="s">
        <v>77</v>
      </c>
      <c r="B7" s="0" t="n">
        <v>2286978</v>
      </c>
      <c r="C7" s="0" t="n">
        <v>1515782</v>
      </c>
      <c r="D7" s="0" t="n">
        <v>771196</v>
      </c>
      <c r="E7" s="0" t="n">
        <v>33.7</v>
      </c>
      <c r="F7" s="0" t="n">
        <v>137115</v>
      </c>
      <c r="G7" s="0" t="n">
        <v>6</v>
      </c>
      <c r="H7" s="0" t="n">
        <v>273132</v>
      </c>
      <c r="I7" s="0" t="n">
        <v>46043</v>
      </c>
      <c r="J7" s="0" t="n">
        <v>2</v>
      </c>
      <c r="K7" s="0" t="n">
        <v>28.16</v>
      </c>
      <c r="L7" s="0" t="n">
        <v>374464</v>
      </c>
      <c r="M7" s="0" t="n">
        <v>120812</v>
      </c>
      <c r="N7" s="0" t="n">
        <v>253652</v>
      </c>
      <c r="O7" s="0" t="n">
        <v>1019230</v>
      </c>
      <c r="P7" s="0" t="n">
        <v>3990254</v>
      </c>
      <c r="Q7" s="0" t="n">
        <v>2508135</v>
      </c>
      <c r="R7" s="0" t="n">
        <v>1351066</v>
      </c>
      <c r="S7" s="0" t="n">
        <v>360918</v>
      </c>
      <c r="T7" s="0" t="n">
        <v>1635</v>
      </c>
      <c r="AA7" s="0" t="s">
        <v>17</v>
      </c>
      <c r="AB7" s="0" t="s">
        <v>14</v>
      </c>
      <c r="AC7" s="0" t="n">
        <v>147615</v>
      </c>
      <c r="AD7" s="0" t="n">
        <v>16775</v>
      </c>
      <c r="AE7" s="0" t="n">
        <v>15149</v>
      </c>
      <c r="AF7" s="0" t="n">
        <v>22031</v>
      </c>
      <c r="AG7" s="0" t="n">
        <v>462889</v>
      </c>
      <c r="AH7" s="0" t="n">
        <v>12752</v>
      </c>
      <c r="AI7" s="0" t="n">
        <v>51126</v>
      </c>
      <c r="AJ7" s="0" t="n">
        <v>546450</v>
      </c>
    </row>
    <row r="8" customFormat="false" ht="15" hidden="false" customHeight="false" outlineLevel="0" collapsed="false">
      <c r="A8" s="0" t="s">
        <v>78</v>
      </c>
      <c r="B8" s="0" t="n">
        <v>2765321</v>
      </c>
      <c r="C8" s="0" t="n">
        <v>1891458</v>
      </c>
      <c r="D8" s="0" t="n">
        <v>873863</v>
      </c>
      <c r="E8" s="0" t="n">
        <v>31.6</v>
      </c>
      <c r="F8" s="0" t="n">
        <v>215003</v>
      </c>
      <c r="G8" s="0" t="n">
        <v>7.8</v>
      </c>
      <c r="H8" s="0" t="n">
        <v>371670</v>
      </c>
      <c r="I8" s="0" t="n">
        <v>162130</v>
      </c>
      <c r="J8" s="0" t="n">
        <v>5.9</v>
      </c>
      <c r="K8" s="0" t="n">
        <v>99.16</v>
      </c>
      <c r="L8" s="0" t="n">
        <v>171715</v>
      </c>
      <c r="M8" s="0" t="n">
        <v>107467</v>
      </c>
      <c r="N8" s="0" t="n">
        <v>64248</v>
      </c>
      <c r="O8" s="0" t="n">
        <v>1218101</v>
      </c>
      <c r="P8" s="0" t="n">
        <v>4308151</v>
      </c>
      <c r="Q8" s="0" t="n">
        <v>2606174</v>
      </c>
      <c r="R8" s="0" t="n">
        <v>1350470</v>
      </c>
      <c r="S8" s="0" t="n">
        <v>365429</v>
      </c>
      <c r="T8" s="0" t="n">
        <v>1635</v>
      </c>
      <c r="AA8" s="0" t="s">
        <v>17</v>
      </c>
      <c r="AB8" s="0" t="s">
        <v>14</v>
      </c>
      <c r="AC8" s="0" t="n">
        <v>234779</v>
      </c>
      <c r="AD8" s="0" t="n">
        <v>11195</v>
      </c>
      <c r="AE8" s="0" t="n">
        <v>15984</v>
      </c>
      <c r="AF8" s="0" t="n">
        <v>24307</v>
      </c>
      <c r="AG8" s="0" t="n">
        <v>483876</v>
      </c>
      <c r="AH8" s="0" t="n">
        <v>15784</v>
      </c>
      <c r="AI8" s="0" t="n">
        <v>67195</v>
      </c>
      <c r="AJ8" s="0" t="n">
        <v>591709</v>
      </c>
    </row>
    <row r="9" customFormat="false" ht="15" hidden="false" customHeight="false" outlineLevel="0" collapsed="false">
      <c r="A9" s="0" t="s">
        <v>79</v>
      </c>
      <c r="B9" s="0" t="n">
        <v>2895283</v>
      </c>
      <c r="C9" s="0" t="n">
        <v>2074357</v>
      </c>
      <c r="D9" s="0" t="n">
        <v>820926</v>
      </c>
      <c r="E9" s="0" t="n">
        <v>28.4</v>
      </c>
      <c r="F9" s="0" t="n">
        <v>-30984</v>
      </c>
      <c r="G9" s="0" t="n">
        <v>-1.1</v>
      </c>
      <c r="H9" s="0" t="n">
        <v>136973</v>
      </c>
      <c r="I9" s="0" t="n">
        <v>6987</v>
      </c>
      <c r="J9" s="0" t="n">
        <v>0.2</v>
      </c>
      <c r="K9" s="0" t="n">
        <v>4.27</v>
      </c>
      <c r="L9" s="0" t="n">
        <v>111621</v>
      </c>
      <c r="M9" s="0" t="n">
        <v>143581</v>
      </c>
      <c r="N9" s="0" t="n">
        <v>-31960</v>
      </c>
      <c r="O9" s="0" t="n">
        <v>1171192</v>
      </c>
      <c r="P9" s="0" t="n">
        <v>4165503</v>
      </c>
      <c r="Q9" s="0" t="n">
        <v>2676314</v>
      </c>
      <c r="R9" s="0" t="n">
        <v>1461366</v>
      </c>
      <c r="S9" s="0" t="n">
        <v>305844</v>
      </c>
      <c r="T9" s="0" t="n">
        <v>1636.3</v>
      </c>
      <c r="AA9" s="0" t="s">
        <v>17</v>
      </c>
      <c r="AB9" s="0" t="s">
        <v>14</v>
      </c>
      <c r="AC9" s="0" t="n">
        <v>92752</v>
      </c>
      <c r="AD9" s="0" t="n">
        <v>13982</v>
      </c>
      <c r="AE9" s="0" t="n">
        <v>16668</v>
      </c>
      <c r="AF9" s="0" t="n">
        <v>-53852</v>
      </c>
      <c r="AG9" s="0" t="n">
        <v>317997</v>
      </c>
      <c r="AH9" s="0" t="n">
        <v>10405</v>
      </c>
      <c r="AI9" s="0" t="n">
        <v>85425</v>
      </c>
      <c r="AJ9" s="0" t="n">
        <v>584873</v>
      </c>
    </row>
    <row r="10" customFormat="false" ht="15" hidden="false" customHeight="false" outlineLevel="0" collapsed="false">
      <c r="A10" s="0" t="s">
        <v>80</v>
      </c>
      <c r="B10" s="0" t="n">
        <v>2446893</v>
      </c>
      <c r="C10" s="0" t="n">
        <v>1947198</v>
      </c>
      <c r="D10" s="0" t="n">
        <v>499695</v>
      </c>
      <c r="E10" s="0" t="n">
        <v>20.4</v>
      </c>
      <c r="F10" s="0" t="n">
        <v>-488826</v>
      </c>
      <c r="G10" s="0" t="n">
        <v>-20</v>
      </c>
      <c r="H10" s="0" t="n">
        <v>-331304</v>
      </c>
      <c r="I10" s="0" t="n">
        <v>-311838</v>
      </c>
      <c r="J10" s="0" t="n">
        <v>-12.7</v>
      </c>
      <c r="K10" s="0" t="n">
        <v>-190.69</v>
      </c>
      <c r="L10" s="0" t="n">
        <v>-51317</v>
      </c>
      <c r="M10" s="0" t="n">
        <v>152873</v>
      </c>
      <c r="N10" s="0" t="n">
        <v>-204190</v>
      </c>
      <c r="O10" s="0" t="n">
        <v>965753</v>
      </c>
      <c r="P10" s="0" t="n">
        <v>3934818</v>
      </c>
      <c r="Q10" s="0" t="n">
        <v>2770452</v>
      </c>
      <c r="R10" s="0" t="n">
        <v>1563486</v>
      </c>
      <c r="S10" s="0" t="n">
        <v>217449</v>
      </c>
      <c r="T10" s="0" t="n">
        <v>1635.3</v>
      </c>
      <c r="AA10" s="0" t="s">
        <v>17</v>
      </c>
      <c r="AB10" s="0" t="s">
        <v>14</v>
      </c>
      <c r="AC10" s="0" t="n">
        <v>-149049</v>
      </c>
      <c r="AD10" s="0" t="n">
        <v>5965</v>
      </c>
      <c r="AE10" s="0" t="n">
        <v>18619</v>
      </c>
      <c r="AF10" s="0" t="n">
        <v>-153611</v>
      </c>
      <c r="AG10" s="0" t="n">
        <v>198613</v>
      </c>
      <c r="AH10" s="0" t="n">
        <v>8076</v>
      </c>
      <c r="AI10" s="0" t="n">
        <v>69799</v>
      </c>
      <c r="AJ10" s="0" t="n">
        <v>342736</v>
      </c>
    </row>
    <row r="11" customFormat="false" ht="15" hidden="false" customHeight="false" outlineLevel="0" collapsed="false">
      <c r="A11" s="0" t="s">
        <v>81</v>
      </c>
      <c r="B11" s="0" t="n">
        <v>2606281</v>
      </c>
      <c r="C11" s="0" t="n">
        <v>1880805</v>
      </c>
      <c r="D11" s="0" t="n">
        <v>725476</v>
      </c>
      <c r="E11" s="0" t="n">
        <v>27.8</v>
      </c>
      <c r="F11" s="0" t="n">
        <v>193033</v>
      </c>
      <c r="G11" s="0" t="n">
        <v>7.4</v>
      </c>
      <c r="H11" s="0" t="n">
        <v>324630</v>
      </c>
      <c r="I11" s="0" t="n">
        <v>38591</v>
      </c>
      <c r="J11" s="0" t="n">
        <v>1.5</v>
      </c>
      <c r="K11" s="0" t="n">
        <v>23.59</v>
      </c>
      <c r="L11" s="0" t="n">
        <v>233027</v>
      </c>
      <c r="M11" s="0" t="n">
        <v>130465</v>
      </c>
      <c r="N11" s="0" t="n">
        <v>102562</v>
      </c>
      <c r="O11" s="0" t="n">
        <v>900790</v>
      </c>
      <c r="P11" s="0" t="n">
        <v>3439784</v>
      </c>
      <c r="Q11" s="0" t="n">
        <v>2365369</v>
      </c>
      <c r="R11" s="0" t="n">
        <v>1286128</v>
      </c>
      <c r="S11" s="0" t="n">
        <v>209838</v>
      </c>
      <c r="T11" s="0" t="n">
        <v>1635.9</v>
      </c>
      <c r="AA11" s="0" t="s">
        <v>17</v>
      </c>
      <c r="AB11" s="0" t="s">
        <v>14</v>
      </c>
      <c r="AC11" s="0" t="n">
        <v>140519</v>
      </c>
      <c r="AD11" s="0" t="n">
        <v>11698</v>
      </c>
      <c r="AE11" s="0" t="n">
        <v>19201</v>
      </c>
      <c r="AF11" s="0" t="n">
        <v>4097</v>
      </c>
      <c r="AG11" s="0" t="n">
        <v>173625</v>
      </c>
      <c r="AH11" s="0" t="n">
        <v>66855</v>
      </c>
      <c r="AI11" s="0" t="n">
        <v>99890</v>
      </c>
    </row>
    <row r="12" customFormat="false" ht="15" hidden="false" customHeight="false" outlineLevel="0" collapsed="false">
      <c r="A12" s="0" t="s">
        <v>82</v>
      </c>
      <c r="B12" s="0" t="n">
        <v>2328515</v>
      </c>
      <c r="C12" s="0" t="n">
        <v>1660247</v>
      </c>
      <c r="D12" s="0" t="n">
        <v>668268</v>
      </c>
      <c r="E12" s="0" t="n">
        <v>28.7</v>
      </c>
      <c r="F12" s="0" t="n">
        <v>151744</v>
      </c>
      <c r="G12" s="0" t="n">
        <v>6.5</v>
      </c>
      <c r="H12" s="0" t="n">
        <v>272813</v>
      </c>
      <c r="I12" s="0" t="n">
        <v>60947</v>
      </c>
      <c r="J12" s="0" t="n">
        <v>2.6</v>
      </c>
      <c r="K12" s="0" t="n">
        <v>37.16</v>
      </c>
      <c r="L12" s="0" t="n">
        <v>234759</v>
      </c>
      <c r="M12" s="0" t="n">
        <v>121566</v>
      </c>
      <c r="N12" s="0" t="n">
        <v>113193</v>
      </c>
      <c r="O12" s="0" t="n">
        <v>1008644</v>
      </c>
      <c r="P12" s="0" t="n">
        <v>3405041</v>
      </c>
      <c r="Q12" s="0" t="n">
        <v>2168368</v>
      </c>
      <c r="R12" s="0" t="n">
        <v>1151455</v>
      </c>
      <c r="S12" s="0" t="n">
        <v>208589</v>
      </c>
      <c r="T12" s="0" t="n">
        <v>1640.1</v>
      </c>
      <c r="AA12" s="0" t="s">
        <v>17</v>
      </c>
      <c r="AB12" s="0" t="s">
        <v>14</v>
      </c>
      <c r="AC12" s="0" t="n">
        <v>208376</v>
      </c>
      <c r="AD12" s="0" t="n">
        <v>1662</v>
      </c>
      <c r="AE12" s="0" t="n">
        <v>20643</v>
      </c>
      <c r="AF12" s="0" t="n">
        <v>54455</v>
      </c>
      <c r="AG12" s="0" t="n">
        <v>228029</v>
      </c>
      <c r="AH12" s="0" t="n">
        <v>4394</v>
      </c>
      <c r="AI12" s="0" t="n">
        <v>45763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565</v>
      </c>
    </row>
    <row r="3" customFormat="false" ht="15" hidden="false" customHeight="false" outlineLevel="0" collapsed="false">
      <c r="A3" s="0" t="s">
        <v>86</v>
      </c>
      <c r="B3" s="3" t="n">
        <v>1640.7</v>
      </c>
    </row>
    <row r="4" customFormat="false" ht="15" hidden="false" customHeight="false" outlineLevel="0" collapsed="false">
      <c r="A4" s="0" t="s">
        <v>87</v>
      </c>
      <c r="B4" s="3" t="n">
        <v>942866</v>
      </c>
    </row>
    <row r="5" customFormat="false" ht="15" hidden="false" customHeight="false" outlineLevel="0" collapsed="false">
      <c r="A5" s="0" t="s">
        <v>88</v>
      </c>
      <c r="B5" s="3" t="n">
        <v>-284903</v>
      </c>
    </row>
    <row r="6" customFormat="false" ht="15" hidden="false" customHeight="false" outlineLevel="0" collapsed="false">
      <c r="A6" s="0" t="s">
        <v>89</v>
      </c>
      <c r="B6" s="3" t="n">
        <v>15</v>
      </c>
    </row>
    <row r="7" customFormat="false" ht="15" hidden="false" customHeight="false" outlineLevel="0" collapsed="false">
      <c r="A7" s="0" t="s">
        <v>90</v>
      </c>
      <c r="B7" s="3" t="n">
        <v>2328515</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v>
      </c>
      <c r="D13" s="3" t="n">
        <v>0</v>
      </c>
      <c r="E13" s="3" t="n">
        <v>1</v>
      </c>
      <c r="F13" s="3" t="n">
        <v>1.5</v>
      </c>
      <c r="G13" s="3" t="n">
        <v>1.5</v>
      </c>
      <c r="H13" s="3" t="n">
        <v>1.5</v>
      </c>
      <c r="I13" s="3" t="n">
        <v>1.5</v>
      </c>
      <c r="J13" s="3" t="n">
        <v>1.5</v>
      </c>
      <c r="K13" s="3" t="n">
        <v>1.5</v>
      </c>
      <c r="L13" s="3" t="n">
        <v>1.5</v>
      </c>
    </row>
    <row r="14" customFormat="false" ht="15" hidden="false" customHeight="false" outlineLevel="0" collapsed="false">
      <c r="A14" s="0" t="s">
        <v>107</v>
      </c>
      <c r="C14" s="3" t="n">
        <v>12.5</v>
      </c>
      <c r="D14" s="3" t="n">
        <v>11</v>
      </c>
      <c r="E14" s="3" t="n">
        <v>11</v>
      </c>
      <c r="F14" s="3" t="n">
        <v>11.5</v>
      </c>
      <c r="G14" s="3" t="n">
        <v>12</v>
      </c>
      <c r="H14" s="3" t="n">
        <v>12</v>
      </c>
      <c r="I14" s="3" t="n">
        <v>12</v>
      </c>
      <c r="J14" s="3" t="n">
        <v>12</v>
      </c>
      <c r="K14" s="3" t="n">
        <v>12</v>
      </c>
      <c r="L14" s="3" t="n">
        <v>12</v>
      </c>
    </row>
    <row r="15" customFormat="false" ht="15" hidden="false" customHeight="false" outlineLevel="0" collapsed="false">
      <c r="A15" s="0" t="s">
        <v>108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5.1</v>
      </c>
      <c r="D17" s="3" t="n">
        <v>5.1</v>
      </c>
      <c r="E17" s="3" t="n">
        <v>5</v>
      </c>
      <c r="F17" s="3" t="n">
        <v>5</v>
      </c>
      <c r="G17" s="3" t="n">
        <v>5</v>
      </c>
      <c r="H17" s="3" t="n">
        <v>5</v>
      </c>
      <c r="I17" s="3" t="n">
        <v>5</v>
      </c>
      <c r="J17" s="3" t="n">
        <v>5</v>
      </c>
      <c r="K17" s="3" t="n">
        <v>5</v>
      </c>
      <c r="L17" s="3" t="n">
        <v>5</v>
      </c>
    </row>
    <row r="18" customFormat="false" ht="15" hidden="false" customHeight="false" outlineLevel="0" collapsed="false">
      <c r="A18" s="0" t="s">
        <v>111</v>
      </c>
      <c r="C18" s="3" t="n">
        <v>5.3</v>
      </c>
      <c r="D18" s="3" t="n">
        <v>5</v>
      </c>
      <c r="E18" s="3" t="n">
        <v>5</v>
      </c>
      <c r="F18" s="3" t="n">
        <v>5</v>
      </c>
      <c r="G18" s="3" t="n">
        <v>5</v>
      </c>
      <c r="H18" s="3" t="n">
        <v>5</v>
      </c>
      <c r="I18" s="3" t="n">
        <v>5</v>
      </c>
      <c r="J18" s="3" t="n">
        <v>5</v>
      </c>
      <c r="K18" s="3" t="n">
        <v>5</v>
      </c>
      <c r="L18" s="3" t="n">
        <v>5</v>
      </c>
    </row>
    <row r="19" customFormat="false" ht="15" hidden="false" customHeight="false" outlineLevel="0" collapsed="false">
      <c r="A19" s="0" t="s">
        <v>112</v>
      </c>
      <c r="C19" s="3" t="n">
        <v>22</v>
      </c>
      <c r="D19" s="3" t="n">
        <v>22</v>
      </c>
      <c r="E19" s="3" t="n">
        <v>24</v>
      </c>
      <c r="F19" s="3" t="n">
        <v>27</v>
      </c>
      <c r="G19" s="3" t="n">
        <v>29</v>
      </c>
      <c r="H19" s="3" t="n">
        <v>29</v>
      </c>
      <c r="I19" s="3" t="n">
        <v>29</v>
      </c>
      <c r="J19" s="3" t="n">
        <v>29</v>
      </c>
      <c r="K19" s="3" t="n">
        <v>29</v>
      </c>
      <c r="L19" s="3" t="n">
        <v>29</v>
      </c>
    </row>
    <row r="20" customFormat="false" ht="15" hidden="false" customHeight="false" outlineLevel="0" collapsed="false">
      <c r="A20" s="0" t="s">
        <v>113</v>
      </c>
      <c r="B20" s="3" t="n">
        <v>7</v>
      </c>
    </row>
    <row r="21" customFormat="false" ht="15" hidden="false" customHeight="false" outlineLevel="0" collapsed="false">
      <c r="A21" s="0" t="s">
        <v>114</v>
      </c>
      <c r="B21" s="3" t="n">
        <v>0.5</v>
      </c>
    </row>
    <row r="22" customFormat="false" ht="15" hidden="false" customHeight="false" outlineLevel="0" collapsed="false">
      <c r="A22" s="0" t="s">
        <v>115</v>
      </c>
      <c r="B22" s="3" t="n">
        <v>11</v>
      </c>
    </row>
    <row r="23" customFormat="false" ht="15" hidden="false" customHeight="false" outlineLevel="0" collapsed="false">
      <c r="A23" s="0" t="s">
        <v>116</v>
      </c>
      <c r="B23" s="3" t="n">
        <v>-25</v>
      </c>
    </row>
    <row r="24" customFormat="false" ht="15" hidden="false" customHeight="false" outlineLevel="0" collapsed="false">
      <c r="A24" s="0" t="s">
        <v>117</v>
      </c>
      <c r="B24" s="3" t="n">
        <v>0.3</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1.4</v>
      </c>
      <c r="D27" s="3" t="n">
        <v>3</v>
      </c>
      <c r="E27" s="3" t="n">
        <v>3.5</v>
      </c>
      <c r="F27" s="3" t="n">
        <v>3.5</v>
      </c>
      <c r="G27" s="3" t="n">
        <v>3</v>
      </c>
      <c r="H27" s="3" t="n">
        <v>2.5</v>
      </c>
      <c r="I27" s="3" t="n">
        <v>2.5</v>
      </c>
      <c r="J27" s="3" t="n">
        <v>2</v>
      </c>
      <c r="K27" s="3" t="n">
        <v>2</v>
      </c>
      <c r="L27" s="3" t="n">
        <v>2</v>
      </c>
    </row>
    <row r="28" customFormat="false" ht="15" hidden="false" customHeight="false" outlineLevel="0" collapsed="false">
      <c r="A28" s="0" t="s">
        <v>107</v>
      </c>
      <c r="C28" s="3" t="n">
        <v>13.7</v>
      </c>
      <c r="D28" s="3" t="n">
        <v>13.9</v>
      </c>
      <c r="E28" s="3" t="n">
        <v>14.1</v>
      </c>
      <c r="F28" s="3" t="n">
        <v>14.3</v>
      </c>
      <c r="G28" s="3" t="n">
        <v>14.5</v>
      </c>
      <c r="H28" s="3" t="n">
        <v>14.5</v>
      </c>
      <c r="I28" s="3" t="n">
        <v>14.5</v>
      </c>
      <c r="J28" s="3" t="n">
        <v>14.5</v>
      </c>
      <c r="K28" s="3" t="n">
        <v>14.5</v>
      </c>
      <c r="L28" s="3" t="n">
        <v>14.5</v>
      </c>
    </row>
    <row r="29" customFormat="false" ht="15" hidden="false" customHeight="false" outlineLevel="0" collapsed="false">
      <c r="A29" s="0" t="s">
        <v>108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5.1</v>
      </c>
      <c r="D31" s="3" t="n">
        <v>5.1</v>
      </c>
      <c r="E31" s="3" t="n">
        <v>5</v>
      </c>
      <c r="F31" s="3" t="n">
        <v>5</v>
      </c>
      <c r="G31" s="3" t="n">
        <v>5</v>
      </c>
      <c r="H31" s="3" t="n">
        <v>5</v>
      </c>
      <c r="I31" s="3" t="n">
        <v>5</v>
      </c>
      <c r="J31" s="3" t="n">
        <v>5</v>
      </c>
      <c r="K31" s="3" t="n">
        <v>5</v>
      </c>
      <c r="L31" s="3" t="n">
        <v>5</v>
      </c>
    </row>
    <row r="32" customFormat="false" ht="15" hidden="false" customHeight="false" outlineLevel="0" collapsed="false">
      <c r="A32" s="0" t="s">
        <v>111</v>
      </c>
      <c r="C32" s="3" t="n">
        <v>5.6</v>
      </c>
      <c r="D32" s="3" t="n">
        <v>5.6</v>
      </c>
      <c r="E32" s="3" t="n">
        <v>5.4</v>
      </c>
      <c r="F32" s="3" t="n">
        <v>5.3</v>
      </c>
      <c r="G32" s="3" t="n">
        <v>5.3</v>
      </c>
      <c r="H32" s="3" t="n">
        <v>5.3</v>
      </c>
      <c r="I32" s="3" t="n">
        <v>5.3</v>
      </c>
      <c r="J32" s="3" t="n">
        <v>5.3</v>
      </c>
      <c r="K32" s="3" t="n">
        <v>5.3</v>
      </c>
      <c r="L32" s="3" t="n">
        <v>5.3</v>
      </c>
    </row>
    <row r="33" customFormat="false" ht="15" hidden="false" customHeight="false" outlineLevel="0" collapsed="false">
      <c r="A33" s="0" t="s">
        <v>112</v>
      </c>
      <c r="C33" s="3" t="n">
        <v>24</v>
      </c>
      <c r="D33" s="3" t="n">
        <v>26</v>
      </c>
      <c r="E33" s="3" t="n">
        <v>28</v>
      </c>
      <c r="F33" s="3" t="n">
        <v>29</v>
      </c>
      <c r="G33" s="3" t="n">
        <v>29</v>
      </c>
      <c r="H33" s="3" t="n">
        <v>29</v>
      </c>
      <c r="I33" s="3" t="n">
        <v>29</v>
      </c>
      <c r="J33" s="3" t="n">
        <v>29</v>
      </c>
      <c r="K33" s="3" t="n">
        <v>29</v>
      </c>
      <c r="L33" s="3" t="n">
        <v>29</v>
      </c>
    </row>
    <row r="34" customFormat="false" ht="15" hidden="false" customHeight="false" outlineLevel="0" collapsed="false">
      <c r="A34" s="0" t="s">
        <v>113</v>
      </c>
      <c r="B34" s="3" t="n">
        <v>7</v>
      </c>
    </row>
    <row r="35" customFormat="false" ht="15" hidden="false" customHeight="false" outlineLevel="0" collapsed="false">
      <c r="A35" s="0" t="s">
        <v>114</v>
      </c>
      <c r="B35" s="3" t="n">
        <v>1</v>
      </c>
    </row>
    <row r="36" customFormat="false" ht="15" hidden="false" customHeight="false" outlineLevel="0" collapsed="false">
      <c r="A36" s="0" t="s">
        <v>115</v>
      </c>
      <c r="B36" s="3" t="n">
        <v>13</v>
      </c>
    </row>
    <row r="37" customFormat="false" ht="15" hidden="false" customHeight="false" outlineLevel="0" collapsed="false">
      <c r="A37" s="0" t="s">
        <v>116</v>
      </c>
      <c r="B37" s="3" t="n">
        <v>-25</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2.5</v>
      </c>
      <c r="D41" s="3" t="n">
        <v>5</v>
      </c>
      <c r="E41" s="3" t="n">
        <v>6</v>
      </c>
      <c r="F41" s="3" t="n">
        <v>6</v>
      </c>
      <c r="G41" s="3" t="n">
        <v>5</v>
      </c>
      <c r="H41" s="3" t="n">
        <v>4</v>
      </c>
      <c r="I41" s="3" t="n">
        <v>3.5</v>
      </c>
      <c r="J41" s="3" t="n">
        <v>3</v>
      </c>
      <c r="K41" s="3" t="n">
        <v>3</v>
      </c>
      <c r="L41" s="3" t="n">
        <v>3</v>
      </c>
    </row>
    <row r="42" customFormat="false" ht="15" hidden="false" customHeight="false" outlineLevel="0" collapsed="false">
      <c r="A42" s="0" t="s">
        <v>107</v>
      </c>
      <c r="C42" s="3" t="n">
        <v>14.5</v>
      </c>
      <c r="D42" s="3" t="n">
        <v>15</v>
      </c>
      <c r="E42" s="3" t="n">
        <v>15.5</v>
      </c>
      <c r="F42" s="3" t="n">
        <v>16</v>
      </c>
      <c r="G42" s="3" t="n">
        <v>16</v>
      </c>
      <c r="H42" s="3" t="n">
        <v>16</v>
      </c>
      <c r="I42" s="3" t="n">
        <v>16</v>
      </c>
      <c r="J42" s="3" t="n">
        <v>16</v>
      </c>
      <c r="K42" s="3" t="n">
        <v>16</v>
      </c>
      <c r="L42" s="3" t="n">
        <v>16</v>
      </c>
    </row>
    <row r="43" customFormat="false" ht="15" hidden="false" customHeight="false" outlineLevel="0" collapsed="false">
      <c r="A43" s="0" t="s">
        <v>108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5.1</v>
      </c>
      <c r="D45" s="3" t="n">
        <v>5.1</v>
      </c>
      <c r="E45" s="3" t="n">
        <v>5</v>
      </c>
      <c r="F45" s="3" t="n">
        <v>5</v>
      </c>
      <c r="G45" s="3" t="n">
        <v>5</v>
      </c>
      <c r="H45" s="3" t="n">
        <v>5</v>
      </c>
      <c r="I45" s="3" t="n">
        <v>5</v>
      </c>
      <c r="J45" s="3" t="n">
        <v>5</v>
      </c>
      <c r="K45" s="3" t="n">
        <v>5</v>
      </c>
      <c r="L45" s="3" t="n">
        <v>5</v>
      </c>
    </row>
    <row r="46" customFormat="false" ht="15" hidden="false" customHeight="false" outlineLevel="0" collapsed="false">
      <c r="A46" s="0" t="s">
        <v>111</v>
      </c>
      <c r="C46" s="3" t="n">
        <v>6</v>
      </c>
      <c r="D46" s="3" t="n">
        <v>6</v>
      </c>
      <c r="E46" s="3" t="n">
        <v>5.8</v>
      </c>
      <c r="F46" s="3" t="n">
        <v>5.6</v>
      </c>
      <c r="G46" s="3" t="n">
        <v>5.5</v>
      </c>
      <c r="H46" s="3" t="n">
        <v>5.5</v>
      </c>
      <c r="I46" s="3" t="n">
        <v>5.5</v>
      </c>
      <c r="J46" s="3" t="n">
        <v>5.5</v>
      </c>
      <c r="K46" s="3" t="n">
        <v>5.5</v>
      </c>
      <c r="L46" s="3" t="n">
        <v>5.5</v>
      </c>
    </row>
    <row r="47" customFormat="false" ht="15" hidden="false" customHeight="false" outlineLevel="0" collapsed="false">
      <c r="A47" s="0" t="s">
        <v>112</v>
      </c>
      <c r="C47" s="3" t="n">
        <v>24</v>
      </c>
      <c r="D47" s="3" t="n">
        <v>26</v>
      </c>
      <c r="E47" s="3" t="n">
        <v>28</v>
      </c>
      <c r="F47" s="3" t="n">
        <v>29</v>
      </c>
      <c r="G47" s="3" t="n">
        <v>29</v>
      </c>
      <c r="H47" s="3" t="n">
        <v>29</v>
      </c>
      <c r="I47" s="3" t="n">
        <v>29</v>
      </c>
      <c r="J47" s="3" t="n">
        <v>29</v>
      </c>
      <c r="K47" s="3" t="n">
        <v>29</v>
      </c>
      <c r="L47" s="3" t="n">
        <v>29</v>
      </c>
    </row>
    <row r="48" customFormat="false" ht="15" hidden="false" customHeight="false" outlineLevel="0" collapsed="false">
      <c r="A48" s="0" t="s">
        <v>113</v>
      </c>
      <c r="B48" s="3" t="n">
        <v>7</v>
      </c>
    </row>
    <row r="49" customFormat="false" ht="15" hidden="false" customHeight="false" outlineLevel="0" collapsed="false">
      <c r="A49" s="0" t="s">
        <v>114</v>
      </c>
      <c r="B49" s="3" t="n">
        <v>1.5</v>
      </c>
    </row>
    <row r="50" customFormat="false" ht="15" hidden="false" customHeight="false" outlineLevel="0" collapsed="false">
      <c r="A50" s="0" t="s">
        <v>115</v>
      </c>
      <c r="B50" s="3" t="n">
        <v>15</v>
      </c>
    </row>
    <row r="51" customFormat="false" ht="15" hidden="false" customHeight="false" outlineLevel="0" collapsed="false">
      <c r="A51" s="0" t="s">
        <v>116</v>
      </c>
      <c r="B51" s="3" t="n">
        <v>-25</v>
      </c>
    </row>
    <row r="52" customFormat="false" ht="15" hidden="false" customHeight="false" outlineLevel="0" collapsed="false">
      <c r="A52" s="0" t="s">
        <v>117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v>
      </c>
      <c r="D5" s="4" t="n">
        <f aca="false">Assumptions!D13</f>
        <v>0</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2328515</v>
      </c>
      <c r="C6" s="0" t="n">
        <f aca="false">B6*(1+C5/100)</f>
        <v>2305229.85</v>
      </c>
      <c r="D6" s="0" t="n">
        <f aca="false">C6*(1+D5/100)</f>
        <v>2305229.85</v>
      </c>
      <c r="E6" s="0" t="n">
        <f aca="false">D6*(1+E5/100)</f>
        <v>2328282.1485</v>
      </c>
      <c r="F6" s="0" t="n">
        <f aca="false">E6*(1+F5/100)</f>
        <v>2363206.3807275</v>
      </c>
      <c r="G6" s="0" t="n">
        <f aca="false">F6*(1+G5/100)</f>
        <v>2398654.47643841</v>
      </c>
      <c r="H6" s="0" t="n">
        <f aca="false">G6*(1+H5/100)</f>
        <v>2434634.29358499</v>
      </c>
      <c r="I6" s="0" t="n">
        <f aca="false">H6*(1+I5/100)</f>
        <v>2471153.80798876</v>
      </c>
      <c r="J6" s="0" t="n">
        <f aca="false">I6*(1+J5/100)</f>
        <v>2508221.11510859</v>
      </c>
      <c r="K6" s="0" t="n">
        <f aca="false">J6*(1+K5/100)</f>
        <v>2545844.43183522</v>
      </c>
      <c r="L6" s="0" t="n">
        <f aca="false">K6*(1+L5/100)</f>
        <v>2584032.09831275</v>
      </c>
    </row>
    <row r="7" customFormat="false" ht="15" hidden="false" customHeight="false" outlineLevel="0" collapsed="false">
      <c r="A7" s="0" t="s">
        <v>107</v>
      </c>
      <c r="C7" s="4" t="n">
        <f aca="false">Assumptions!C14</f>
        <v>12.5</v>
      </c>
      <c r="D7" s="4" t="n">
        <f aca="false">Assumptions!D14</f>
        <v>11</v>
      </c>
      <c r="E7" s="4" t="n">
        <f aca="false">Assumptions!E14</f>
        <v>11</v>
      </c>
      <c r="F7" s="4" t="n">
        <f aca="false">Assumptions!F14</f>
        <v>11.5</v>
      </c>
      <c r="G7" s="4" t="n">
        <f aca="false">Assumptions!G14</f>
        <v>12</v>
      </c>
      <c r="H7" s="4" t="n">
        <f aca="false">Assumptions!H14</f>
        <v>12</v>
      </c>
      <c r="I7" s="4" t="n">
        <f aca="false">Assumptions!I14</f>
        <v>12</v>
      </c>
      <c r="J7" s="4" t="n">
        <f aca="false">Assumptions!J14</f>
        <v>12</v>
      </c>
      <c r="K7" s="4" t="n">
        <f aca="false">Assumptions!K14</f>
        <v>12</v>
      </c>
      <c r="L7" s="4" t="n">
        <f aca="false">Assumptions!L14</f>
        <v>12</v>
      </c>
    </row>
    <row r="8" customFormat="false" ht="15" hidden="false" customHeight="false" outlineLevel="0" collapsed="false">
      <c r="A8" s="0" t="s">
        <v>43</v>
      </c>
      <c r="C8" s="0" t="n">
        <f aca="false">C6*C7/100</f>
        <v>288153.73125</v>
      </c>
      <c r="D8" s="0" t="n">
        <f aca="false">D6*D7/100</f>
        <v>253575.2835</v>
      </c>
      <c r="E8" s="0" t="n">
        <f aca="false">E6*E7/100</f>
        <v>256111.036335</v>
      </c>
      <c r="F8" s="0" t="n">
        <f aca="false">F6*F7/100</f>
        <v>271768.733783663</v>
      </c>
      <c r="G8" s="0" t="n">
        <f aca="false">G6*G7/100</f>
        <v>287838.537172609</v>
      </c>
      <c r="H8" s="0" t="n">
        <f aca="false">H6*H7/100</f>
        <v>292156.115230199</v>
      </c>
      <c r="I8" s="0" t="n">
        <f aca="false">I6*I7/100</f>
        <v>296538.456958652</v>
      </c>
      <c r="J8" s="0" t="n">
        <f aca="false">J6*J7/100</f>
        <v>300986.533813031</v>
      </c>
      <c r="K8" s="0" t="n">
        <f aca="false">K6*K7/100</f>
        <v>305501.331820227</v>
      </c>
      <c r="L8" s="0" t="n">
        <f aca="false">L6*L7/100</f>
        <v>310083.85179753</v>
      </c>
    </row>
    <row r="9" customFormat="false" ht="15" hidden="false" customHeight="false" outlineLevel="0" collapsed="false">
      <c r="A9" s="0" t="s">
        <v>108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288153.73125</v>
      </c>
      <c r="D11" s="0" t="n">
        <f aca="false">D8+D10+D24</f>
        <v>253575.2835</v>
      </c>
      <c r="E11" s="0" t="n">
        <f aca="false">E8+E10+E24</f>
        <v>256111.036335</v>
      </c>
      <c r="F11" s="0" t="n">
        <f aca="false">F8+F10+F24</f>
        <v>271768.733783663</v>
      </c>
      <c r="G11" s="0" t="n">
        <f aca="false">G8+G10+G24</f>
        <v>287838.537172609</v>
      </c>
      <c r="H11" s="0" t="n">
        <f aca="false">H8+H10+H24</f>
        <v>292156.115230199</v>
      </c>
      <c r="I11" s="0" t="n">
        <f aca="false">I8+I10+I24</f>
        <v>296538.456958652</v>
      </c>
      <c r="J11" s="0" t="n">
        <f aca="false">J8+J10+J24</f>
        <v>300986.533813031</v>
      </c>
      <c r="K11" s="0" t="n">
        <f aca="false">K8+K10+K24</f>
        <v>305501.331820227</v>
      </c>
      <c r="L11" s="0" t="n">
        <f aca="false">L8+L10+L24</f>
        <v>310083.85179753</v>
      </c>
    </row>
    <row r="12" customFormat="false" ht="15" hidden="false" customHeight="false" outlineLevel="0" collapsed="false">
      <c r="A12" s="0" t="s">
        <v>125</v>
      </c>
      <c r="C12" s="4" t="n">
        <f aca="false">-C6*Assumptions!C17/100</f>
        <v>-117566.72235</v>
      </c>
      <c r="D12" s="4" t="n">
        <f aca="false">-D6*Assumptions!D17/100</f>
        <v>-117566.72235</v>
      </c>
      <c r="E12" s="4" t="n">
        <f aca="false">-E6*Assumptions!E17/100</f>
        <v>-116414.107425</v>
      </c>
      <c r="F12" s="4" t="n">
        <f aca="false">-F6*Assumptions!F17/100</f>
        <v>-118160.319036375</v>
      </c>
      <c r="G12" s="4" t="n">
        <f aca="false">-G6*Assumptions!G17/100</f>
        <v>-119932.723821921</v>
      </c>
      <c r="H12" s="4" t="n">
        <f aca="false">-H6*Assumptions!H17/100</f>
        <v>-121731.714679249</v>
      </c>
      <c r="I12" s="4" t="n">
        <f aca="false">-I6*Assumptions!I17/100</f>
        <v>-123557.690399438</v>
      </c>
      <c r="J12" s="4" t="n">
        <f aca="false">-J6*Assumptions!J17/100</f>
        <v>-125411.05575543</v>
      </c>
      <c r="K12" s="4" t="n">
        <f aca="false">-K6*Assumptions!K17/100</f>
        <v>-127292.221591761</v>
      </c>
      <c r="L12" s="4" t="n">
        <f aca="false">-L6*Assumptions!L17/100</f>
        <v>-129201.604915638</v>
      </c>
    </row>
    <row r="13" customFormat="false" ht="15" hidden="false" customHeight="false" outlineLevel="0" collapsed="false">
      <c r="A13" s="0" t="s">
        <v>126</v>
      </c>
      <c r="C13" s="0" t="n">
        <f aca="false">C11+C12</f>
        <v>170587.0089</v>
      </c>
      <c r="D13" s="0" t="n">
        <f aca="false">D11+D12</f>
        <v>136008.56115</v>
      </c>
      <c r="E13" s="0" t="n">
        <f aca="false">E11+E12</f>
        <v>139696.92891</v>
      </c>
      <c r="F13" s="0" t="n">
        <f aca="false">F11+F12</f>
        <v>153608.414747288</v>
      </c>
      <c r="G13" s="0" t="n">
        <f aca="false">G11+G12</f>
        <v>167905.813350689</v>
      </c>
      <c r="H13" s="0" t="n">
        <f aca="false">H11+H12</f>
        <v>170424.400550949</v>
      </c>
      <c r="I13" s="0" t="n">
        <f aca="false">I11+I12</f>
        <v>172980.766559213</v>
      </c>
      <c r="J13" s="0" t="n">
        <f aca="false">J11+J12</f>
        <v>175575.478057602</v>
      </c>
      <c r="K13" s="0" t="n">
        <f aca="false">K11+K12</f>
        <v>178209.110228466</v>
      </c>
      <c r="L13" s="0" t="n">
        <f aca="false">L11+L12</f>
        <v>180882.246881892</v>
      </c>
    </row>
    <row r="14" customFormat="false" ht="15" hidden="false" customHeight="false" outlineLevel="0" collapsed="false">
      <c r="A14" s="0" t="s">
        <v>112</v>
      </c>
      <c r="C14" s="4" t="n">
        <f aca="false">Assumptions!C19</f>
        <v>22</v>
      </c>
      <c r="D14" s="4" t="n">
        <f aca="false">Assumptions!D19</f>
        <v>22</v>
      </c>
      <c r="E14" s="4" t="n">
        <f aca="false">Assumptions!E19</f>
        <v>24</v>
      </c>
      <c r="F14" s="4" t="n">
        <f aca="false">Assumptions!F19</f>
        <v>27</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127</v>
      </c>
      <c r="C15" s="0" t="n">
        <f aca="false">C13-MAX(0,C13)*C14/100</f>
        <v>133057.866942</v>
      </c>
      <c r="D15" s="0" t="n">
        <f aca="false">D13-MAX(0,D13)*D14/100</f>
        <v>106086.677697</v>
      </c>
      <c r="E15" s="0" t="n">
        <f aca="false">E13-MAX(0,E13)*E14/100</f>
        <v>106169.6659716</v>
      </c>
      <c r="F15" s="0" t="n">
        <f aca="false">F13-MAX(0,F13)*F14/100</f>
        <v>112134.14276552</v>
      </c>
      <c r="G15" s="0" t="n">
        <f aca="false">G13-MAX(0,G13)*G14/100</f>
        <v>119213.127478989</v>
      </c>
      <c r="H15" s="0" t="n">
        <f aca="false">H13-MAX(0,H13)*H14/100</f>
        <v>121001.324391174</v>
      </c>
      <c r="I15" s="0" t="n">
        <f aca="false">I13-MAX(0,I13)*I14/100</f>
        <v>122816.344257041</v>
      </c>
      <c r="J15" s="0" t="n">
        <f aca="false">J13-MAX(0,J13)*J14/100</f>
        <v>124658.589420897</v>
      </c>
      <c r="K15" s="0" t="n">
        <f aca="false">K13-MAX(0,K13)*K14/100</f>
        <v>126528.468262211</v>
      </c>
      <c r="L15" s="0" t="n">
        <f aca="false">L13-MAX(0,L13)*L14/100</f>
        <v>128426.395286144</v>
      </c>
    </row>
    <row r="16" customFormat="false" ht="15" hidden="false" customHeight="false" outlineLevel="0" collapsed="false">
      <c r="A16" s="0" t="s">
        <v>128</v>
      </c>
      <c r="C16" s="0" t="n">
        <f aca="false">-C12</f>
        <v>117566.72235</v>
      </c>
      <c r="D16" s="0" t="n">
        <f aca="false">-D12</f>
        <v>117566.72235</v>
      </c>
      <c r="E16" s="0" t="n">
        <f aca="false">-E12</f>
        <v>116414.107425</v>
      </c>
      <c r="F16" s="0" t="n">
        <f aca="false">-F12</f>
        <v>118160.319036375</v>
      </c>
      <c r="G16" s="0" t="n">
        <f aca="false">-G12</f>
        <v>119932.723821921</v>
      </c>
      <c r="H16" s="0" t="n">
        <f aca="false">-H12</f>
        <v>121731.714679249</v>
      </c>
      <c r="I16" s="0" t="n">
        <f aca="false">-I12</f>
        <v>123557.690399438</v>
      </c>
      <c r="J16" s="0" t="n">
        <f aca="false">-J12</f>
        <v>125411.05575543</v>
      </c>
      <c r="K16" s="0" t="n">
        <f aca="false">-K12</f>
        <v>127292.221591761</v>
      </c>
      <c r="L16" s="0" t="n">
        <f aca="false">-L12</f>
        <v>129201.604915638</v>
      </c>
    </row>
    <row r="17" customFormat="false" ht="15" hidden="false" customHeight="false" outlineLevel="0" collapsed="false">
      <c r="A17" s="0" t="s">
        <v>129</v>
      </c>
      <c r="C17" s="4" t="n">
        <f aca="false">-C6*Assumptions!C18/100</f>
        <v>-122177.18205</v>
      </c>
      <c r="D17" s="4" t="n">
        <f aca="false">-D6*Assumptions!D18/100</f>
        <v>-115261.4925</v>
      </c>
      <c r="E17" s="4" t="n">
        <f aca="false">-E6*Assumptions!E18/100</f>
        <v>-116414.107425</v>
      </c>
      <c r="F17" s="4" t="n">
        <f aca="false">-F6*Assumptions!F18/100</f>
        <v>-118160.319036375</v>
      </c>
      <c r="G17" s="4" t="n">
        <f aca="false">-G6*Assumptions!G18/100</f>
        <v>-119932.723821921</v>
      </c>
      <c r="H17" s="4" t="n">
        <f aca="false">-H6*Assumptions!H18/100</f>
        <v>-121731.714679249</v>
      </c>
      <c r="I17" s="4" t="n">
        <f aca="false">-I6*Assumptions!I18/100</f>
        <v>-123557.690399438</v>
      </c>
      <c r="J17" s="4" t="n">
        <f aca="false">-J6*Assumptions!J18/100</f>
        <v>-125411.05575543</v>
      </c>
      <c r="K17" s="4" t="n">
        <f aca="false">-K6*Assumptions!K18/100</f>
        <v>-127292.221591761</v>
      </c>
      <c r="L17" s="4" t="n">
        <f aca="false">-L6*Assumptions!L18/100</f>
        <v>-129201.604915638</v>
      </c>
    </row>
    <row r="18" customFormat="false" ht="15" hidden="false" customHeight="false" outlineLevel="0" collapsed="false">
      <c r="A18" s="0" t="s">
        <v>130</v>
      </c>
      <c r="C18" s="4" t="n">
        <f aca="false">(C6-B6)*Assumptions!$B$23/100</f>
        <v>5821.28749999998</v>
      </c>
      <c r="D18" s="4" t="n">
        <f aca="false">(D6-C6)*Assumptions!$B$23/100</f>
        <v>-0</v>
      </c>
      <c r="E18" s="4" t="n">
        <f aca="false">(E6-D6)*Assumptions!$B$23/100</f>
        <v>-5763.07462500001</v>
      </c>
      <c r="F18" s="4" t="n">
        <f aca="false">(F6-E6)*Assumptions!$B$23/100</f>
        <v>-8731.0580568749</v>
      </c>
      <c r="G18" s="4" t="n">
        <f aca="false">(G6-F6)*Assumptions!$B$23/100</f>
        <v>-8862.02392772806</v>
      </c>
      <c r="H18" s="4" t="n">
        <f aca="false">(H6-G6)*Assumptions!$B$23/100</f>
        <v>-8994.954286644</v>
      </c>
      <c r="I18" s="4" t="n">
        <f aca="false">(I6-H6)*Assumptions!$B$23/100</f>
        <v>-9129.8786009436</v>
      </c>
      <c r="J18" s="4" t="n">
        <f aca="false">(J6-I6)*Assumptions!$B$23/100</f>
        <v>-9266.82677995774</v>
      </c>
      <c r="K18" s="4" t="n">
        <f aca="false">(K6-J6)*Assumptions!$B$23/100</f>
        <v>-9405.82918165717</v>
      </c>
      <c r="L18" s="4" t="n">
        <f aca="false">(L6-K6)*Assumptions!$B$23/100</f>
        <v>-9546.91661938198</v>
      </c>
    </row>
    <row r="19" customFormat="false" ht="15" hidden="false" customHeight="false" outlineLevel="0" collapsed="false">
      <c r="A19" s="0" t="s">
        <v>131</v>
      </c>
      <c r="C19" s="0" t="n">
        <f aca="false">C15+C16+C17+C18</f>
        <v>134268.694742</v>
      </c>
      <c r="D19" s="0" t="n">
        <f aca="false">D15+D16+D17+D18</f>
        <v>108391.907547</v>
      </c>
      <c r="E19" s="0" t="n">
        <f aca="false">E15+E16+E17+E18</f>
        <v>100406.5913466</v>
      </c>
      <c r="F19" s="0" t="n">
        <f aca="false">F15+F16+F17+F18</f>
        <v>103403.084708645</v>
      </c>
      <c r="G19" s="0" t="n">
        <f aca="false">G15+G16+G17+G18</f>
        <v>110351.103551261</v>
      </c>
      <c r="H19" s="0" t="n">
        <f aca="false">H15+H16+H17+H18</f>
        <v>112006.37010453</v>
      </c>
      <c r="I19" s="0" t="n">
        <f aca="false">I15+I16+I17+I18</f>
        <v>113686.465656098</v>
      </c>
      <c r="J19" s="0" t="n">
        <f aca="false">J15+J16+J17+J18</f>
        <v>115391.762640939</v>
      </c>
      <c r="K19" s="0" t="n">
        <f aca="false">K15+K16+K17+K18</f>
        <v>117122.639080553</v>
      </c>
      <c r="L19" s="0" t="n">
        <f aca="false">L15+L16+L17+L18</f>
        <v>118879.478666762</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125484.761441121</v>
      </c>
      <c r="D21" s="0" t="n">
        <f aca="false">D19*D20</f>
        <v>94673.6898829592</v>
      </c>
      <c r="E21" s="0" t="n">
        <f aca="false">E19*E20</f>
        <v>81961.687342077</v>
      </c>
      <c r="F21" s="0" t="n">
        <f aca="false">F19*F20</f>
        <v>78885.7182351699</v>
      </c>
      <c r="G21" s="0" t="n">
        <f aca="false">G19*G20</f>
        <v>78678.8117228202</v>
      </c>
      <c r="H21" s="0" t="n">
        <f aca="false">H19*H20</f>
        <v>74634.5737370678</v>
      </c>
      <c r="I21" s="0" t="n">
        <f aca="false">I19*I20</f>
        <v>70798.2171431064</v>
      </c>
      <c r="J21" s="0" t="n">
        <f aca="false">J19*J20</f>
        <v>67159.0564488346</v>
      </c>
      <c r="K21" s="0" t="n">
        <f aca="false">K19*K20</f>
        <v>63706.9554164178</v>
      </c>
      <c r="L21" s="0" t="n">
        <f aca="false">L19*L20</f>
        <v>60432.2988295925</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7</v>
      </c>
    </row>
    <row r="28" customFormat="false" ht="15" hidden="false" customHeight="false" outlineLevel="0" collapsed="false">
      <c r="A28" s="0" t="s">
        <v>114</v>
      </c>
      <c r="B28" s="4" t="n">
        <f aca="false">Assumptions!$B$21</f>
        <v>0.5</v>
      </c>
    </row>
    <row r="29" customFormat="false" ht="15" hidden="false" customHeight="false" outlineLevel="0" collapsed="false">
      <c r="A29" s="0" t="s">
        <v>115</v>
      </c>
      <c r="B29" s="4" t="n">
        <f aca="false">Assumptions!$B$22</f>
        <v>11</v>
      </c>
    </row>
    <row r="30" customFormat="false" ht="15" hidden="false" customHeight="false" outlineLevel="0" collapsed="false">
      <c r="A30" s="0" t="s">
        <v>136</v>
      </c>
      <c r="B30" s="0" t="n">
        <f aca="false">SUM(C21:L21)</f>
        <v>796415.770199167</v>
      </c>
    </row>
    <row r="31" customFormat="false" ht="15" hidden="false" customHeight="false" outlineLevel="0" collapsed="false">
      <c r="A31" s="0" t="s">
        <v>137</v>
      </c>
      <c r="B31" s="0" t="n">
        <f aca="false">L19</f>
        <v>118879.478666762</v>
      </c>
    </row>
    <row r="32" customFormat="false" ht="15" hidden="false" customHeight="false" outlineLevel="0" collapsed="false">
      <c r="A32" s="0" t="s">
        <v>138</v>
      </c>
      <c r="B32" s="0" t="n">
        <f aca="false">IF(B27&gt;B28,B31*(1+B28/100)/((B27-B28)/100),B31*B29)</f>
        <v>1838059.63169378</v>
      </c>
    </row>
    <row r="33" customFormat="false" ht="15" hidden="false" customHeight="false" outlineLevel="0" collapsed="false">
      <c r="A33" s="0" t="s">
        <v>139</v>
      </c>
      <c r="B33" s="0" t="n">
        <f aca="false">B31*B29</f>
        <v>1307674.26533438</v>
      </c>
    </row>
    <row r="34" customFormat="false" ht="15" hidden="false" customHeight="false" outlineLevel="0" collapsed="false">
      <c r="A34" s="0" t="s">
        <v>140</v>
      </c>
      <c r="B34" s="0" t="n">
        <f aca="false">MAX(0,MIN(B32,B33))</f>
        <v>1307674.26533438</v>
      </c>
    </row>
    <row r="35" customFormat="false" ht="15" hidden="false" customHeight="false" outlineLevel="0" collapsed="false">
      <c r="A35" s="0" t="s">
        <v>141</v>
      </c>
      <c r="B35" s="0" t="n">
        <f aca="false">B34/(1+B27/100)^L4</f>
        <v>664755.287125518</v>
      </c>
    </row>
    <row r="36" customFormat="false" ht="15" hidden="false" customHeight="false" outlineLevel="0" collapsed="false">
      <c r="A36" s="0" t="s">
        <v>142</v>
      </c>
      <c r="B36" s="0" t="n">
        <f aca="false">B30+B35</f>
        <v>1461171.05732468</v>
      </c>
    </row>
    <row r="37" customFormat="false" ht="15" hidden="false" customHeight="false" outlineLevel="0" collapsed="false">
      <c r="A37" s="0" t="s">
        <v>143</v>
      </c>
      <c r="B37" s="0" t="n">
        <f aca="false">B36+Assumptions!$B$5-Assumptions!$B$4</f>
        <v>233402.057324685</v>
      </c>
    </row>
    <row r="38" customFormat="false" ht="15" hidden="false" customHeight="false" outlineLevel="0" collapsed="false">
      <c r="A38" s="0" t="s">
        <v>144</v>
      </c>
      <c r="B38" s="0" t="n">
        <f aca="false">B37/Assumptions!$B$3*Assumptions!$B$10</f>
        <v>142.257607926303</v>
      </c>
    </row>
    <row r="39" customFormat="false" ht="15" hidden="false" customHeight="false" outlineLevel="0" collapsed="false">
      <c r="A39" s="0" t="s">
        <v>145</v>
      </c>
      <c r="B39" s="4" t="n">
        <f aca="false">B38/Assumptions!$B$2-1</f>
        <v>-0.748216623139288</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142.257607926303</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823957.765931693</v>
      </c>
    </row>
    <row r="47" customFormat="false" ht="15" hidden="false" customHeight="false" outlineLevel="0" collapsed="false">
      <c r="A47" s="0" t="s">
        <v>150</v>
      </c>
      <c r="B47" s="0" t="n">
        <f aca="false">(SUMPRODUCT(C19:L19/(1+B45/100)^C4:L4)+B46/(1+B45/100)^L4+Assumptions!$B$5-Assumptions!$B$4)/Assumptions!$B$3*Assumptions!$B$10</f>
        <v>-276.599660722035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1.4</v>
      </c>
      <c r="D5" s="4" t="n">
        <f aca="false">Assumptions!D27</f>
        <v>3</v>
      </c>
      <c r="E5" s="4" t="n">
        <f aca="false">Assumptions!E27</f>
        <v>3.5</v>
      </c>
      <c r="F5" s="4" t="n">
        <f aca="false">Assumptions!F27</f>
        <v>3.5</v>
      </c>
      <c r="G5" s="4" t="n">
        <f aca="false">Assumptions!G27</f>
        <v>3</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2328515</v>
      </c>
      <c r="C6" s="0" t="n">
        <f aca="false">B6*(1+C5/100)</f>
        <v>2361114.21</v>
      </c>
      <c r="D6" s="0" t="n">
        <f aca="false">C6*(1+D5/100)</f>
        <v>2431947.6363</v>
      </c>
      <c r="E6" s="0" t="n">
        <f aca="false">D6*(1+E5/100)</f>
        <v>2517065.8035705</v>
      </c>
      <c r="F6" s="0" t="n">
        <f aca="false">E6*(1+F5/100)</f>
        <v>2605163.10669547</v>
      </c>
      <c r="G6" s="0" t="n">
        <f aca="false">F6*(1+G5/100)</f>
        <v>2683317.99989633</v>
      </c>
      <c r="H6" s="0" t="n">
        <f aca="false">G6*(1+H5/100)</f>
        <v>2750400.94989374</v>
      </c>
      <c r="I6" s="0" t="n">
        <f aca="false">H6*(1+I5/100)</f>
        <v>2819160.97364108</v>
      </c>
      <c r="J6" s="0" t="n">
        <f aca="false">I6*(1+J5/100)</f>
        <v>2875544.1931139</v>
      </c>
      <c r="K6" s="0" t="n">
        <f aca="false">J6*(1+K5/100)</f>
        <v>2933055.07697618</v>
      </c>
      <c r="L6" s="0" t="n">
        <f aca="false">K6*(1+L5/100)</f>
        <v>2991716.17851571</v>
      </c>
    </row>
    <row r="7" customFormat="false" ht="15" hidden="false" customHeight="false" outlineLevel="0" collapsed="false">
      <c r="A7" s="0" t="s">
        <v>107</v>
      </c>
      <c r="C7" s="4" t="n">
        <f aca="false">Assumptions!C28</f>
        <v>13.7</v>
      </c>
      <c r="D7" s="4" t="n">
        <f aca="false">Assumptions!D28</f>
        <v>13.9</v>
      </c>
      <c r="E7" s="4" t="n">
        <f aca="false">Assumptions!E28</f>
        <v>14.1</v>
      </c>
      <c r="F7" s="4" t="n">
        <f aca="false">Assumptions!F28</f>
        <v>14.3</v>
      </c>
      <c r="G7" s="4" t="n">
        <f aca="false">Assumptions!G28</f>
        <v>14.5</v>
      </c>
      <c r="H7" s="4" t="n">
        <f aca="false">Assumptions!H28</f>
        <v>14.5</v>
      </c>
      <c r="I7" s="4" t="n">
        <f aca="false">Assumptions!I28</f>
        <v>14.5</v>
      </c>
      <c r="J7" s="4" t="n">
        <f aca="false">Assumptions!J28</f>
        <v>14.5</v>
      </c>
      <c r="K7" s="4" t="n">
        <f aca="false">Assumptions!K28</f>
        <v>14.5</v>
      </c>
      <c r="L7" s="4" t="n">
        <f aca="false">Assumptions!L28</f>
        <v>14.5</v>
      </c>
    </row>
    <row r="8" customFormat="false" ht="15" hidden="false" customHeight="false" outlineLevel="0" collapsed="false">
      <c r="A8" s="0" t="s">
        <v>43</v>
      </c>
      <c r="C8" s="0" t="n">
        <f aca="false">C6*C7/100</f>
        <v>323472.64677</v>
      </c>
      <c r="D8" s="0" t="n">
        <f aca="false">D6*D7/100</f>
        <v>338040.7214457</v>
      </c>
      <c r="E8" s="0" t="n">
        <f aca="false">E6*E7/100</f>
        <v>354906.27830344</v>
      </c>
      <c r="F8" s="0" t="n">
        <f aca="false">F6*F7/100</f>
        <v>372538.324257452</v>
      </c>
      <c r="G8" s="0" t="n">
        <f aca="false">G6*G7/100</f>
        <v>389081.109984968</v>
      </c>
      <c r="H8" s="0" t="n">
        <f aca="false">H6*H7/100</f>
        <v>398808.137734592</v>
      </c>
      <c r="I8" s="0" t="n">
        <f aca="false">I6*I7/100</f>
        <v>408778.341177957</v>
      </c>
      <c r="J8" s="0" t="n">
        <f aca="false">J6*J7/100</f>
        <v>416953.908001516</v>
      </c>
      <c r="K8" s="0" t="n">
        <f aca="false">K6*K7/100</f>
        <v>425292.986161546</v>
      </c>
      <c r="L8" s="0" t="n">
        <f aca="false">L6*L7/100</f>
        <v>433798.845884777</v>
      </c>
    </row>
    <row r="9" customFormat="false" ht="15" hidden="false" customHeight="false" outlineLevel="0" collapsed="false">
      <c r="A9" s="0" t="s">
        <v>108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323472.64677</v>
      </c>
      <c r="D11" s="0" t="n">
        <f aca="false">D8+D10+D24</f>
        <v>338040.7214457</v>
      </c>
      <c r="E11" s="0" t="n">
        <f aca="false">E8+E10+E24</f>
        <v>354906.27830344</v>
      </c>
      <c r="F11" s="0" t="n">
        <f aca="false">F8+F10+F24</f>
        <v>372538.324257452</v>
      </c>
      <c r="G11" s="0" t="n">
        <f aca="false">G8+G10+G24</f>
        <v>389081.109984968</v>
      </c>
      <c r="H11" s="0" t="n">
        <f aca="false">H8+H10+H24</f>
        <v>398808.137734592</v>
      </c>
      <c r="I11" s="0" t="n">
        <f aca="false">I8+I10+I24</f>
        <v>408778.341177957</v>
      </c>
      <c r="J11" s="0" t="n">
        <f aca="false">J8+J10+J24</f>
        <v>416953.908001516</v>
      </c>
      <c r="K11" s="0" t="n">
        <f aca="false">K8+K10+K24</f>
        <v>425292.986161546</v>
      </c>
      <c r="L11" s="0" t="n">
        <f aca="false">L8+L10+L24</f>
        <v>433798.845884777</v>
      </c>
    </row>
    <row r="12" customFormat="false" ht="15" hidden="false" customHeight="false" outlineLevel="0" collapsed="false">
      <c r="A12" s="0" t="s">
        <v>125</v>
      </c>
      <c r="C12" s="4" t="n">
        <f aca="false">-C6*Assumptions!C31/100</f>
        <v>-120416.82471</v>
      </c>
      <c r="D12" s="4" t="n">
        <f aca="false">-D6*Assumptions!D31/100</f>
        <v>-124029.3294513</v>
      </c>
      <c r="E12" s="4" t="n">
        <f aca="false">-E6*Assumptions!E31/100</f>
        <v>-125853.290178525</v>
      </c>
      <c r="F12" s="4" t="n">
        <f aca="false">-F6*Assumptions!F31/100</f>
        <v>-130258.155334773</v>
      </c>
      <c r="G12" s="4" t="n">
        <f aca="false">-G6*Assumptions!G31/100</f>
        <v>-134165.899994817</v>
      </c>
      <c r="H12" s="4" t="n">
        <f aca="false">-H6*Assumptions!H31/100</f>
        <v>-137520.047494687</v>
      </c>
      <c r="I12" s="4" t="n">
        <f aca="false">-I6*Assumptions!I31/100</f>
        <v>-140958.048682054</v>
      </c>
      <c r="J12" s="4" t="n">
        <f aca="false">-J6*Assumptions!J31/100</f>
        <v>-143777.209655695</v>
      </c>
      <c r="K12" s="4" t="n">
        <f aca="false">-K6*Assumptions!K31/100</f>
        <v>-146652.753848809</v>
      </c>
      <c r="L12" s="4" t="n">
        <f aca="false">-L6*Assumptions!L31/100</f>
        <v>-149585.808925785</v>
      </c>
    </row>
    <row r="13" customFormat="false" ht="15" hidden="false" customHeight="false" outlineLevel="0" collapsed="false">
      <c r="A13" s="0" t="s">
        <v>126</v>
      </c>
      <c r="C13" s="0" t="n">
        <f aca="false">C11+C12</f>
        <v>203055.82206</v>
      </c>
      <c r="D13" s="0" t="n">
        <f aca="false">D11+D12</f>
        <v>214011.3919944</v>
      </c>
      <c r="E13" s="0" t="n">
        <f aca="false">E11+E12</f>
        <v>229052.988124915</v>
      </c>
      <c r="F13" s="0" t="n">
        <f aca="false">F11+F12</f>
        <v>242280.168922678</v>
      </c>
      <c r="G13" s="0" t="n">
        <f aca="false">G11+G12</f>
        <v>254915.209990152</v>
      </c>
      <c r="H13" s="0" t="n">
        <f aca="false">H11+H12</f>
        <v>261288.090239905</v>
      </c>
      <c r="I13" s="0" t="n">
        <f aca="false">I11+I12</f>
        <v>267820.292495903</v>
      </c>
      <c r="J13" s="0" t="n">
        <f aca="false">J11+J12</f>
        <v>273176.698345821</v>
      </c>
      <c r="K13" s="0" t="n">
        <f aca="false">K11+K12</f>
        <v>278640.232312737</v>
      </c>
      <c r="L13" s="0" t="n">
        <f aca="false">L11+L12</f>
        <v>284213.036958992</v>
      </c>
    </row>
    <row r="14" customFormat="false" ht="15" hidden="false" customHeight="false" outlineLevel="0" collapsed="false">
      <c r="A14" s="0" t="s">
        <v>112</v>
      </c>
      <c r="C14" s="4" t="n">
        <f aca="false">Assumptions!C33</f>
        <v>24</v>
      </c>
      <c r="D14" s="4" t="n">
        <f aca="false">Assumptions!D33</f>
        <v>26</v>
      </c>
      <c r="E14" s="4" t="n">
        <f aca="false">Assumptions!E33</f>
        <v>28</v>
      </c>
      <c r="F14" s="4" t="n">
        <f aca="false">Assumptions!F33</f>
        <v>29</v>
      </c>
      <c r="G14" s="4" t="n">
        <f aca="false">Assumptions!G33</f>
        <v>29</v>
      </c>
      <c r="H14" s="4" t="n">
        <f aca="false">Assumptions!H33</f>
        <v>29</v>
      </c>
      <c r="I14" s="4" t="n">
        <f aca="false">Assumptions!I33</f>
        <v>29</v>
      </c>
      <c r="J14" s="4" t="n">
        <f aca="false">Assumptions!J33</f>
        <v>29</v>
      </c>
      <c r="K14" s="4" t="n">
        <f aca="false">Assumptions!K33</f>
        <v>29</v>
      </c>
      <c r="L14" s="4" t="n">
        <f aca="false">Assumptions!L33</f>
        <v>29</v>
      </c>
    </row>
    <row r="15" customFormat="false" ht="15" hidden="false" customHeight="false" outlineLevel="0" collapsed="false">
      <c r="A15" s="0" t="s">
        <v>127</v>
      </c>
      <c r="C15" s="0" t="n">
        <f aca="false">C13-MAX(0,C13)*C14/100</f>
        <v>154322.4247656</v>
      </c>
      <c r="D15" s="0" t="n">
        <f aca="false">D13-MAX(0,D13)*D14/100</f>
        <v>158368.430075856</v>
      </c>
      <c r="E15" s="0" t="n">
        <f aca="false">E13-MAX(0,E13)*E14/100</f>
        <v>164918.151449939</v>
      </c>
      <c r="F15" s="0" t="n">
        <f aca="false">F13-MAX(0,F13)*F14/100</f>
        <v>172018.919935102</v>
      </c>
      <c r="G15" s="0" t="n">
        <f aca="false">G13-MAX(0,G13)*G14/100</f>
        <v>180989.799093008</v>
      </c>
      <c r="H15" s="0" t="n">
        <f aca="false">H13-MAX(0,H13)*H14/100</f>
        <v>185514.544070333</v>
      </c>
      <c r="I15" s="0" t="n">
        <f aca="false">I13-MAX(0,I13)*I14/100</f>
        <v>190152.407672091</v>
      </c>
      <c r="J15" s="0" t="n">
        <f aca="false">J13-MAX(0,J13)*J14/100</f>
        <v>193955.455825533</v>
      </c>
      <c r="K15" s="0" t="n">
        <f aca="false">K13-MAX(0,K13)*K14/100</f>
        <v>197834.564942044</v>
      </c>
      <c r="L15" s="0" t="n">
        <f aca="false">L13-MAX(0,L13)*L14/100</f>
        <v>201791.256240884</v>
      </c>
    </row>
    <row r="16" customFormat="false" ht="15" hidden="false" customHeight="false" outlineLevel="0" collapsed="false">
      <c r="A16" s="0" t="s">
        <v>128</v>
      </c>
      <c r="C16" s="0" t="n">
        <f aca="false">-C12</f>
        <v>120416.82471</v>
      </c>
      <c r="D16" s="0" t="n">
        <f aca="false">-D12</f>
        <v>124029.3294513</v>
      </c>
      <c r="E16" s="0" t="n">
        <f aca="false">-E12</f>
        <v>125853.290178525</v>
      </c>
      <c r="F16" s="0" t="n">
        <f aca="false">-F12</f>
        <v>130258.155334773</v>
      </c>
      <c r="G16" s="0" t="n">
        <f aca="false">-G12</f>
        <v>134165.899994817</v>
      </c>
      <c r="H16" s="0" t="n">
        <f aca="false">-H12</f>
        <v>137520.047494687</v>
      </c>
      <c r="I16" s="0" t="n">
        <f aca="false">-I12</f>
        <v>140958.048682054</v>
      </c>
      <c r="J16" s="0" t="n">
        <f aca="false">-J12</f>
        <v>143777.209655695</v>
      </c>
      <c r="K16" s="0" t="n">
        <f aca="false">-K12</f>
        <v>146652.753848809</v>
      </c>
      <c r="L16" s="0" t="n">
        <f aca="false">-L12</f>
        <v>149585.808925785</v>
      </c>
    </row>
    <row r="17" customFormat="false" ht="15" hidden="false" customHeight="false" outlineLevel="0" collapsed="false">
      <c r="A17" s="0" t="s">
        <v>129</v>
      </c>
      <c r="C17" s="4" t="n">
        <f aca="false">-C6*Assumptions!C32/100</f>
        <v>-132222.39576</v>
      </c>
      <c r="D17" s="4" t="n">
        <f aca="false">-D6*Assumptions!D32/100</f>
        <v>-136189.0676328</v>
      </c>
      <c r="E17" s="4" t="n">
        <f aca="false">-E6*Assumptions!E32/100</f>
        <v>-135921.553392807</v>
      </c>
      <c r="F17" s="4" t="n">
        <f aca="false">-F6*Assumptions!F32/100</f>
        <v>-138073.64465486</v>
      </c>
      <c r="G17" s="4" t="n">
        <f aca="false">-G6*Assumptions!G32/100</f>
        <v>-142215.853994506</v>
      </c>
      <c r="H17" s="4" t="n">
        <f aca="false">-H6*Assumptions!H32/100</f>
        <v>-145771.250344368</v>
      </c>
      <c r="I17" s="4" t="n">
        <f aca="false">-I6*Assumptions!I32/100</f>
        <v>-149415.531602977</v>
      </c>
      <c r="J17" s="4" t="n">
        <f aca="false">-J6*Assumptions!J32/100</f>
        <v>-152403.842235037</v>
      </c>
      <c r="K17" s="4" t="n">
        <f aca="false">-K6*Assumptions!K32/100</f>
        <v>-155451.919079738</v>
      </c>
      <c r="L17" s="4" t="n">
        <f aca="false">-L6*Assumptions!L32/100</f>
        <v>-158560.957461332</v>
      </c>
    </row>
    <row r="18" customFormat="false" ht="15" hidden="false" customHeight="false" outlineLevel="0" collapsed="false">
      <c r="A18" s="0" t="s">
        <v>130</v>
      </c>
      <c r="C18" s="4" t="n">
        <f aca="false">(C6-B6)*Assumptions!$B$37/100</f>
        <v>-8149.80249999999</v>
      </c>
      <c r="D18" s="4" t="n">
        <f aca="false">(D6-C6)*Assumptions!$B$37/100</f>
        <v>-17708.356575</v>
      </c>
      <c r="E18" s="4" t="n">
        <f aca="false">(E6-D6)*Assumptions!$B$37/100</f>
        <v>-21279.5418176249</v>
      </c>
      <c r="F18" s="4" t="n">
        <f aca="false">(F6-E6)*Assumptions!$B$37/100</f>
        <v>-22024.3257812419</v>
      </c>
      <c r="G18" s="4" t="n">
        <f aca="false">(G6-F6)*Assumptions!$B$37/100</f>
        <v>-19538.723300216</v>
      </c>
      <c r="H18" s="4" t="n">
        <f aca="false">(H6-G6)*Assumptions!$B$37/100</f>
        <v>-16770.737499352</v>
      </c>
      <c r="I18" s="4" t="n">
        <f aca="false">(I6-H6)*Assumptions!$B$37/100</f>
        <v>-17190.0059368358</v>
      </c>
      <c r="J18" s="4" t="n">
        <f aca="false">(J6-I6)*Assumptions!$B$37/100</f>
        <v>-14095.8048682055</v>
      </c>
      <c r="K18" s="4" t="n">
        <f aca="false">(K6-J6)*Assumptions!$B$37/100</f>
        <v>-14377.7209655695</v>
      </c>
      <c r="L18" s="4" t="n">
        <f aca="false">(L6-K6)*Assumptions!$B$37/100</f>
        <v>-14665.275384881</v>
      </c>
    </row>
    <row r="19" customFormat="false" ht="15" hidden="false" customHeight="false" outlineLevel="0" collapsed="false">
      <c r="A19" s="0" t="s">
        <v>131</v>
      </c>
      <c r="C19" s="0" t="n">
        <f aca="false">C15+C16+C17+C18</f>
        <v>134367.0512156</v>
      </c>
      <c r="D19" s="0" t="n">
        <f aca="false">D15+D16+D17+D18</f>
        <v>128500.335319356</v>
      </c>
      <c r="E19" s="0" t="n">
        <f aca="false">E15+E16+E17+E18</f>
        <v>133570.346418032</v>
      </c>
      <c r="F19" s="0" t="n">
        <f aca="false">F15+F16+F17+F18</f>
        <v>142179.104833773</v>
      </c>
      <c r="G19" s="0" t="n">
        <f aca="false">G15+G16+G17+G18</f>
        <v>153401.121793103</v>
      </c>
      <c r="H19" s="0" t="n">
        <f aca="false">H15+H16+H17+H18</f>
        <v>160492.6037213</v>
      </c>
      <c r="I19" s="0" t="n">
        <f aca="false">I15+I16+I17+I18</f>
        <v>164504.918814332</v>
      </c>
      <c r="J19" s="0" t="n">
        <f aca="false">J15+J16+J17+J18</f>
        <v>171233.018377986</v>
      </c>
      <c r="K19" s="0" t="n">
        <f aca="false">K15+K16+K17+K18</f>
        <v>174657.678745545</v>
      </c>
      <c r="L19" s="0" t="n">
        <f aca="false">L15+L16+L17+L18</f>
        <v>178150.832320456</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125576.683379065</v>
      </c>
      <c r="D21" s="0" t="n">
        <f aca="false">D19*D20</f>
        <v>112237.16946402</v>
      </c>
      <c r="E21" s="0" t="n">
        <f aca="false">E19*E20</f>
        <v>109033.190196615</v>
      </c>
      <c r="F21" s="0" t="n">
        <f aca="false">F19*F20</f>
        <v>108467.758330889</v>
      </c>
      <c r="G21" s="0" t="n">
        <f aca="false">G19*G20</f>
        <v>109372.879755773</v>
      </c>
      <c r="H21" s="0" t="n">
        <f aca="false">H19*H20</f>
        <v>106942.998469753</v>
      </c>
      <c r="I21" s="0" t="n">
        <f aca="false">I19*I20</f>
        <v>102445.395730371</v>
      </c>
      <c r="J21" s="0" t="n">
        <f aca="false">J19*J20</f>
        <v>99659.1756981402</v>
      </c>
      <c r="K21" s="0" t="n">
        <f aca="false">K19*K20</f>
        <v>95002.2048711243</v>
      </c>
      <c r="L21" s="0" t="n">
        <f aca="false">L19*L20</f>
        <v>90562.8495033147</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7</v>
      </c>
    </row>
    <row r="28" customFormat="false" ht="15" hidden="false" customHeight="false" outlineLevel="0" collapsed="false">
      <c r="A28" s="0" t="s">
        <v>114</v>
      </c>
      <c r="B28" s="4" t="n">
        <f aca="false">Assumptions!$B$35</f>
        <v>1</v>
      </c>
    </row>
    <row r="29" customFormat="false" ht="15" hidden="false" customHeight="false" outlineLevel="0" collapsed="false">
      <c r="A29" s="0" t="s">
        <v>115</v>
      </c>
      <c r="B29" s="4" t="n">
        <f aca="false">Assumptions!$B$36</f>
        <v>13</v>
      </c>
    </row>
    <row r="30" customFormat="false" ht="15" hidden="false" customHeight="false" outlineLevel="0" collapsed="false">
      <c r="A30" s="0" t="s">
        <v>136</v>
      </c>
      <c r="B30" s="0" t="n">
        <f aca="false">SUM(C21:L21)</f>
        <v>1059300.30539907</v>
      </c>
    </row>
    <row r="31" customFormat="false" ht="15" hidden="false" customHeight="false" outlineLevel="0" collapsed="false">
      <c r="A31" s="0" t="s">
        <v>137</v>
      </c>
      <c r="B31" s="0" t="n">
        <f aca="false">L19</f>
        <v>178150.832320456</v>
      </c>
    </row>
    <row r="32" customFormat="false" ht="15" hidden="false" customHeight="false" outlineLevel="0" collapsed="false">
      <c r="A32" s="0" t="s">
        <v>138</v>
      </c>
      <c r="B32" s="0" t="n">
        <f aca="false">IF(B27&gt;B28,B31*(1+B28/100)/((B27-B28)/100),B31*B29)</f>
        <v>2998872.34406101</v>
      </c>
    </row>
    <row r="33" customFormat="false" ht="15" hidden="false" customHeight="false" outlineLevel="0" collapsed="false">
      <c r="A33" s="0" t="s">
        <v>139</v>
      </c>
      <c r="B33" s="0" t="n">
        <f aca="false">B31*B29</f>
        <v>2315960.82016593</v>
      </c>
    </row>
    <row r="34" customFormat="false" ht="15" hidden="false" customHeight="false" outlineLevel="0" collapsed="false">
      <c r="A34" s="0" t="s">
        <v>140</v>
      </c>
      <c r="B34" s="0" t="n">
        <f aca="false">MAX(0,MIN(B32,B33))</f>
        <v>2315960.82016593</v>
      </c>
    </row>
    <row r="35" customFormat="false" ht="15" hidden="false" customHeight="false" outlineLevel="0" collapsed="false">
      <c r="A35" s="0" t="s">
        <v>141</v>
      </c>
      <c r="B35" s="0" t="n">
        <f aca="false">B34/(1+B27/100)^L4</f>
        <v>1177317.04354309</v>
      </c>
    </row>
    <row r="36" customFormat="false" ht="15" hidden="false" customHeight="false" outlineLevel="0" collapsed="false">
      <c r="A36" s="0" t="s">
        <v>142</v>
      </c>
      <c r="B36" s="0" t="n">
        <f aca="false">B30+B35</f>
        <v>2236617.34894216</v>
      </c>
    </row>
    <row r="37" customFormat="false" ht="15" hidden="false" customHeight="false" outlineLevel="0" collapsed="false">
      <c r="A37" s="0" t="s">
        <v>143</v>
      </c>
      <c r="B37" s="0" t="n">
        <f aca="false">B36+Assumptions!$B$5-Assumptions!$B$4</f>
        <v>1008848.34894216</v>
      </c>
    </row>
    <row r="38" customFormat="false" ht="15" hidden="false" customHeight="false" outlineLevel="0" collapsed="false">
      <c r="A38" s="0" t="s">
        <v>144</v>
      </c>
      <c r="B38" s="0" t="n">
        <f aca="false">B37/Assumptions!$B$3*Assumptions!$B$10</f>
        <v>614.888979668529</v>
      </c>
    </row>
    <row r="39" customFormat="false" ht="15" hidden="false" customHeight="false" outlineLevel="0" collapsed="false">
      <c r="A39" s="0" t="s">
        <v>145</v>
      </c>
      <c r="B39" s="4" t="n">
        <f aca="false">B38/Assumptions!$B$2-1</f>
        <v>0.0882990790593439</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614.888979668529</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1285231.00459758</v>
      </c>
    </row>
    <row r="47" customFormat="false" ht="15" hidden="false" customHeight="false" outlineLevel="0" collapsed="false">
      <c r="A47" s="0" t="s">
        <v>150</v>
      </c>
      <c r="B47" s="0" t="n">
        <f aca="false">(SUMPRODUCT(C19:L19/(1+B45/100)^C4:L4)+B46/(1+B45/100)^L4+Assumptions!$B$5-Assumptions!$B$4)/Assumptions!$B$3*Assumptions!$B$10</f>
        <v>-103.492651331224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2.5</v>
      </c>
      <c r="D5" s="4" t="n">
        <f aca="false">Assumptions!D41</f>
        <v>5</v>
      </c>
      <c r="E5" s="4" t="n">
        <f aca="false">Assumptions!E41</f>
        <v>6</v>
      </c>
      <c r="F5" s="4" t="n">
        <f aca="false">Assumptions!F41</f>
        <v>6</v>
      </c>
      <c r="G5" s="4" t="n">
        <f aca="false">Assumptions!G41</f>
        <v>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2328515</v>
      </c>
      <c r="C6" s="0" t="n">
        <f aca="false">B6*(1+C5/100)</f>
        <v>2386727.875</v>
      </c>
      <c r="D6" s="0" t="n">
        <f aca="false">C6*(1+D5/100)</f>
        <v>2506064.26875</v>
      </c>
      <c r="E6" s="0" t="n">
        <f aca="false">D6*(1+E5/100)</f>
        <v>2656428.124875</v>
      </c>
      <c r="F6" s="0" t="n">
        <f aca="false">E6*(1+F5/100)</f>
        <v>2815813.8123675</v>
      </c>
      <c r="G6" s="0" t="n">
        <f aca="false">F6*(1+G5/100)</f>
        <v>2956604.50298588</v>
      </c>
      <c r="H6" s="0" t="n">
        <f aca="false">G6*(1+H5/100)</f>
        <v>3074868.68310531</v>
      </c>
      <c r="I6" s="0" t="n">
        <f aca="false">H6*(1+I5/100)</f>
        <v>3182489.087014</v>
      </c>
      <c r="J6" s="0" t="n">
        <f aca="false">I6*(1+J5/100)</f>
        <v>3277963.75962442</v>
      </c>
      <c r="K6" s="0" t="n">
        <f aca="false">J6*(1+K5/100)</f>
        <v>3376302.67241315</v>
      </c>
      <c r="L6" s="0" t="n">
        <f aca="false">K6*(1+L5/100)</f>
        <v>3477591.75258554</v>
      </c>
    </row>
    <row r="7" customFormat="false" ht="15" hidden="false" customHeight="false" outlineLevel="0" collapsed="false">
      <c r="A7" s="0" t="s">
        <v>107</v>
      </c>
      <c r="C7" s="4" t="n">
        <f aca="false">Assumptions!C42</f>
        <v>14.5</v>
      </c>
      <c r="D7" s="4" t="n">
        <f aca="false">Assumptions!D42</f>
        <v>15</v>
      </c>
      <c r="E7" s="4" t="n">
        <f aca="false">Assumptions!E42</f>
        <v>15.5</v>
      </c>
      <c r="F7" s="4" t="n">
        <f aca="false">Assumptions!F42</f>
        <v>16</v>
      </c>
      <c r="G7" s="4" t="n">
        <f aca="false">Assumptions!G42</f>
        <v>16</v>
      </c>
      <c r="H7" s="4" t="n">
        <f aca="false">Assumptions!H42</f>
        <v>16</v>
      </c>
      <c r="I7" s="4" t="n">
        <f aca="false">Assumptions!I42</f>
        <v>16</v>
      </c>
      <c r="J7" s="4" t="n">
        <f aca="false">Assumptions!J42</f>
        <v>16</v>
      </c>
      <c r="K7" s="4" t="n">
        <f aca="false">Assumptions!K42</f>
        <v>16</v>
      </c>
      <c r="L7" s="4" t="n">
        <f aca="false">Assumptions!L42</f>
        <v>16</v>
      </c>
    </row>
    <row r="8" customFormat="false" ht="15" hidden="false" customHeight="false" outlineLevel="0" collapsed="false">
      <c r="A8" s="0" t="s">
        <v>43</v>
      </c>
      <c r="C8" s="0" t="n">
        <f aca="false">C6*C7/100</f>
        <v>346075.541875</v>
      </c>
      <c r="D8" s="0" t="n">
        <f aca="false">D6*D7/100</f>
        <v>375909.6403125</v>
      </c>
      <c r="E8" s="0" t="n">
        <f aca="false">E6*E7/100</f>
        <v>411746.359355625</v>
      </c>
      <c r="F8" s="0" t="n">
        <f aca="false">F6*F7/100</f>
        <v>450530.2099788</v>
      </c>
      <c r="G8" s="0" t="n">
        <f aca="false">G6*G7/100</f>
        <v>473056.72047774</v>
      </c>
      <c r="H8" s="0" t="n">
        <f aca="false">H6*H7/100</f>
        <v>491978.98929685</v>
      </c>
      <c r="I8" s="0" t="n">
        <f aca="false">I6*I7/100</f>
        <v>509198.253922239</v>
      </c>
      <c r="J8" s="0" t="n">
        <f aca="false">J6*J7/100</f>
        <v>524474.201539907</v>
      </c>
      <c r="K8" s="0" t="n">
        <f aca="false">K6*K7/100</f>
        <v>540208.427586104</v>
      </c>
      <c r="L8" s="0" t="n">
        <f aca="false">L6*L7/100</f>
        <v>556414.680413687</v>
      </c>
    </row>
    <row r="9" customFormat="false" ht="15" hidden="false" customHeight="false" outlineLevel="0" collapsed="false">
      <c r="A9" s="0" t="s">
        <v>108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346075.541875</v>
      </c>
      <c r="D11" s="0" t="n">
        <f aca="false">D8+D10+D24</f>
        <v>375909.6403125</v>
      </c>
      <c r="E11" s="0" t="n">
        <f aca="false">E8+E10+E24</f>
        <v>411746.359355625</v>
      </c>
      <c r="F11" s="0" t="n">
        <f aca="false">F8+F10+F24</f>
        <v>450530.2099788</v>
      </c>
      <c r="G11" s="0" t="n">
        <f aca="false">G8+G10+G24</f>
        <v>473056.72047774</v>
      </c>
      <c r="H11" s="0" t="n">
        <f aca="false">H8+H10+H24</f>
        <v>491978.98929685</v>
      </c>
      <c r="I11" s="0" t="n">
        <f aca="false">I8+I10+I24</f>
        <v>509198.253922239</v>
      </c>
      <c r="J11" s="0" t="n">
        <f aca="false">J8+J10+J24</f>
        <v>524474.201539907</v>
      </c>
      <c r="K11" s="0" t="n">
        <f aca="false">K8+K10+K24</f>
        <v>540208.427586104</v>
      </c>
      <c r="L11" s="0" t="n">
        <f aca="false">L8+L10+L24</f>
        <v>556414.680413687</v>
      </c>
    </row>
    <row r="12" customFormat="false" ht="15" hidden="false" customHeight="false" outlineLevel="0" collapsed="false">
      <c r="A12" s="0" t="s">
        <v>125</v>
      </c>
      <c r="C12" s="4" t="n">
        <f aca="false">-C6*Assumptions!C45/100</f>
        <v>-121723.121625</v>
      </c>
      <c r="D12" s="4" t="n">
        <f aca="false">-D6*Assumptions!D45/100</f>
        <v>-127809.27770625</v>
      </c>
      <c r="E12" s="4" t="n">
        <f aca="false">-E6*Assumptions!E45/100</f>
        <v>-132821.40624375</v>
      </c>
      <c r="F12" s="4" t="n">
        <f aca="false">-F6*Assumptions!F45/100</f>
        <v>-140790.690618375</v>
      </c>
      <c r="G12" s="4" t="n">
        <f aca="false">-G6*Assumptions!G45/100</f>
        <v>-147830.225149294</v>
      </c>
      <c r="H12" s="4" t="n">
        <f aca="false">-H6*Assumptions!H45/100</f>
        <v>-153743.434155266</v>
      </c>
      <c r="I12" s="4" t="n">
        <f aca="false">-I6*Assumptions!I45/100</f>
        <v>-159124.4543507</v>
      </c>
      <c r="J12" s="4" t="n">
        <f aca="false">-J6*Assumptions!J45/100</f>
        <v>-163898.187981221</v>
      </c>
      <c r="K12" s="4" t="n">
        <f aca="false">-K6*Assumptions!K45/100</f>
        <v>-168815.133620657</v>
      </c>
      <c r="L12" s="4" t="n">
        <f aca="false">-L6*Assumptions!L45/100</f>
        <v>-173879.587629277</v>
      </c>
    </row>
    <row r="13" customFormat="false" ht="15" hidden="false" customHeight="false" outlineLevel="0" collapsed="false">
      <c r="A13" s="0" t="s">
        <v>126</v>
      </c>
      <c r="C13" s="0" t="n">
        <f aca="false">C11+C12</f>
        <v>224352.42025</v>
      </c>
      <c r="D13" s="0" t="n">
        <f aca="false">D11+D12</f>
        <v>248100.36260625</v>
      </c>
      <c r="E13" s="0" t="n">
        <f aca="false">E11+E12</f>
        <v>278924.953111875</v>
      </c>
      <c r="F13" s="0" t="n">
        <f aca="false">F11+F12</f>
        <v>309739.519360425</v>
      </c>
      <c r="G13" s="0" t="n">
        <f aca="false">G11+G12</f>
        <v>325226.495328446</v>
      </c>
      <c r="H13" s="0" t="n">
        <f aca="false">H11+H12</f>
        <v>338235.555141584</v>
      </c>
      <c r="I13" s="0" t="n">
        <f aca="false">I11+I12</f>
        <v>350073.79957154</v>
      </c>
      <c r="J13" s="0" t="n">
        <f aca="false">J11+J12</f>
        <v>360576.013558686</v>
      </c>
      <c r="K13" s="0" t="n">
        <f aca="false">K11+K12</f>
        <v>371393.293965446</v>
      </c>
      <c r="L13" s="0" t="n">
        <f aca="false">L11+L12</f>
        <v>382535.09278441</v>
      </c>
    </row>
    <row r="14" customFormat="false" ht="15" hidden="false" customHeight="false" outlineLevel="0" collapsed="false">
      <c r="A14" s="0" t="s">
        <v>112</v>
      </c>
      <c r="C14" s="4" t="n">
        <f aca="false">Assumptions!C47</f>
        <v>24</v>
      </c>
      <c r="D14" s="4" t="n">
        <f aca="false">Assumptions!D47</f>
        <v>26</v>
      </c>
      <c r="E14" s="4" t="n">
        <f aca="false">Assumptions!E47</f>
        <v>28</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127</v>
      </c>
      <c r="C15" s="0" t="n">
        <f aca="false">C13-MAX(0,C13)*C14/100</f>
        <v>170507.83939</v>
      </c>
      <c r="D15" s="0" t="n">
        <f aca="false">D13-MAX(0,D13)*D14/100</f>
        <v>183594.268328625</v>
      </c>
      <c r="E15" s="0" t="n">
        <f aca="false">E13-MAX(0,E13)*E14/100</f>
        <v>200825.96624055</v>
      </c>
      <c r="F15" s="0" t="n">
        <f aca="false">F13-MAX(0,F13)*F14/100</f>
        <v>219915.058745902</v>
      </c>
      <c r="G15" s="0" t="n">
        <f aca="false">G13-MAX(0,G13)*G14/100</f>
        <v>230910.811683197</v>
      </c>
      <c r="H15" s="0" t="n">
        <f aca="false">H13-MAX(0,H13)*H14/100</f>
        <v>240147.244150525</v>
      </c>
      <c r="I15" s="0" t="n">
        <f aca="false">I13-MAX(0,I13)*I14/100</f>
        <v>248552.397695793</v>
      </c>
      <c r="J15" s="0" t="n">
        <f aca="false">J13-MAX(0,J13)*J14/100</f>
        <v>256008.969626667</v>
      </c>
      <c r="K15" s="0" t="n">
        <f aca="false">K13-MAX(0,K13)*K14/100</f>
        <v>263689.238715467</v>
      </c>
      <c r="L15" s="0" t="n">
        <f aca="false">L13-MAX(0,L13)*L14/100</f>
        <v>271599.915876931</v>
      </c>
    </row>
    <row r="16" customFormat="false" ht="15" hidden="false" customHeight="false" outlineLevel="0" collapsed="false">
      <c r="A16" s="0" t="s">
        <v>128</v>
      </c>
      <c r="C16" s="0" t="n">
        <f aca="false">-C12</f>
        <v>121723.121625</v>
      </c>
      <c r="D16" s="0" t="n">
        <f aca="false">-D12</f>
        <v>127809.27770625</v>
      </c>
      <c r="E16" s="0" t="n">
        <f aca="false">-E12</f>
        <v>132821.40624375</v>
      </c>
      <c r="F16" s="0" t="n">
        <f aca="false">-F12</f>
        <v>140790.690618375</v>
      </c>
      <c r="G16" s="0" t="n">
        <f aca="false">-G12</f>
        <v>147830.225149294</v>
      </c>
      <c r="H16" s="0" t="n">
        <f aca="false">-H12</f>
        <v>153743.434155266</v>
      </c>
      <c r="I16" s="0" t="n">
        <f aca="false">-I12</f>
        <v>159124.4543507</v>
      </c>
      <c r="J16" s="0" t="n">
        <f aca="false">-J12</f>
        <v>163898.187981221</v>
      </c>
      <c r="K16" s="0" t="n">
        <f aca="false">-K12</f>
        <v>168815.133620657</v>
      </c>
      <c r="L16" s="0" t="n">
        <f aca="false">-L12</f>
        <v>173879.587629277</v>
      </c>
    </row>
    <row r="17" customFormat="false" ht="15" hidden="false" customHeight="false" outlineLevel="0" collapsed="false">
      <c r="A17" s="0" t="s">
        <v>129</v>
      </c>
      <c r="C17" s="4" t="n">
        <f aca="false">-C6*Assumptions!C46/100</f>
        <v>-143203.6725</v>
      </c>
      <c r="D17" s="4" t="n">
        <f aca="false">-D6*Assumptions!D46/100</f>
        <v>-150363.856125</v>
      </c>
      <c r="E17" s="4" t="n">
        <f aca="false">-E6*Assumptions!E46/100</f>
        <v>-154072.83124275</v>
      </c>
      <c r="F17" s="4" t="n">
        <f aca="false">-F6*Assumptions!F46/100</f>
        <v>-157685.57349258</v>
      </c>
      <c r="G17" s="4" t="n">
        <f aca="false">-G6*Assumptions!G46/100</f>
        <v>-162613.247664223</v>
      </c>
      <c r="H17" s="4" t="n">
        <f aca="false">-H6*Assumptions!H46/100</f>
        <v>-169117.777570792</v>
      </c>
      <c r="I17" s="4" t="n">
        <f aca="false">-I6*Assumptions!I46/100</f>
        <v>-175036.89978577</v>
      </c>
      <c r="J17" s="4" t="n">
        <f aca="false">-J6*Assumptions!J46/100</f>
        <v>-180288.006779343</v>
      </c>
      <c r="K17" s="4" t="n">
        <f aca="false">-K6*Assumptions!K46/100</f>
        <v>-185696.646982723</v>
      </c>
      <c r="L17" s="4" t="n">
        <f aca="false">-L6*Assumptions!L46/100</f>
        <v>-191267.546392205</v>
      </c>
    </row>
    <row r="18" customFormat="false" ht="15" hidden="false" customHeight="false" outlineLevel="0" collapsed="false">
      <c r="A18" s="0" t="s">
        <v>130</v>
      </c>
      <c r="C18" s="4" t="n">
        <f aca="false">(C6-B6)*Assumptions!$B$51/100</f>
        <v>-14553.21875</v>
      </c>
      <c r="D18" s="4" t="n">
        <f aca="false">(D6-C6)*Assumptions!$B$51/100</f>
        <v>-29834.0984375001</v>
      </c>
      <c r="E18" s="4" t="n">
        <f aca="false">(E6-D6)*Assumptions!$B$51/100</f>
        <v>-37590.96403125</v>
      </c>
      <c r="F18" s="4" t="n">
        <f aca="false">(F6-E6)*Assumptions!$B$51/100</f>
        <v>-39846.421873125</v>
      </c>
      <c r="G18" s="4" t="n">
        <f aca="false">(G6-F6)*Assumptions!$B$51/100</f>
        <v>-35197.6726545938</v>
      </c>
      <c r="H18" s="4" t="n">
        <f aca="false">(H6-G6)*Assumptions!$B$51/100</f>
        <v>-29566.0450298588</v>
      </c>
      <c r="I18" s="4" t="n">
        <f aca="false">(I6-H6)*Assumptions!$B$51/100</f>
        <v>-26905.1009771714</v>
      </c>
      <c r="J18" s="4" t="n">
        <f aca="false">(J6-I6)*Assumptions!$B$51/100</f>
        <v>-23868.668152605</v>
      </c>
      <c r="K18" s="4" t="n">
        <f aca="false">(K6-J6)*Assumptions!$B$51/100</f>
        <v>-24584.7281971831</v>
      </c>
      <c r="L18" s="4" t="n">
        <f aca="false">(L6-K6)*Assumptions!$B$51/100</f>
        <v>-25322.2700430986</v>
      </c>
    </row>
    <row r="19" customFormat="false" ht="15" hidden="false" customHeight="false" outlineLevel="0" collapsed="false">
      <c r="A19" s="0" t="s">
        <v>131</v>
      </c>
      <c r="C19" s="0" t="n">
        <f aca="false">C15+C16+C17+C18</f>
        <v>134474.069765</v>
      </c>
      <c r="D19" s="0" t="n">
        <f aca="false">D15+D16+D17+D18</f>
        <v>131205.591472375</v>
      </c>
      <c r="E19" s="0" t="n">
        <f aca="false">E15+E16+E17+E18</f>
        <v>141983.5772103</v>
      </c>
      <c r="F19" s="0" t="n">
        <f aca="false">F15+F16+F17+F18</f>
        <v>163173.753998572</v>
      </c>
      <c r="G19" s="0" t="n">
        <f aca="false">G15+G16+G17+G18</f>
        <v>180930.116513674</v>
      </c>
      <c r="H19" s="0" t="n">
        <f aca="false">H15+H16+H17+H18</f>
        <v>195206.855705139</v>
      </c>
      <c r="I19" s="0" t="n">
        <f aca="false">I15+I16+I17+I18</f>
        <v>205734.851283552</v>
      </c>
      <c r="J19" s="0" t="n">
        <f aca="false">J15+J16+J17+J18</f>
        <v>215750.48267594</v>
      </c>
      <c r="K19" s="0" t="n">
        <f aca="false">K15+K16+K17+K18</f>
        <v>222222.997156218</v>
      </c>
      <c r="L19" s="0" t="n">
        <f aca="false">L15+L16+L17+L18</f>
        <v>228889.687070905</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125676.700714953</v>
      </c>
      <c r="D21" s="0" t="n">
        <f aca="false">D19*D20</f>
        <v>114600.044957966</v>
      </c>
      <c r="E21" s="0" t="n">
        <f aca="false">E19*E20</f>
        <v>115900.892630136</v>
      </c>
      <c r="F21" s="0" t="n">
        <f aca="false">F19*F20</f>
        <v>124484.475657331</v>
      </c>
      <c r="G21" s="0" t="n">
        <f aca="false">G19*G20</f>
        <v>129000.672526619</v>
      </c>
      <c r="H21" s="0" t="n">
        <f aca="false">H19*H20</f>
        <v>130074.570334792</v>
      </c>
      <c r="I21" s="0" t="n">
        <f aca="false">I19*I20</f>
        <v>128121.325533497</v>
      </c>
      <c r="J21" s="0" t="n">
        <f aca="false">J19*J20</f>
        <v>125568.745231699</v>
      </c>
      <c r="K21" s="0" t="n">
        <f aca="false">K19*K20</f>
        <v>120874.586531448</v>
      </c>
      <c r="L21" s="0" t="n">
        <f aca="false">L19*L20</f>
        <v>116355.910399431</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7</v>
      </c>
    </row>
    <row r="28" customFormat="false" ht="15" hidden="false" customHeight="false" outlineLevel="0" collapsed="false">
      <c r="A28" s="0" t="s">
        <v>114</v>
      </c>
      <c r="B28" s="4" t="n">
        <f aca="false">Assumptions!$B$49</f>
        <v>1.5</v>
      </c>
    </row>
    <row r="29" customFormat="false" ht="15" hidden="false" customHeight="false" outlineLevel="0" collapsed="false">
      <c r="A29" s="0" t="s">
        <v>115</v>
      </c>
      <c r="B29" s="4" t="n">
        <f aca="false">Assumptions!$B$50</f>
        <v>15</v>
      </c>
    </row>
    <row r="30" customFormat="false" ht="15" hidden="false" customHeight="false" outlineLevel="0" collapsed="false">
      <c r="A30" s="0" t="s">
        <v>136</v>
      </c>
      <c r="B30" s="0" t="n">
        <f aca="false">SUM(C21:L21)</f>
        <v>1230657.92451787</v>
      </c>
    </row>
    <row r="31" customFormat="false" ht="15" hidden="false" customHeight="false" outlineLevel="0" collapsed="false">
      <c r="A31" s="0" t="s">
        <v>137</v>
      </c>
      <c r="B31" s="0" t="n">
        <f aca="false">L19</f>
        <v>228889.687070905</v>
      </c>
    </row>
    <row r="32" customFormat="false" ht="15" hidden="false" customHeight="false" outlineLevel="0" collapsed="false">
      <c r="A32" s="0" t="s">
        <v>138</v>
      </c>
      <c r="B32" s="0" t="n">
        <f aca="false">IF(B27&gt;B28,B31*(1+B28/100)/((B27-B28)/100),B31*B29)</f>
        <v>4224055.13412669</v>
      </c>
    </row>
    <row r="33" customFormat="false" ht="15" hidden="false" customHeight="false" outlineLevel="0" collapsed="false">
      <c r="A33" s="0" t="s">
        <v>139</v>
      </c>
      <c r="B33" s="0" t="n">
        <f aca="false">B31*B29</f>
        <v>3433345.30606357</v>
      </c>
    </row>
    <row r="34" customFormat="false" ht="15" hidden="false" customHeight="false" outlineLevel="0" collapsed="false">
      <c r="A34" s="0" t="s">
        <v>140</v>
      </c>
      <c r="B34" s="0" t="n">
        <f aca="false">MAX(0,MIN(B32,B33))</f>
        <v>3433345.30606357</v>
      </c>
    </row>
    <row r="35" customFormat="false" ht="15" hidden="false" customHeight="false" outlineLevel="0" collapsed="false">
      <c r="A35" s="0" t="s">
        <v>141</v>
      </c>
      <c r="B35" s="0" t="n">
        <f aca="false">B34/(1+B27/100)^L4</f>
        <v>1745338.65599147</v>
      </c>
    </row>
    <row r="36" customFormat="false" ht="15" hidden="false" customHeight="false" outlineLevel="0" collapsed="false">
      <c r="A36" s="0" t="s">
        <v>142</v>
      </c>
      <c r="B36" s="0" t="n">
        <f aca="false">B30+B35</f>
        <v>2975996.58050934</v>
      </c>
    </row>
    <row r="37" customFormat="false" ht="15" hidden="false" customHeight="false" outlineLevel="0" collapsed="false">
      <c r="A37" s="0" t="s">
        <v>143</v>
      </c>
      <c r="B37" s="0" t="n">
        <f aca="false">B36+Assumptions!$B$5-Assumptions!$B$4</f>
        <v>1748227.58050934</v>
      </c>
    </row>
    <row r="38" customFormat="false" ht="15" hidden="false" customHeight="false" outlineLevel="0" collapsed="false">
      <c r="A38" s="0" t="s">
        <v>144</v>
      </c>
      <c r="B38" s="0" t="n">
        <f aca="false">B37/Assumptions!$B$3*Assumptions!$B$10</f>
        <v>1065.53762449524</v>
      </c>
    </row>
    <row r="39" customFormat="false" ht="15" hidden="false" customHeight="false" outlineLevel="0" collapsed="false">
      <c r="A39" s="0" t="s">
        <v>145</v>
      </c>
      <c r="B39" s="4" t="n">
        <f aca="false">B38/Assumptions!$B$2-1</f>
        <v>0.885907299991578</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1065.53762449524</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1720911.3509405</v>
      </c>
    </row>
    <row r="47" customFormat="false" ht="15" hidden="false" customHeight="false" outlineLevel="0" collapsed="false">
      <c r="A47" s="0" t="s">
        <v>150</v>
      </c>
      <c r="B47" s="0" t="n">
        <f aca="false">(SUMPRODUCT(C19:L19/(1+B45/100)^C4:L4)+B46/(1+B45/100)^L4+Assumptions!$B$5-Assumptions!$B$4)/Assumptions!$B$3*Assumptions!$B$10</f>
        <v>25.8290025879228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142.257607926303</v>
      </c>
      <c r="C4" s="0" t="n">
        <f aca="false">B4/Assumptions!$B$2-1</f>
        <v>-0.748216623139288</v>
      </c>
      <c r="D4" s="4" t="n">
        <f aca="false">Assumptions!$B$24</f>
        <v>0.3</v>
      </c>
      <c r="E4" s="4" t="n">
        <f aca="false">DCF_Bear!$B$43</f>
        <v>142.257607926303</v>
      </c>
      <c r="F4" s="4" t="n">
        <f aca="false">DCF_Bear!$B$47</f>
        <v>-276.599660722035</v>
      </c>
    </row>
    <row r="5" customFormat="false" ht="15" hidden="false" customHeight="false" outlineLevel="0" collapsed="false">
      <c r="A5" s="0" t="s">
        <v>159</v>
      </c>
      <c r="B5" s="4" t="n">
        <f aca="false">DCF_Base!$B$38</f>
        <v>614.888979668529</v>
      </c>
      <c r="C5" s="0" t="n">
        <f aca="false">B5/Assumptions!$B$2-1</f>
        <v>0.0882990790593439</v>
      </c>
      <c r="D5" s="4" t="n">
        <f aca="false">Assumptions!$B$38</f>
        <v>0.5</v>
      </c>
      <c r="E5" s="4" t="n">
        <f aca="false">DCF_Base!$B$43</f>
        <v>614.888979668529</v>
      </c>
      <c r="F5" s="4" t="n">
        <f aca="false">DCF_Base!$B$47</f>
        <v>-103.492651331224</v>
      </c>
    </row>
    <row r="6" customFormat="false" ht="15" hidden="false" customHeight="false" outlineLevel="0" collapsed="false">
      <c r="A6" s="0" t="s">
        <v>160</v>
      </c>
      <c r="B6" s="4" t="n">
        <f aca="false">DCF_Bull!$B$38</f>
        <v>1065.53762449524</v>
      </c>
      <c r="C6" s="0" t="n">
        <f aca="false">B6/Assumptions!$B$2-1</f>
        <v>0.885907299991578</v>
      </c>
      <c r="D6" s="4" t="n">
        <f aca="false">Assumptions!$B$52</f>
        <v>0.2</v>
      </c>
      <c r="E6" s="4" t="n">
        <f aca="false">DCF_Bull!$B$43</f>
        <v>1065.53762449524</v>
      </c>
      <c r="F6" s="4" t="n">
        <f aca="false">DCF_Bull!$B$47</f>
        <v>25.8290025879228</v>
      </c>
    </row>
    <row r="8" customFormat="false" ht="15" hidden="false" customHeight="false" outlineLevel="0" collapsed="false">
      <c r="A8" s="0" t="s">
        <v>161</v>
      </c>
      <c r="B8" s="0" t="n">
        <f aca="false">SUMPRODUCT(B4:B6,D4:D6)</f>
        <v>563.229297111204</v>
      </c>
    </row>
    <row r="9" customFormat="false" ht="15" hidden="false" customHeight="false" outlineLevel="0" collapsed="false">
      <c r="A9" s="0" t="s">
        <v>162</v>
      </c>
      <c r="B9" s="0" t="n">
        <f aca="false">SUMPRODUCT(E4:E6,D4:D6)</f>
        <v>563.229297111204</v>
      </c>
    </row>
    <row r="10" customFormat="false" ht="15" hidden="false" customHeight="false" outlineLevel="0" collapsed="false">
      <c r="A10" s="0" t="s">
        <v>163</v>
      </c>
      <c r="B10" s="0" t="n">
        <f aca="false">1-Assumptions!$B$2/B8</f>
        <v>-0.00314384016932046</v>
      </c>
    </row>
    <row r="11" customFormat="false" ht="15" hidden="false" customHeight="false" outlineLevel="0" collapsed="false">
      <c r="A11" s="0" t="s">
        <v>164</v>
      </c>
      <c r="B11" s="0" t="str">
        <f aca="false">IF(ABS(B9-B8)&gt;0.01*ABS(B8),(Assumptions!$B$2-B8)/(B9-B8)*100,"n/a")</f>
        <v>n/a</v>
      </c>
    </row>
    <row r="12" customFormat="false" ht="15" hidden="false" customHeight="false" outlineLevel="0" collapsed="false">
      <c r="A12" s="0" t="s">
        <v>165</v>
      </c>
      <c r="B12" s="0" t="n">
        <f aca="false">SUMPRODUCT(F4:F6,D4:D6)</f>
        <v>-129.560423364638</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614.888979668529</v>
      </c>
      <c r="C15" s="3" t="n">
        <v>7</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417.250876565377</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281.429286744024</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173.092513343988</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84.7248322008525</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-103.492651331224</v>
      </c>
      <c r="C20" s="3" t="n">
        <v>15</v>
      </c>
    </row>
    <row r="22" customFormat="false" ht="15" hidden="false" customHeight="false" outlineLevel="0" collapsed="false">
      <c r="A22" s="2" t="s">
        <v>174</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832.343002115455</v>
      </c>
      <c r="C24" s="0" t="n">
        <f aca="false">(SUMPRODUCT(DCF_Base!$C$19:$L$19/(1+$A$24/100)^DCF_Base!$C$4:$L$4)+MAX(0,MIN(IF($A$24&gt;$C$23,DCF_Base!$L$19*(1+$C$23/100)/(($A$24-$C$23)/100),DCF_Base!$L$19*DCF_Base!$B$29),DCF_Base!$L$19*DCF_Base!$B$29))/(1+$A$24/100)^DCF_Base!$L$4+Assumptions!$B$5-Assumptions!$B$4)/Assumptions!$B$3*Assumptions!$B$10</f>
        <v>832.343002115455</v>
      </c>
      <c r="D24" s="0" t="n">
        <f aca="false">(SUMPRODUCT(DCF_Base!$C$19:$L$19/(1+$A$24/100)^DCF_Base!$C$4:$L$4)+MAX(0,MIN(IF($A$24&gt;$D$23,DCF_Base!$L$19*(1+$D$23/100)/(($A$24-$D$23)/100),DCF_Base!$L$19*DCF_Base!$B$29),DCF_Base!$L$19*DCF_Base!$B$29))/(1+$A$24/100)^DCF_Base!$L$4+Assumptions!$B$5-Assumptions!$B$4)/Assumptions!$B$3*Assumptions!$B$10</f>
        <v>832.343002115455</v>
      </c>
      <c r="E24" s="0" t="n">
        <f aca="false">(SUMPRODUCT(DCF_Base!$C$19:$L$19/(1+$A$24/100)^DCF_Base!$C$4:$L$4)+MAX(0,MIN(IF($A$24&gt;$E$23,DCF_Base!$L$19*(1+$E$23/100)/(($A$24-$E$23)/100),DCF_Base!$L$19*DCF_Base!$B$29),DCF_Base!$L$19*DCF_Base!$B$29))/(1+$A$24/100)^DCF_Base!$L$4+Assumptions!$B$5-Assumptions!$B$4)/Assumptions!$B$3*Assumptions!$B$10</f>
        <v>832.343002115455</v>
      </c>
      <c r="F24" s="0" t="n">
        <f aca="false">(SUMPRODUCT(DCF_Base!$C$19:$L$19/(1+$A$24/100)^DCF_Base!$C$4:$L$4)+MAX(0,MIN(IF($A$24&gt;$F$23,DCF_Base!$L$19*(1+$F$23/100)/(($A$24-$F$23)/100),DCF_Base!$L$19*DCF_Base!$B$29),DCF_Base!$L$19*DCF_Base!$B$29))/(1+$A$24/100)^DCF_Base!$L$4+Assumptions!$B$5-Assumptions!$B$4)/Assumptions!$B$3*Assumptions!$B$10</f>
        <v>832.343002115455</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718.481881664557</v>
      </c>
      <c r="C25" s="0" t="n">
        <f aca="false">(SUMPRODUCT(DCF_Base!$C$19:$L$19/(1+$A$25/100)^DCF_Base!$C$4:$L$4)+MAX(0,MIN(IF($A$25&gt;$C$23,DCF_Base!$L$19*(1+$C$23/100)/(($A$25-$C$23)/100),DCF_Base!$L$19*DCF_Base!$B$29),DCF_Base!$L$19*DCF_Base!$B$29))/(1+$A$25/100)^DCF_Base!$L$4+Assumptions!$B$5-Assumptions!$B$4)/Assumptions!$B$3*Assumptions!$B$10</f>
        <v>718.481881664557</v>
      </c>
      <c r="D25" s="0" t="n">
        <f aca="false">(SUMPRODUCT(DCF_Base!$C$19:$L$19/(1+$A$25/100)^DCF_Base!$C$4:$L$4)+MAX(0,MIN(IF($A$25&gt;$D$23,DCF_Base!$L$19*(1+$D$23/100)/(($A$25-$D$23)/100),DCF_Base!$L$19*DCF_Base!$B$29),DCF_Base!$L$19*DCF_Base!$B$29))/(1+$A$25/100)^DCF_Base!$L$4+Assumptions!$B$5-Assumptions!$B$4)/Assumptions!$B$3*Assumptions!$B$10</f>
        <v>718.481881664557</v>
      </c>
      <c r="E25" s="0" t="n">
        <f aca="false">(SUMPRODUCT(DCF_Base!$C$19:$L$19/(1+$A$25/100)^DCF_Base!$C$4:$L$4)+MAX(0,MIN(IF($A$25&gt;$E$23,DCF_Base!$L$19*(1+$E$23/100)/(($A$25-$E$23)/100),DCF_Base!$L$19*DCF_Base!$B$29),DCF_Base!$L$19*DCF_Base!$B$29))/(1+$A$25/100)^DCF_Base!$L$4+Assumptions!$B$5-Assumptions!$B$4)/Assumptions!$B$3*Assumptions!$B$10</f>
        <v>718.481881664557</v>
      </c>
      <c r="F25" s="0" t="n">
        <f aca="false">(SUMPRODUCT(DCF_Base!$C$19:$L$19/(1+$A$25/100)^DCF_Base!$C$4:$L$4)+MAX(0,MIN(IF($A$25&gt;$F$23,DCF_Base!$L$19*(1+$F$23/100)/(($A$25-$F$23)/100),DCF_Base!$L$19*DCF_Base!$B$29),DCF_Base!$L$19*DCF_Base!$B$29))/(1+$A$25/100)^DCF_Base!$L$4+Assumptions!$B$5-Assumptions!$B$4)/Assumptions!$B$3*Assumptions!$B$10</f>
        <v>718.481881664557</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614.888979668529</v>
      </c>
      <c r="C26" s="0" t="n">
        <f aca="false">(SUMPRODUCT(DCF_Base!$C$19:$L$19/(1+$A$26/100)^DCF_Base!$C$4:$L$4)+MAX(0,MIN(IF($A$26&gt;$C$23,DCF_Base!$L$19*(1+$C$23/100)/(($A$26-$C$23)/100),DCF_Base!$L$19*DCF_Base!$B$29),DCF_Base!$L$19*DCF_Base!$B$29))/(1+$A$26/100)^DCF_Base!$L$4+Assumptions!$B$5-Assumptions!$B$4)/Assumptions!$B$3*Assumptions!$B$10</f>
        <v>614.888979668529</v>
      </c>
      <c r="D26" s="0" t="n">
        <f aca="false">(SUMPRODUCT(DCF_Base!$C$19:$L$19/(1+$A$26/100)^DCF_Base!$C$4:$L$4)+MAX(0,MIN(IF($A$26&gt;$D$23,DCF_Base!$L$19*(1+$D$23/100)/(($A$26-$D$23)/100),DCF_Base!$L$19*DCF_Base!$B$29),DCF_Base!$L$19*DCF_Base!$B$29))/(1+$A$26/100)^DCF_Base!$L$4+Assumptions!$B$5-Assumptions!$B$4)/Assumptions!$B$3*Assumptions!$B$10</f>
        <v>614.888979668529</v>
      </c>
      <c r="E26" s="0" t="n">
        <f aca="false">(SUMPRODUCT(DCF_Base!$C$19:$L$19/(1+$A$26/100)^DCF_Base!$C$4:$L$4)+MAX(0,MIN(IF($A$26&gt;$E$23,DCF_Base!$L$19*(1+$E$23/100)/(($A$26-$E$23)/100),DCF_Base!$L$19*DCF_Base!$B$29),DCF_Base!$L$19*DCF_Base!$B$29))/(1+$A$26/100)^DCF_Base!$L$4+Assumptions!$B$5-Assumptions!$B$4)/Assumptions!$B$3*Assumptions!$B$10</f>
        <v>614.888979668529</v>
      </c>
      <c r="F26" s="0" t="n">
        <f aca="false">(SUMPRODUCT(DCF_Base!$C$19:$L$19/(1+$A$26/100)^DCF_Base!$C$4:$L$4)+MAX(0,MIN(IF($A$26&gt;$F$23,DCF_Base!$L$19*(1+$F$23/100)/(($A$26-$F$23)/100),DCF_Base!$L$19*DCF_Base!$B$29),DCF_Base!$L$19*DCF_Base!$B$29))/(1+$A$26/100)^DCF_Base!$L$4+Assumptions!$B$5-Assumptions!$B$4)/Assumptions!$B$3*Assumptions!$B$10</f>
        <v>614.888979668529</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495.373770238912</v>
      </c>
      <c r="C27" s="0" t="n">
        <f aca="false">(SUMPRODUCT(DCF_Base!$C$19:$L$19/(1+$A$27/100)^DCF_Base!$C$4:$L$4)+MAX(0,MIN(IF($A$27&gt;$C$23,DCF_Base!$L$19*(1+$C$23/100)/(($A$27-$C$23)/100),DCF_Base!$L$19*DCF_Base!$B$29),DCF_Base!$L$19*DCF_Base!$B$29))/(1+$A$27/100)^DCF_Base!$L$4+Assumptions!$B$5-Assumptions!$B$4)/Assumptions!$B$3*Assumptions!$B$10</f>
        <v>520.52105658855</v>
      </c>
      <c r="D27" s="0" t="n">
        <f aca="false">(SUMPRODUCT(DCF_Base!$C$19:$L$19/(1+$A$27/100)^DCF_Base!$C$4:$L$4)+MAX(0,MIN(IF($A$27&gt;$D$23,DCF_Base!$L$19*(1+$D$23/100)/(($A$27-$D$23)/100),DCF_Base!$L$19*DCF_Base!$B$29),DCF_Base!$L$19*DCF_Base!$B$29))/(1+$A$27/100)^DCF_Base!$L$4+Assumptions!$B$5-Assumptions!$B$4)/Assumptions!$B$3*Assumptions!$B$10</f>
        <v>520.52105658855</v>
      </c>
      <c r="E27" s="0" t="n">
        <f aca="false">(SUMPRODUCT(DCF_Base!$C$19:$L$19/(1+$A$27/100)^DCF_Base!$C$4:$L$4)+MAX(0,MIN(IF($A$27&gt;$E$23,DCF_Base!$L$19*(1+$E$23/100)/(($A$27-$E$23)/100),DCF_Base!$L$19*DCF_Base!$B$29),DCF_Base!$L$19*DCF_Base!$B$29))/(1+$A$27/100)^DCF_Base!$L$4+Assumptions!$B$5-Assumptions!$B$4)/Assumptions!$B$3*Assumptions!$B$10</f>
        <v>520.52105658855</v>
      </c>
      <c r="F27" s="0" t="n">
        <f aca="false">(SUMPRODUCT(DCF_Base!$C$19:$L$19/(1+$A$27/100)^DCF_Base!$C$4:$L$4)+MAX(0,MIN(IF($A$27&gt;$F$23,DCF_Base!$L$19*(1+$F$23/100)/(($A$27-$F$23)/100),DCF_Base!$L$19*DCF_Base!$B$29),DCF_Base!$L$19*DCF_Base!$B$29))/(1+$A$27/100)^DCF_Base!$L$4+Assumptions!$B$5-Assumptions!$B$4)/Assumptions!$B$3*Assumptions!$B$10</f>
        <v>520.52105658855</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347.814396079161</v>
      </c>
      <c r="C28" s="0" t="n">
        <f aca="false">(SUMPRODUCT(DCF_Base!$C$19:$L$19/(1+$A$28/100)^DCF_Base!$C$4:$L$4)+MAX(0,MIN(IF($A$28&gt;$C$23,DCF_Base!$L$19*(1+$C$23/100)/(($A$28-$C$23)/100),DCF_Base!$L$19*DCF_Base!$B$29),DCF_Base!$L$19*DCF_Base!$B$29))/(1+$A$28/100)^DCF_Base!$L$4+Assumptions!$B$5-Assumptions!$B$4)/Assumptions!$B$3*Assumptions!$B$10</f>
        <v>380.490386896204</v>
      </c>
      <c r="D28" s="0" t="n">
        <f aca="false">(SUMPRODUCT(DCF_Base!$C$19:$L$19/(1+$A$28/100)^DCF_Base!$C$4:$L$4)+MAX(0,MIN(IF($A$28&gt;$D$23,DCF_Base!$L$19*(1+$D$23/100)/(($A$28-$D$23)/100),DCF_Base!$L$19*DCF_Base!$B$29),DCF_Base!$L$19*DCF_Base!$B$29))/(1+$A$28/100)^DCF_Base!$L$4+Assumptions!$B$5-Assumptions!$B$4)/Assumptions!$B$3*Assumptions!$B$10</f>
        <v>417.250876565377</v>
      </c>
      <c r="E28" s="0" t="n">
        <f aca="false">(SUMPRODUCT(DCF_Base!$C$19:$L$19/(1+$A$28/100)^DCF_Base!$C$4:$L$4)+MAX(0,MIN(IF($A$28&gt;$E$23,DCF_Base!$L$19*(1+$E$23/100)/(($A$28-$E$23)/100),DCF_Base!$L$19*DCF_Base!$B$29),DCF_Base!$L$19*DCF_Base!$B$29))/(1+$A$28/100)^DCF_Base!$L$4+Assumptions!$B$5-Assumptions!$B$4)/Assumptions!$B$3*Assumptions!$B$10</f>
        <v>434.450738704164</v>
      </c>
      <c r="F28" s="0" t="n">
        <f aca="false">(SUMPRODUCT(DCF_Base!$C$19:$L$19/(1+$A$28/100)^DCF_Base!$C$4:$L$4)+MAX(0,MIN(IF($A$28&gt;$F$23,DCF_Base!$L$19*(1+$F$23/100)/(($A$28-$F$23)/100),DCF_Base!$L$19*DCF_Base!$B$29),DCF_Base!$L$19*DCF_Base!$B$29))/(1+$A$28/100)^DCF_Base!$L$4+Assumptions!$B$5-Assumptions!$B$4)/Assumptions!$B$3*Assumptions!$B$10</f>
        <v>434.450738704164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2026-10-30T22:47:48Z</dcterms:created>
  <dc:creator>openpyxl</dc:creator>
  <dc:description/>
  <dc:language>en-NZ</dc:language>
  <cp:lastModifiedBy/>
  <dcterms:modified xsi:type="dcterms:W3CDTF">2026-10-30T22:47:48Z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