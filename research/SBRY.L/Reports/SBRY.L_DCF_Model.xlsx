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5.xml" ContentType="application/vnd.openxmlformats-officedocument.spreadsheetml.worksheet+xml"/>
  <Override PartName="/xl/worksheets/sheet3.xml" ContentType="application/vnd.openxmlformats-officedocument.spreadsheetml.worksheet+xml"/>
  <Override PartName="/xl/worksheets/sheet6.xml" ContentType="application/vnd.openxmlformats-officedocument.spreadsheetml.worksheet+xml"/>
  <Override PartName="/xl/worksheets/sheet4.xml" ContentType="application/vnd.openxmlformats-officedocument.spreadsheetml.worksheet+xml"/>
  <Override PartName="/xl/worksheets/sheet7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Model_Info" sheetId="1" state="visible" r:id="rId3"/>
    <sheet name="Actuals" sheetId="2" state="visible" r:id="rId4"/>
    <sheet name="Assumptions" sheetId="3" state="visible" r:id="rId5"/>
    <sheet name="DCF_Bear" sheetId="4" state="visible" r:id="rId6"/>
    <sheet name="DCF_Base" sheetId="5" state="visible" r:id="rId7"/>
    <sheet name="DCF_Bull" sheetId="6" state="visible" r:id="rId8"/>
    <sheet name="Valuation" sheetId="7" state="visible" r:id="rId9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<sst xmlns="http://schemas.openxmlformats.org/spreadsheetml/2006/main" count="360" uniqueCount="170">
  <si>
    <t xml:space="preserve">Ticker</t>
  </si>
  <si>
    <t xml:space="preserve">SBRY.L</t>
  </si>
  <si>
    <t xml:space="preserve">Company</t>
  </si>
  <si>
    <t xml:space="preserve">J Sainsbury plc</t>
  </si>
  <si>
    <t xml:space="preserve">Valuation date</t>
  </si>
  <si>
    <t xml:space="preserve">2026-10-10</t>
  </si>
  <si>
    <t xml:space="preserve">Current price</t>
  </si>
  <si>
    <t xml:space="preserve">Price as of</t>
  </si>
  <si>
    <t xml:space="preserve">2026-10-09T17:03:55Z regular close (Yahoo chart API)</t>
  </si>
  <si>
    <t xml:space="preserve">Balance sheet date</t>
  </si>
  <si>
    <t xml:space="preserve">2026-02-28</t>
  </si>
  <si>
    <t xml:space="preserve">Model</t>
  </si>
  <si>
    <t xml:space="preserve">owner_fcf_dcf_component</t>
  </si>
  <si>
    <t xml:space="preserve">Currency (model)</t>
  </si>
  <si>
    <t xml:space="preserve">GBP</t>
  </si>
  <si>
    <t xml:space="preserve">Currency (quote)</t>
  </si>
  <si>
    <t xml:space="preserve">GBp</t>
  </si>
  <si>
    <t xml:space="preserve">Units</t>
  </si>
  <si>
    <t xml:space="preserve">millions</t>
  </si>
  <si>
    <t xml:space="preserve">Engine</t>
  </si>
  <si>
    <t xml:space="preserve">dcf_engine v1</t>
  </si>
  <si>
    <t xml:space="preserve">Built at</t>
  </si>
  <si>
    <t xml:space="preserve">2026-10-10T01:16:41Z</t>
  </si>
  <si>
    <t xml:space="preserve">Drivers file</t>
  </si>
  <si>
    <t xml:space="preserve">SBRY.L_Drivers.json</t>
  </si>
  <si>
    <t xml:space="preserve">Convention</t>
  </si>
  <si>
    <t xml:space="preserve">Percents stored as percents; formulas divide by 100. Blue = input, green = link, black = formula.</t>
  </si>
  <si>
    <t xml:space="preserve">Methodology</t>
  </si>
  <si>
    <t xml:space="preserve">summary: A mature, 6.5%-EBITDA-margin UK grocer valued on unlevered owner FCF after the full lease cash cost, with lease liabilities excluded from net debt so the GBP5.5bn of IFRS-16 leases is charged exactly once. The forward build is anchored to the company's own Retail free cash flow (FY2026 GBP574m, FY2027 &gt;GBP500m guided) rather than the bank-distorted group cash-flow statement. Value is dominated by the terminal year (capped at 16x FCF in the base case), so the answer is mostly a view on sustainable margin and on what a 2%-growth grocer is worth at exit.
key_risks_to_valuation: Margin: every 10bp of EBITDA margin is ~GBP35m of EBITDA, ~GBP25m of after-tax FCF and roughly 15-17p/share at a 16x exit -- the bear case's 60bp erosion is the dominant downside; Lease treatment: switching to treatment (A) (leases in net debt, lease cash added back) must be done wholesale -- deducting GBP5.5bn of lease liabilities while also charging GBP770m/yr of lease cash would halve the value and is wrong; Terminal multiple: Gordon at 8%/2% is 17x; the 16x cap binds in the base case, so terminal_cap_multiple is a judgement, not a derived number; Cash tax: the ramp from ~16% actual to 27% removes ~GBP80m/yr of FCF by year 6; if full-expensing allowances persist indefinitely the base is conservative by ~25p/share; Balance-sheet vintage: net debt and share count are 28 Feb 2026; ~GBP175m of buyback has run since, which is value-neutral in this model but will move the per-share figure at the H1 FY2027 refresh; Analysis JSON arrived after the first build and was reconciled; its bear point that FY2027 guidance already disappointed in April 2026 is consistent with the 6.45% year-1 EBITDA margin</t>
  </si>
  <si>
    <t xml:space="preserve">Data sources</t>
  </si>
  <si>
    <t xml:space="preserve">price: Yahoo Finance chart API at inputs.price_as_of; 52-week range 293.7-380.3p
financials: SBRY.L_Metrics.csv (core_metrics, FY2019-FY2026) + FY2026 Annual Report (retail cash-flow statement A2.1, net debt note 31, D&amp;A note 6, EPS note dilutive options, 2026/27 outlook) + Q1 FY2027 trading statement (30 Jun 2026)
qualitative: SBRY.L_Analysis.json (2026-10-10): business_model, growth_drivers, risks, bull_case, bear_case reconciled to the scenario narratives after the first build; no driver changed</t>
  </si>
  <si>
    <t xml:space="preserve">Scenario narrative: bear</t>
  </si>
  <si>
    <t xml:space="preserve">A sustained UK grocery price war -- Asda's reset, Aldi and Lidl space growth, Tesco matching -- forces Sainsbury's to reinvest the cost savings and more; margin erodes 60bp to 6.0% and stays there; volume gains fade and revenue grows only 1-1.5% nominal while fuel and general merchandise decline. Capex stays at 2.5% to defend the estate and lease costs edge up to 2.35% as sales densities fall. Employer NIC and wage inflation outrun pricing. Terminal growth 1.5%, exit 14x. No solvency question: ex-lease net debt is GBP203m and fixed-charge cover ~3x.</t>
  </si>
  <si>
    <t xml:space="preserve">Scenario narrative: base</t>
  </si>
  <si>
    <t xml:space="preserve">Sainsbury's keeps its share-gaining momentum in food (Q1 FY2027 grocery +3.6%, volume growth, Aldi Price Match and Nectar Prices holding value perception) while general merchandise and Argos shrink deliberately in favour of food space. Revenue grows 2.5% fading to 2%, underlying EBITDA margin holds 6.45-6.6% as the GBP1bn cost programme, Nectar360 retail media and Argos restructuring offset continued price investment and rising depreciation from ~10 new supermarkets a year. Retail FCF runs GBP500-600m a year as guided; the GBP200m core buyback and ~GBP320m ordinary dividend are funded from it. Lease cash stays ~2.3% of sales; cash tax drifts up toward 27% as capital allowances normalise.</t>
  </si>
  <si>
    <t xml:space="preserve">Scenario narrative: bull</t>
  </si>
  <si>
    <t xml:space="preserve">Asda's price-led reset under Allan Leighton fails to regain share, Sainsbury's continues to take trolley-shop share from both Asda and Morrisons, fresh food and Taste the Difference premiumisation lift mix, Nectar360 retail media scales as a high-margin income line and Argos's turnaround reaches a sustainable ~GBP100m profit. Revenue grows 3.5% fading to 2.5%; underlying EBITDA margin expands 50bp to 7.0% by year 6; capex eases to 2.3% once the space programme matures; working capital captures 7% of growth. Exit multiple 18x, terminal growth 2.5%.</t>
  </si>
  <si>
    <t xml:space="preserve">Period</t>
  </si>
  <si>
    <t xml:space="preserve">Revenue</t>
  </si>
  <si>
    <t xml:space="preserve">CostOfRevenue</t>
  </si>
  <si>
    <t xml:space="preserve">GrossProfit</t>
  </si>
  <si>
    <t xml:space="preserve">GrossMargin</t>
  </si>
  <si>
    <t xml:space="preserve">OperatingIncome</t>
  </si>
  <si>
    <t xml:space="preserve">OperatingMargin</t>
  </si>
  <si>
    <t xml:space="preserve">EBITDA</t>
  </si>
  <si>
    <t xml:space="preserve">NetIncome</t>
  </si>
  <si>
    <t xml:space="preserve">NetMargin</t>
  </si>
  <si>
    <t xml:space="preserve">EPS</t>
  </si>
  <si>
    <t xml:space="preserve">OperatingCashFlow</t>
  </si>
  <si>
    <t xml:space="preserve">CapEx</t>
  </si>
  <si>
    <t xml:space="preserve">FreeCashFlow</t>
  </si>
  <si>
    <t xml:space="preserve">ShareholdersEquity</t>
  </si>
  <si>
    <t xml:space="preserve">TotalAssets</t>
  </si>
  <si>
    <t xml:space="preserve">TotalLiabilities</t>
  </si>
  <si>
    <t xml:space="preserve">TotalDebt</t>
  </si>
  <si>
    <t xml:space="preserve">CashAndEquivalents</t>
  </si>
  <si>
    <t xml:space="preserve">SharesOutstanding</t>
  </si>
  <si>
    <t xml:space="preserve">StockBasedComp</t>
  </si>
  <si>
    <t xml:space="preserve">DividendPerShare</t>
  </si>
  <si>
    <t xml:space="preserve">EBITDABeforeSignificant</t>
  </si>
  <si>
    <t xml:space="preserve">RevenueContinuing</t>
  </si>
  <si>
    <t xml:space="preserve">EBITDAContinuingBeforeSignificant</t>
  </si>
  <si>
    <t xml:space="preserve">EBITContinuingBeforeSignificant</t>
  </si>
  <si>
    <t xml:space="preserve">Currency</t>
  </si>
  <si>
    <t xml:space="preserve">AdjustedOperatingProfit</t>
  </si>
  <si>
    <t xml:space="preserve">BasicEPS</t>
  </si>
  <si>
    <t xml:space="preserve">CapexIntangibles</t>
  </si>
  <si>
    <t xml:space="preserve">CapexPPE</t>
  </si>
  <si>
    <t xml:space="preserve">SharesDiluted</t>
  </si>
  <si>
    <t xml:space="preserve">TotalDrawnDebt</t>
  </si>
  <si>
    <t xml:space="preserve">FY2019</t>
  </si>
  <si>
    <t xml:space="preserve">FY2020</t>
  </si>
  <si>
    <t xml:space="preserve">FY2021</t>
  </si>
  <si>
    <t xml:space="preserve">FY2022</t>
  </si>
  <si>
    <t xml:space="preserve">FY2023</t>
  </si>
  <si>
    <t xml:space="preserve">FY2024</t>
  </si>
  <si>
    <t xml:space="preserve">FY2025</t>
  </si>
  <si>
    <t xml:space="preserve">FY2026</t>
  </si>
  <si>
    <t xml:space="preserve">Input</t>
  </si>
  <si>
    <t xml:space="preserve">Value</t>
  </si>
  <si>
    <t xml:space="preserve">Current price (quote currency)</t>
  </si>
  <si>
    <t xml:space="preserve">Shares, final projected (m)</t>
  </si>
  <si>
    <t xml:space="preserve">Net debt (m, model currency)</t>
  </si>
  <si>
    <t xml:space="preserve">Equity bridge total (m, + adds)</t>
  </si>
  <si>
    <t xml:space="preserve">Hurdle rate (%)</t>
  </si>
  <si>
    <t xml:space="preserve">Base revenue FY0 (m)</t>
  </si>
  <si>
    <t xml:space="preserve">FY0</t>
  </si>
  <si>
    <t xml:space="preserve">Currency / units</t>
  </si>
  <si>
    <t xml:space="preserve">GBP millions</t>
  </si>
  <si>
    <t xml:space="preserve">FX rate (model -&gt; quote)</t>
  </si>
  <si>
    <t xml:space="preserve">BEAR</t>
  </si>
  <si>
    <t xml:space="preserve">FY2027</t>
  </si>
  <si>
    <t xml:space="preserve">FY2028</t>
  </si>
  <si>
    <t xml:space="preserve">FY2029</t>
  </si>
  <si>
    <t xml:space="preserve">FY2030</t>
  </si>
  <si>
    <t xml:space="preserve">FY2031</t>
  </si>
  <si>
    <t xml:space="preserve">FY2032</t>
  </si>
  <si>
    <t xml:space="preserve">FY2033</t>
  </si>
  <si>
    <t xml:space="preserve">FY2034</t>
  </si>
  <si>
    <t xml:space="preserve">FY2035</t>
  </si>
  <si>
    <t xml:space="preserve">FY2036</t>
  </si>
  <si>
    <t xml:space="preserve">Revenue growth (%)</t>
  </si>
  <si>
    <t xml:space="preserve">EBITDA margin (%)</t>
  </si>
  <si>
    <t xml:space="preserve">SBC (% of revenue)</t>
  </si>
  <si>
    <t xml:space="preserve">Lease cost (% of revenue)</t>
  </si>
  <si>
    <t xml:space="preserve">D&amp;A (% of revenue)</t>
  </si>
  <si>
    <t xml:space="preserve">Capex (% of revenue)</t>
  </si>
  <si>
    <t xml:space="preserve">Cash tax rate (%)</t>
  </si>
  <si>
    <t xml:space="preserve">WACC (%)</t>
  </si>
  <si>
    <t xml:space="preserve">Terminal growth (%)</t>
  </si>
  <si>
    <t xml:space="preserve">Terminal cap multiple (x FCF)</t>
  </si>
  <si>
    <t xml:space="preserve">Working-capital capture (% of revenue change)</t>
  </si>
  <si>
    <t xml:space="preserve">Scenario weight</t>
  </si>
  <si>
    <t xml:space="preserve">BASE</t>
  </si>
  <si>
    <t xml:space="preserve">BULL</t>
  </si>
  <si>
    <t xml:space="preserve">SBRY.L owner-FCF component DCF: bear case (millions, GBP)</t>
  </si>
  <si>
    <t xml:space="preserve">Line</t>
  </si>
  <si>
    <t xml:space="preserve">Year index (discount exponent)</t>
  </si>
  <si>
    <t xml:space="preserve">SBC charge</t>
  </si>
  <si>
    <t xml:space="preserve">Owner EBITDA (after SBC and leases)</t>
  </si>
  <si>
    <t xml:space="preserve">D&amp;A</t>
  </si>
  <si>
    <t xml:space="preserve">EBIT</t>
  </si>
  <si>
    <t xml:space="preserve">NOPAT</t>
  </si>
  <si>
    <t xml:space="preserve">D&amp;A add-back</t>
  </si>
  <si>
    <t xml:space="preserve">Capex</t>
  </si>
  <si>
    <t xml:space="preserve">Working capital</t>
  </si>
  <si>
    <t xml:space="preserve">Unlevered owner FCF</t>
  </si>
  <si>
    <t xml:space="preserve">Discount factor</t>
  </si>
  <si>
    <t xml:space="preserve">PV of FCF</t>
  </si>
  <si>
    <t xml:space="preserve">Lease cost</t>
  </si>
  <si>
    <t xml:space="preserve">Valuation</t>
  </si>
  <si>
    <t xml:space="preserve">Sum of PV of FCF</t>
  </si>
  <si>
    <t xml:space="preserve">Terminal-year FCF</t>
  </si>
  <si>
    <t xml:space="preserve">Gordon terminal value</t>
  </si>
  <si>
    <t xml:space="preserve">Cap terminal value</t>
  </si>
  <si>
    <t xml:space="preserve">Terminal value used: MAX(0,MIN(Gordon,cap))</t>
  </si>
  <si>
    <t xml:space="preserve">PV of terminal value</t>
  </si>
  <si>
    <t xml:space="preserve">Enterprise value</t>
  </si>
  <si>
    <t xml:space="preserve">Equity value (EV + bridge - net debt)</t>
  </si>
  <si>
    <t xml:space="preserve">Value per share (quote currency)</t>
  </si>
  <si>
    <t xml:space="preserve">Upside vs price</t>
  </si>
  <si>
    <t xml:space="preserve">Street memo: PV of explicit-period SBC</t>
  </si>
  <si>
    <t xml:space="preserve">Street memo: PV of terminal SBC (Gordon)</t>
  </si>
  <si>
    <t xml:space="preserve">Street value per share</t>
  </si>
  <si>
    <t xml:space="preserve">Terminal value at hurdle: MAX(0,MIN(Gordon@hurdle,cap))</t>
  </si>
  <si>
    <t xml:space="preserve">Hurdle entry price (quote currency)</t>
  </si>
  <si>
    <t xml:space="preserve">SBRY.L owner-FCF component DCF: base case (millions, GBP)</t>
  </si>
  <si>
    <t xml:space="preserve">SBRY.L owner-FCF component DCF: bull case (millions, GBP)</t>
  </si>
  <si>
    <t xml:space="preserve">SBRY.L valuation summary</t>
  </si>
  <si>
    <t xml:space="preserve">Scenario</t>
  </si>
  <si>
    <t xml:space="preserve">Value per share</t>
  </si>
  <si>
    <t xml:space="preserve">Weight</t>
  </si>
  <si>
    <t xml:space="preserve">Hurdle entry price</t>
  </si>
  <si>
    <t xml:space="preserve">Bear</t>
  </si>
  <si>
    <t xml:space="preserve">Base</t>
  </si>
  <si>
    <t xml:space="preserve">Bull</t>
  </si>
  <si>
    <t xml:space="preserve">Probability-weighted value per share</t>
  </si>
  <si>
    <t xml:space="preserve">Street weighted value per share</t>
  </si>
  <si>
    <t xml:space="preserve">Margin of safety (1 - price/weighted)</t>
  </si>
  <si>
    <t xml:space="preserve">Band position (%; 0 = house, 100 = street)</t>
  </si>
  <si>
    <t xml:space="preserve">Weighted 15% hurdle entry price</t>
  </si>
  <si>
    <t xml:space="preserve">Required-return table (base case; each row rebuilds its own terminal value)</t>
  </si>
  <si>
    <t xml:space="preserve">Rate (%)</t>
  </si>
  <si>
    <t xml:space="preserve">Value per share at 8% (WACC)</t>
  </si>
  <si>
    <t xml:space="preserve">Value per share at 9%</t>
  </si>
  <si>
    <t xml:space="preserve">Value per share at 10%</t>
  </si>
  <si>
    <t xml:space="preserve">Value per share at 11%</t>
  </si>
  <si>
    <t xml:space="preserve">Value per share at 12%</t>
  </si>
  <si>
    <t xml:space="preserve">Value per share at 15%</t>
  </si>
  <si>
    <t xml:space="preserve">Sensitivity: value per share, rows WACC (%) x columns terminal growth (%)</t>
  </si>
</sst>
</file>

<file path=xl/styles.xml><?xml version="1.0" encoding="utf-8"?>
<styleSheet xmlns="http://schemas.openxmlformats.org/spreadsheetml/2006/main">
  <numFmts count="1">
    <numFmt numFmtId="164" formatCode="General"/>
  </numFmts>
  <fonts count="7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name val="Cambria"/>
      <family val="0"/>
      <charset val="1"/>
    </font>
    <font>
      <sz val="11"/>
      <color rgb="FF0000FF"/>
      <name val="Cambria"/>
      <family val="0"/>
      <charset val="1"/>
    </font>
    <font>
      <sz val="11"/>
      <color rgb="FF008000"/>
      <name val="Cambria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false">
      <alignment horizontal="general" vertical="bottom" textRotation="0" wrapText="tru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9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26"/>
    <col collapsed="false" customWidth="true" hidden="false" outlineLevel="0" max="2" min="2" style="0" width="100"/>
  </cols>
  <sheetData>
    <row r="1" customFormat="false" ht="15" hidden="false" customHeight="false" outlineLevel="0" collapsed="false">
      <c r="A1" s="0" t="s">
        <v>0</v>
      </c>
      <c r="B1" s="0" t="s">
        <v>1</v>
      </c>
    </row>
    <row r="2" customFormat="false" ht="15" hidden="false" customHeight="false" outlineLevel="0" collapsed="false">
      <c r="A2" s="0" t="s">
        <v>2</v>
      </c>
      <c r="B2" s="0" t="s">
        <v>3</v>
      </c>
    </row>
    <row r="3" customFormat="false" ht="15" hidden="false" customHeight="false" outlineLevel="0" collapsed="false">
      <c r="A3" s="0" t="s">
        <v>4</v>
      </c>
      <c r="B3" s="0" t="s">
        <v>5</v>
      </c>
    </row>
    <row r="4" customFormat="false" ht="15" hidden="false" customHeight="false" outlineLevel="0" collapsed="false">
      <c r="A4" s="0" t="s">
        <v>6</v>
      </c>
      <c r="B4" s="0" t="n">
        <v>335.6</v>
      </c>
    </row>
    <row r="5" customFormat="false" ht="15" hidden="false" customHeight="false" outlineLevel="0" collapsed="false">
      <c r="A5" s="0" t="s">
        <v>7</v>
      </c>
      <c r="B5" s="0" t="s">
        <v>8</v>
      </c>
    </row>
    <row r="6" customFormat="false" ht="15" hidden="false" customHeight="false" outlineLevel="0" collapsed="false">
      <c r="A6" s="0" t="s">
        <v>9</v>
      </c>
      <c r="B6" s="0" t="s">
        <v>10</v>
      </c>
    </row>
    <row r="7" customFormat="false" ht="15" hidden="false" customHeight="false" outlineLevel="0" collapsed="false">
      <c r="A7" s="0" t="s">
        <v>11</v>
      </c>
      <c r="B7" s="0" t="s">
        <v>12</v>
      </c>
    </row>
    <row r="8" customFormat="false" ht="15" hidden="false" customHeight="false" outlineLevel="0" collapsed="false">
      <c r="A8" s="0" t="s">
        <v>13</v>
      </c>
      <c r="B8" s="0" t="s">
        <v>14</v>
      </c>
    </row>
    <row r="9" customFormat="false" ht="15" hidden="false" customHeight="false" outlineLevel="0" collapsed="false">
      <c r="A9" s="0" t="s">
        <v>15</v>
      </c>
      <c r="B9" s="0" t="s">
        <v>16</v>
      </c>
    </row>
    <row r="10" customFormat="false" ht="15" hidden="false" customHeight="false" outlineLevel="0" collapsed="false">
      <c r="A10" s="0" t="s">
        <v>17</v>
      </c>
      <c r="B10" s="0" t="s">
        <v>18</v>
      </c>
    </row>
    <row r="11" customFormat="false" ht="15" hidden="false" customHeight="false" outlineLevel="0" collapsed="false">
      <c r="A11" s="0" t="s">
        <v>19</v>
      </c>
      <c r="B11" s="0" t="s">
        <v>20</v>
      </c>
    </row>
    <row r="12" customFormat="false" ht="15" hidden="false" customHeight="false" outlineLevel="0" collapsed="false">
      <c r="A12" s="0" t="s">
        <v>21</v>
      </c>
      <c r="B12" s="0" t="s">
        <v>22</v>
      </c>
    </row>
    <row r="13" customFormat="false" ht="15" hidden="false" customHeight="false" outlineLevel="0" collapsed="false">
      <c r="A13" s="0" t="s">
        <v>23</v>
      </c>
      <c r="B13" s="0" t="s">
        <v>24</v>
      </c>
    </row>
    <row r="14" customFormat="false" ht="15" hidden="false" customHeight="false" outlineLevel="0" collapsed="false">
      <c r="A14" s="0" t="s">
        <v>25</v>
      </c>
      <c r="B14" s="0" t="s">
        <v>26</v>
      </c>
    </row>
    <row r="15" customFormat="false" ht="23.85" hidden="false" customHeight="false" outlineLevel="0" collapsed="false">
      <c r="A15" s="0" t="s">
        <v>27</v>
      </c>
      <c r="B15" s="1" t="s">
        <v>28</v>
      </c>
    </row>
    <row r="16" customFormat="false" ht="35.05" hidden="false" customHeight="false" outlineLevel="0" collapsed="false">
      <c r="A16" s="0" t="s">
        <v>29</v>
      </c>
      <c r="B16" s="1" t="s">
        <v>30</v>
      </c>
    </row>
    <row r="17" customFormat="false" ht="15" hidden="false" customHeight="false" outlineLevel="0" collapsed="false">
      <c r="A17" s="0" t="s">
        <v>31</v>
      </c>
      <c r="B17" s="0" t="s">
        <v>32</v>
      </c>
    </row>
    <row r="18" customFormat="false" ht="15" hidden="false" customHeight="false" outlineLevel="0" collapsed="false">
      <c r="A18" s="0" t="s">
        <v>33</v>
      </c>
      <c r="B18" s="0" t="s">
        <v>34</v>
      </c>
    </row>
    <row r="19" customFormat="false" ht="15" hidden="false" customHeight="false" outlineLevel="0" collapsed="false">
      <c r="A19" s="0" t="s">
        <v>35</v>
      </c>
      <c r="B19" s="0" t="s">
        <v>36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H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sheetData>
    <row r="1" customFormat="false" ht="15" hidden="false" customHeight="false" outlineLevel="0" collapsed="false">
      <c r="A1" s="2" t="s">
        <v>37</v>
      </c>
      <c r="B1" s="2" t="s">
        <v>38</v>
      </c>
      <c r="C1" s="2" t="s">
        <v>39</v>
      </c>
      <c r="D1" s="2" t="s">
        <v>40</v>
      </c>
      <c r="E1" s="2" t="s">
        <v>41</v>
      </c>
      <c r="F1" s="2" t="s">
        <v>42</v>
      </c>
      <c r="G1" s="2" t="s">
        <v>43</v>
      </c>
      <c r="H1" s="2" t="s">
        <v>44</v>
      </c>
      <c r="I1" s="2" t="s">
        <v>45</v>
      </c>
      <c r="J1" s="2" t="s">
        <v>46</v>
      </c>
      <c r="K1" s="2" t="s">
        <v>47</v>
      </c>
      <c r="L1" s="2" t="s">
        <v>48</v>
      </c>
      <c r="M1" s="2" t="s">
        <v>49</v>
      </c>
      <c r="N1" s="2" t="s">
        <v>50</v>
      </c>
      <c r="O1" s="2" t="s">
        <v>51</v>
      </c>
      <c r="P1" s="2" t="s">
        <v>52</v>
      </c>
      <c r="Q1" s="2" t="s">
        <v>53</v>
      </c>
      <c r="R1" s="2" t="s">
        <v>54</v>
      </c>
      <c r="S1" s="2" t="s">
        <v>55</v>
      </c>
      <c r="T1" s="2" t="s">
        <v>56</v>
      </c>
      <c r="U1" s="2" t="s">
        <v>57</v>
      </c>
      <c r="V1" s="2" t="s">
        <v>58</v>
      </c>
      <c r="W1" s="2" t="s">
        <v>59</v>
      </c>
      <c r="X1" s="2" t="s">
        <v>60</v>
      </c>
      <c r="Y1" s="2" t="s">
        <v>61</v>
      </c>
      <c r="Z1" s="2" t="s">
        <v>62</v>
      </c>
      <c r="AA1" s="2" t="s">
        <v>17</v>
      </c>
      <c r="AB1" s="2" t="s">
        <v>63</v>
      </c>
      <c r="AC1" s="2" t="s">
        <v>64</v>
      </c>
      <c r="AD1" s="2" t="s">
        <v>65</v>
      </c>
      <c r="AE1" s="2" t="s">
        <v>66</v>
      </c>
      <c r="AF1" s="2" t="s">
        <v>67</v>
      </c>
      <c r="AG1" s="2" t="s">
        <v>68</v>
      </c>
      <c r="AH1" s="2" t="s">
        <v>69</v>
      </c>
    </row>
    <row r="2" customFormat="false" ht="15" hidden="false" customHeight="false" outlineLevel="0" collapsed="false">
      <c r="A2" s="0" t="s">
        <v>70</v>
      </c>
      <c r="B2" s="0" t="n">
        <v>29007</v>
      </c>
      <c r="C2" s="0" t="n">
        <v>26719</v>
      </c>
      <c r="D2" s="0" t="n">
        <v>2288</v>
      </c>
      <c r="E2" s="0" t="n">
        <v>7.9</v>
      </c>
      <c r="F2" s="0" t="n">
        <v>601</v>
      </c>
      <c r="G2" s="0" t="n">
        <v>2.1</v>
      </c>
      <c r="H2" s="0" t="n">
        <v>1863</v>
      </c>
      <c r="I2" s="0" t="n">
        <v>186</v>
      </c>
      <c r="J2" s="0" t="n">
        <v>0.6</v>
      </c>
      <c r="K2" s="0" t="n">
        <v>0.075</v>
      </c>
      <c r="L2" s="0" t="n">
        <v>1043</v>
      </c>
      <c r="M2" s="0" t="n">
        <v>590</v>
      </c>
      <c r="N2" s="0" t="n">
        <v>453</v>
      </c>
      <c r="O2" s="0" t="n">
        <v>7782</v>
      </c>
      <c r="P2" s="0" t="n">
        <v>28011</v>
      </c>
      <c r="Q2" s="0" t="n">
        <v>20229</v>
      </c>
      <c r="R2" s="0" t="n">
        <v>7491</v>
      </c>
      <c r="S2" s="0" t="n">
        <v>1121</v>
      </c>
      <c r="T2" s="0" t="n">
        <v>2468.6</v>
      </c>
      <c r="U2" s="0" t="n">
        <v>39</v>
      </c>
      <c r="AA2" s="0" t="s">
        <v>18</v>
      </c>
      <c r="AB2" s="0" t="s">
        <v>14</v>
      </c>
      <c r="AC2" s="0" t="n">
        <v>1012</v>
      </c>
      <c r="AD2" s="0" t="n">
        <v>0.076</v>
      </c>
      <c r="AE2" s="0" t="n">
        <v>116</v>
      </c>
      <c r="AF2" s="0" t="n">
        <v>474</v>
      </c>
      <c r="AG2" s="0" t="n">
        <v>2468.6</v>
      </c>
      <c r="AH2" s="0" t="n">
        <v>1660</v>
      </c>
    </row>
    <row r="3" customFormat="false" ht="15" hidden="false" customHeight="false" outlineLevel="0" collapsed="false">
      <c r="A3" s="0" t="s">
        <v>71</v>
      </c>
      <c r="B3" s="0" t="n">
        <v>28993</v>
      </c>
      <c r="C3" s="0" t="n">
        <v>26977</v>
      </c>
      <c r="D3" s="0" t="n">
        <v>2016</v>
      </c>
      <c r="E3" s="0" t="n">
        <v>7</v>
      </c>
      <c r="F3" s="0" t="n">
        <v>650</v>
      </c>
      <c r="G3" s="0" t="n">
        <v>2.2</v>
      </c>
      <c r="H3" s="0" t="n">
        <v>1906</v>
      </c>
      <c r="I3" s="0" t="n">
        <v>152</v>
      </c>
      <c r="J3" s="0" t="n">
        <v>0.5</v>
      </c>
      <c r="K3" s="0" t="n">
        <v>0.058</v>
      </c>
      <c r="L3" s="0" t="n">
        <v>1372</v>
      </c>
      <c r="M3" s="0" t="n">
        <v>639</v>
      </c>
      <c r="N3" s="0" t="n">
        <v>733</v>
      </c>
      <c r="O3" s="0" t="n">
        <v>7773</v>
      </c>
      <c r="P3" s="0" t="n">
        <v>27937</v>
      </c>
      <c r="Q3" s="0" t="n">
        <v>20164</v>
      </c>
      <c r="R3" s="0" t="n">
        <v>7070</v>
      </c>
      <c r="S3" s="0" t="n">
        <v>994</v>
      </c>
      <c r="T3" s="0" t="n">
        <v>2470</v>
      </c>
      <c r="U3" s="0" t="n">
        <v>37</v>
      </c>
      <c r="AA3" s="0" t="s">
        <v>18</v>
      </c>
      <c r="AB3" s="0" t="s">
        <v>14</v>
      </c>
      <c r="AC3" s="0" t="n">
        <v>986</v>
      </c>
      <c r="AD3" s="0" t="n">
        <v>0.058</v>
      </c>
      <c r="AE3" s="0" t="n">
        <v>120</v>
      </c>
      <c r="AF3" s="0" t="n">
        <v>519</v>
      </c>
      <c r="AG3" s="0" t="n">
        <v>2470</v>
      </c>
      <c r="AH3" s="0" t="n">
        <v>1296</v>
      </c>
    </row>
    <row r="4" customFormat="false" ht="15" hidden="false" customHeight="false" outlineLevel="0" collapsed="false">
      <c r="A4" s="0" t="s">
        <v>72</v>
      </c>
      <c r="B4" s="0" t="n">
        <v>29048</v>
      </c>
      <c r="C4" s="0" t="n">
        <v>27283</v>
      </c>
      <c r="D4" s="0" t="n">
        <v>1765</v>
      </c>
      <c r="E4" s="0" t="n">
        <v>6.1</v>
      </c>
      <c r="F4" s="0" t="n">
        <v>60</v>
      </c>
      <c r="G4" s="0" t="n">
        <v>0.2</v>
      </c>
      <c r="H4" s="0" t="n">
        <v>1309</v>
      </c>
      <c r="I4" s="0" t="n">
        <v>-280</v>
      </c>
      <c r="J4" s="0" t="n">
        <v>-1</v>
      </c>
      <c r="K4" s="0" t="n">
        <v>-0.13</v>
      </c>
      <c r="L4" s="0" t="n">
        <v>2343</v>
      </c>
      <c r="M4" s="0" t="n">
        <v>595</v>
      </c>
      <c r="N4" s="0" t="n">
        <v>1748</v>
      </c>
      <c r="O4" s="0" t="n">
        <v>6604</v>
      </c>
      <c r="P4" s="0" t="n">
        <v>25162</v>
      </c>
      <c r="Q4" s="0" t="n">
        <v>18558</v>
      </c>
      <c r="R4" s="0" t="n">
        <v>6840</v>
      </c>
      <c r="S4" s="0" t="n">
        <v>1477</v>
      </c>
      <c r="T4" s="0" t="n">
        <v>2320.1</v>
      </c>
      <c r="U4" s="0" t="n">
        <v>29</v>
      </c>
      <c r="AA4" s="0" t="s">
        <v>18</v>
      </c>
      <c r="AB4" s="0" t="s">
        <v>14</v>
      </c>
      <c r="AC4" s="0" t="n">
        <v>709</v>
      </c>
      <c r="AD4" s="0" t="n">
        <v>-0.13</v>
      </c>
      <c r="AE4" s="0" t="n">
        <v>172</v>
      </c>
      <c r="AF4" s="0" t="n">
        <v>423</v>
      </c>
      <c r="AG4" s="0" t="n">
        <v>2320.1</v>
      </c>
      <c r="AH4" s="0" t="n">
        <v>1006</v>
      </c>
    </row>
    <row r="5" customFormat="false" ht="15" hidden="false" customHeight="false" outlineLevel="0" collapsed="false">
      <c r="A5" s="0" t="s">
        <v>73</v>
      </c>
      <c r="B5" s="0" t="n">
        <v>29895</v>
      </c>
      <c r="C5" s="0" t="n">
        <v>27529</v>
      </c>
      <c r="D5" s="0" t="n">
        <v>2366</v>
      </c>
      <c r="E5" s="0" t="n">
        <v>7.9</v>
      </c>
      <c r="F5" s="0" t="n">
        <v>1156</v>
      </c>
      <c r="G5" s="0" t="n">
        <v>3.9</v>
      </c>
      <c r="H5" s="0" t="n">
        <v>2376</v>
      </c>
      <c r="I5" s="0" t="n">
        <v>677</v>
      </c>
      <c r="J5" s="0" t="n">
        <v>2.3</v>
      </c>
      <c r="K5" s="0" t="n">
        <v>0.288</v>
      </c>
      <c r="L5" s="0" t="n">
        <v>1009</v>
      </c>
      <c r="M5" s="0" t="n">
        <v>694</v>
      </c>
      <c r="N5" s="0" t="n">
        <v>315</v>
      </c>
      <c r="O5" s="0" t="n">
        <v>8423</v>
      </c>
      <c r="P5" s="0" t="n">
        <v>26912</v>
      </c>
      <c r="Q5" s="0" t="n">
        <v>18489</v>
      </c>
      <c r="R5" s="0" t="n">
        <v>7382</v>
      </c>
      <c r="S5" s="0" t="n">
        <v>825</v>
      </c>
      <c r="T5" s="0" t="n">
        <v>2351</v>
      </c>
      <c r="U5" s="0" t="n">
        <v>58</v>
      </c>
      <c r="AA5" s="0" t="s">
        <v>18</v>
      </c>
      <c r="AB5" s="0" t="s">
        <v>14</v>
      </c>
      <c r="AC5" s="0" t="n">
        <v>1039</v>
      </c>
      <c r="AD5" s="0" t="n">
        <v>0.298</v>
      </c>
      <c r="AE5" s="0" t="n">
        <v>278</v>
      </c>
      <c r="AF5" s="0" t="n">
        <v>416</v>
      </c>
      <c r="AG5" s="0" t="n">
        <v>2351</v>
      </c>
      <c r="AH5" s="0" t="n">
        <v>761</v>
      </c>
    </row>
    <row r="6" customFormat="false" ht="15" hidden="false" customHeight="false" outlineLevel="0" collapsed="false">
      <c r="A6" s="0" t="s">
        <v>74</v>
      </c>
      <c r="B6" s="0" t="n">
        <v>31491</v>
      </c>
      <c r="C6" s="0" t="n">
        <v>29487</v>
      </c>
      <c r="D6" s="0" t="n">
        <v>2004</v>
      </c>
      <c r="E6" s="0" t="n">
        <v>6.4</v>
      </c>
      <c r="F6" s="0" t="n">
        <v>562</v>
      </c>
      <c r="G6" s="0" t="n">
        <v>1.8</v>
      </c>
      <c r="H6" s="0" t="n">
        <v>1770</v>
      </c>
      <c r="I6" s="0" t="n">
        <v>207</v>
      </c>
      <c r="J6" s="0" t="n">
        <v>0.7</v>
      </c>
      <c r="K6" s="0" t="n">
        <v>0.088</v>
      </c>
      <c r="L6" s="0" t="n">
        <v>2185</v>
      </c>
      <c r="M6" s="0" t="n">
        <v>738</v>
      </c>
      <c r="N6" s="0" t="n">
        <v>1447</v>
      </c>
      <c r="O6" s="0" t="n">
        <v>7253</v>
      </c>
      <c r="P6" s="0" t="n">
        <v>26158</v>
      </c>
      <c r="Q6" s="0" t="n">
        <v>18905</v>
      </c>
      <c r="R6" s="0" t="n">
        <v>7145</v>
      </c>
      <c r="S6" s="0" t="n">
        <v>1319</v>
      </c>
      <c r="T6" s="0" t="n">
        <v>2352.2</v>
      </c>
      <c r="U6" s="0" t="n">
        <v>59</v>
      </c>
      <c r="AA6" s="0" t="s">
        <v>18</v>
      </c>
      <c r="AB6" s="0" t="s">
        <v>14</v>
      </c>
      <c r="AC6" s="0" t="n">
        <v>972</v>
      </c>
      <c r="AD6" s="0" t="n">
        <v>0.09</v>
      </c>
      <c r="AE6" s="0" t="n">
        <v>213</v>
      </c>
      <c r="AF6" s="0" t="n">
        <v>525</v>
      </c>
      <c r="AG6" s="0" t="n">
        <v>2352.2</v>
      </c>
      <c r="AH6" s="0" t="n">
        <v>656</v>
      </c>
    </row>
    <row r="7" customFormat="false" ht="15" hidden="false" customHeight="false" outlineLevel="0" collapsed="false">
      <c r="A7" s="0" t="s">
        <v>75</v>
      </c>
      <c r="B7" s="0" t="n">
        <v>32700</v>
      </c>
      <c r="C7" s="0" t="n">
        <v>30364</v>
      </c>
      <c r="D7" s="0" t="n">
        <v>2336</v>
      </c>
      <c r="E7" s="0" t="n">
        <v>7.1</v>
      </c>
      <c r="F7" s="0" t="n">
        <v>532</v>
      </c>
      <c r="G7" s="0" t="n">
        <v>1.6</v>
      </c>
      <c r="H7" s="0" t="n">
        <v>1710</v>
      </c>
      <c r="I7" s="0" t="n">
        <v>137</v>
      </c>
      <c r="J7" s="0" t="n">
        <v>0.4</v>
      </c>
      <c r="K7" s="0" t="n">
        <v>0.057</v>
      </c>
      <c r="L7" s="0" t="n">
        <v>1965</v>
      </c>
      <c r="M7" s="0" t="n">
        <v>1559</v>
      </c>
      <c r="N7" s="0" t="n">
        <v>406</v>
      </c>
      <c r="O7" s="0" t="n">
        <v>6868</v>
      </c>
      <c r="P7" s="0" t="n">
        <v>25061</v>
      </c>
      <c r="Q7" s="0" t="n">
        <v>18193</v>
      </c>
      <c r="R7" s="0" t="n">
        <v>6549</v>
      </c>
      <c r="S7" s="0" t="n">
        <v>1987</v>
      </c>
      <c r="T7" s="0" t="n">
        <v>2394</v>
      </c>
      <c r="U7" s="0" t="n">
        <v>89</v>
      </c>
      <c r="AA7" s="0" t="s">
        <v>18</v>
      </c>
      <c r="AB7" s="0" t="s">
        <v>14</v>
      </c>
      <c r="AC7" s="0" t="n">
        <v>995</v>
      </c>
      <c r="AD7" s="0" t="n">
        <v>0.059</v>
      </c>
      <c r="AE7" s="0" t="n">
        <v>178</v>
      </c>
      <c r="AF7" s="0" t="n">
        <v>1381</v>
      </c>
      <c r="AG7" s="0" t="n">
        <v>2394</v>
      </c>
      <c r="AH7" s="0" t="n">
        <v>1195</v>
      </c>
    </row>
    <row r="8" customFormat="false" ht="15" hidden="false" customHeight="false" outlineLevel="0" collapsed="false">
      <c r="A8" s="0" t="s">
        <v>76</v>
      </c>
      <c r="B8" s="0" t="n">
        <v>32812</v>
      </c>
      <c r="C8" s="0" t="n">
        <v>30591</v>
      </c>
      <c r="D8" s="0" t="n">
        <v>2221</v>
      </c>
      <c r="E8" s="0" t="n">
        <v>6.8</v>
      </c>
      <c r="F8" s="0" t="n">
        <v>904</v>
      </c>
      <c r="G8" s="0" t="n">
        <v>2.8</v>
      </c>
      <c r="H8" s="0" t="n">
        <v>2119</v>
      </c>
      <c r="I8" s="0" t="n">
        <v>242</v>
      </c>
      <c r="J8" s="0" t="n">
        <v>0.7</v>
      </c>
      <c r="K8" s="0" t="n">
        <v>0.102</v>
      </c>
      <c r="L8" s="0" t="n">
        <v>1364</v>
      </c>
      <c r="M8" s="0" t="n">
        <v>825</v>
      </c>
      <c r="N8" s="0" t="n">
        <v>539</v>
      </c>
      <c r="O8" s="0" t="n">
        <v>6651</v>
      </c>
      <c r="P8" s="0" t="n">
        <v>24648</v>
      </c>
      <c r="Q8" s="0" t="n">
        <v>17997</v>
      </c>
      <c r="R8" s="0" t="n">
        <v>6608</v>
      </c>
      <c r="S8" s="0" t="n">
        <v>2777</v>
      </c>
      <c r="T8" s="0" t="n">
        <v>2374.1</v>
      </c>
      <c r="U8" s="0" t="n">
        <v>73</v>
      </c>
      <c r="AA8" s="0" t="s">
        <v>18</v>
      </c>
      <c r="AB8" s="0" t="s">
        <v>14</v>
      </c>
      <c r="AC8" s="0" t="n">
        <v>1029</v>
      </c>
      <c r="AD8" s="0" t="n">
        <v>0.104</v>
      </c>
      <c r="AE8" s="0" t="n">
        <v>208</v>
      </c>
      <c r="AF8" s="0" t="n">
        <v>617</v>
      </c>
      <c r="AG8" s="0" t="n">
        <v>2374.1</v>
      </c>
      <c r="AH8" s="0" t="n">
        <v>1114</v>
      </c>
    </row>
    <row r="9" customFormat="false" ht="15" hidden="false" customHeight="false" outlineLevel="0" collapsed="false">
      <c r="A9" s="0" t="s">
        <v>77</v>
      </c>
      <c r="B9" s="0" t="n">
        <v>33647</v>
      </c>
      <c r="C9" s="0" t="n">
        <v>31441</v>
      </c>
      <c r="D9" s="0" t="n">
        <v>2206</v>
      </c>
      <c r="E9" s="0" t="n">
        <v>6.6</v>
      </c>
      <c r="F9" s="0" t="n">
        <v>897</v>
      </c>
      <c r="G9" s="0" t="n">
        <v>2.7</v>
      </c>
      <c r="H9" s="0" t="n">
        <v>2135</v>
      </c>
      <c r="I9" s="0" t="n">
        <v>393</v>
      </c>
      <c r="J9" s="0" t="n">
        <v>1.2</v>
      </c>
      <c r="K9" s="0" t="n">
        <v>0.169</v>
      </c>
      <c r="L9" s="0" t="n">
        <v>1774</v>
      </c>
      <c r="M9" s="0" t="n">
        <v>843</v>
      </c>
      <c r="N9" s="0" t="n">
        <v>931</v>
      </c>
      <c r="O9" s="0" t="n">
        <v>6150</v>
      </c>
      <c r="P9" s="0" t="n">
        <v>18943</v>
      </c>
      <c r="Q9" s="0" t="n">
        <v>12793</v>
      </c>
      <c r="R9" s="0" t="n">
        <v>6601</v>
      </c>
      <c r="S9" s="0" t="n">
        <v>1067</v>
      </c>
      <c r="T9" s="0" t="n">
        <v>2320.8</v>
      </c>
      <c r="U9" s="0" t="n">
        <v>75</v>
      </c>
      <c r="AA9" s="0" t="s">
        <v>18</v>
      </c>
      <c r="AB9" s="0" t="s">
        <v>14</v>
      </c>
      <c r="AC9" s="0" t="n">
        <v>1025</v>
      </c>
      <c r="AD9" s="0" t="n">
        <v>0.173</v>
      </c>
      <c r="AE9" s="0" t="n">
        <v>230</v>
      </c>
      <c r="AF9" s="0" t="n">
        <v>613</v>
      </c>
      <c r="AG9" s="0" t="n">
        <v>2320.8</v>
      </c>
      <c r="AH9" s="0" t="n">
        <v>1061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44"/>
  </cols>
  <sheetData>
    <row r="1" customFormat="false" ht="15" hidden="false" customHeight="false" outlineLevel="0" collapsed="false">
      <c r="A1" s="2" t="s">
        <v>78</v>
      </c>
      <c r="B1" s="2" t="s">
        <v>79</v>
      </c>
    </row>
    <row r="2" customFormat="false" ht="15" hidden="false" customHeight="false" outlineLevel="0" collapsed="false">
      <c r="A2" s="0" t="s">
        <v>80</v>
      </c>
      <c r="B2" s="3" t="n">
        <v>335.6</v>
      </c>
    </row>
    <row r="3" customFormat="false" ht="15" hidden="false" customHeight="false" outlineLevel="0" collapsed="false">
      <c r="A3" s="0" t="s">
        <v>81</v>
      </c>
      <c r="B3" s="3" t="n">
        <v>2310.3</v>
      </c>
    </row>
    <row r="4" customFormat="false" ht="15" hidden="false" customHeight="false" outlineLevel="0" collapsed="false">
      <c r="A4" s="0" t="s">
        <v>82</v>
      </c>
      <c r="B4" s="3" t="n">
        <v>203</v>
      </c>
    </row>
    <row r="5" customFormat="false" ht="15" hidden="false" customHeight="false" outlineLevel="0" collapsed="false">
      <c r="A5" s="0" t="s">
        <v>83</v>
      </c>
      <c r="B5" s="3" t="n">
        <v>0</v>
      </c>
    </row>
    <row r="6" customFormat="false" ht="15" hidden="false" customHeight="false" outlineLevel="0" collapsed="false">
      <c r="A6" s="0" t="s">
        <v>84</v>
      </c>
      <c r="B6" s="3" t="n">
        <v>15</v>
      </c>
    </row>
    <row r="7" customFormat="false" ht="15" hidden="false" customHeight="false" outlineLevel="0" collapsed="false">
      <c r="A7" s="0" t="s">
        <v>85</v>
      </c>
      <c r="B7" s="3" t="n">
        <v>33647</v>
      </c>
    </row>
    <row r="8" customFormat="false" ht="15" hidden="false" customHeight="false" outlineLevel="0" collapsed="false">
      <c r="A8" s="0" t="s">
        <v>86</v>
      </c>
      <c r="B8" s="3" t="s">
        <v>77</v>
      </c>
    </row>
    <row r="9" customFormat="false" ht="15" hidden="false" customHeight="false" outlineLevel="0" collapsed="false">
      <c r="A9" s="0" t="s">
        <v>87</v>
      </c>
      <c r="B9" s="3" t="s">
        <v>88</v>
      </c>
    </row>
    <row r="10" customFormat="false" ht="15" hidden="false" customHeight="false" outlineLevel="0" collapsed="false">
      <c r="A10" s="0" t="s">
        <v>89</v>
      </c>
      <c r="B10" s="3" t="n">
        <v>100</v>
      </c>
    </row>
    <row r="12" customFormat="false" ht="15" hidden="false" customHeight="false" outlineLevel="0" collapsed="false">
      <c r="A12" s="2" t="s">
        <v>90</v>
      </c>
      <c r="C12" s="2" t="s">
        <v>91</v>
      </c>
      <c r="D12" s="2" t="s">
        <v>92</v>
      </c>
      <c r="E12" s="2" t="s">
        <v>93</v>
      </c>
      <c r="F12" s="2" t="s">
        <v>94</v>
      </c>
      <c r="G12" s="2" t="s">
        <v>95</v>
      </c>
      <c r="H12" s="2" t="s">
        <v>96</v>
      </c>
      <c r="I12" s="2" t="s">
        <v>97</v>
      </c>
      <c r="J12" s="2" t="s">
        <v>98</v>
      </c>
      <c r="K12" s="2" t="s">
        <v>99</v>
      </c>
      <c r="L12" s="2" t="s">
        <v>100</v>
      </c>
    </row>
    <row r="13" customFormat="false" ht="15" hidden="false" customHeight="false" outlineLevel="0" collapsed="false">
      <c r="A13" s="0" t="s">
        <v>101</v>
      </c>
      <c r="C13" s="3" t="n">
        <v>1.5</v>
      </c>
      <c r="D13" s="3" t="n">
        <v>1</v>
      </c>
      <c r="E13" s="3" t="n">
        <v>1</v>
      </c>
      <c r="F13" s="3" t="n">
        <v>1</v>
      </c>
      <c r="G13" s="3" t="n">
        <v>1.25</v>
      </c>
      <c r="H13" s="3" t="n">
        <v>1.5</v>
      </c>
      <c r="I13" s="3" t="n">
        <v>1.5</v>
      </c>
      <c r="J13" s="3" t="n">
        <v>1.5</v>
      </c>
      <c r="K13" s="3" t="n">
        <v>1.5</v>
      </c>
      <c r="L13" s="3" t="n">
        <v>1.5</v>
      </c>
    </row>
    <row r="14" customFormat="false" ht="15" hidden="false" customHeight="false" outlineLevel="0" collapsed="false">
      <c r="A14" s="0" t="s">
        <v>102</v>
      </c>
      <c r="C14" s="3" t="n">
        <v>6.3</v>
      </c>
      <c r="D14" s="3" t="n">
        <v>6.1</v>
      </c>
      <c r="E14" s="3" t="n">
        <v>6</v>
      </c>
      <c r="F14" s="3" t="n">
        <v>6</v>
      </c>
      <c r="G14" s="3" t="n">
        <v>6</v>
      </c>
      <c r="H14" s="3" t="n">
        <v>6</v>
      </c>
      <c r="I14" s="3" t="n">
        <v>6</v>
      </c>
      <c r="J14" s="3" t="n">
        <v>6</v>
      </c>
      <c r="K14" s="3" t="n">
        <v>6</v>
      </c>
      <c r="L14" s="3" t="n">
        <v>6</v>
      </c>
    </row>
    <row r="15" customFormat="false" ht="15" hidden="false" customHeight="false" outlineLevel="0" collapsed="false">
      <c r="A15" s="0" t="s">
        <v>103</v>
      </c>
      <c r="C15" s="3" t="n">
        <v>0.22</v>
      </c>
      <c r="D15" s="3" t="n">
        <v>0.22</v>
      </c>
      <c r="E15" s="3" t="n">
        <v>0.22</v>
      </c>
      <c r="F15" s="3" t="n">
        <v>0.22</v>
      </c>
      <c r="G15" s="3" t="n">
        <v>0.22</v>
      </c>
      <c r="H15" s="3" t="n">
        <v>0.22</v>
      </c>
      <c r="I15" s="3" t="n">
        <v>0.22</v>
      </c>
      <c r="J15" s="3" t="n">
        <v>0.22</v>
      </c>
      <c r="K15" s="3" t="n">
        <v>0.22</v>
      </c>
      <c r="L15" s="3" t="n">
        <v>0.22</v>
      </c>
    </row>
    <row r="16" customFormat="false" ht="15" hidden="false" customHeight="false" outlineLevel="0" collapsed="false">
      <c r="A16" s="0" t="s">
        <v>104</v>
      </c>
      <c r="C16" s="3" t="n">
        <v>2.35</v>
      </c>
      <c r="D16" s="3" t="n">
        <v>2.35</v>
      </c>
      <c r="E16" s="3" t="n">
        <v>2.35</v>
      </c>
      <c r="F16" s="3" t="n">
        <v>2.35</v>
      </c>
      <c r="G16" s="3" t="n">
        <v>2.35</v>
      </c>
      <c r="H16" s="3" t="n">
        <v>2.35</v>
      </c>
      <c r="I16" s="3" t="n">
        <v>2.35</v>
      </c>
      <c r="J16" s="3" t="n">
        <v>2.35</v>
      </c>
      <c r="K16" s="3" t="n">
        <v>2.35</v>
      </c>
      <c r="L16" s="3" t="n">
        <v>2.35</v>
      </c>
    </row>
    <row r="17" customFormat="false" ht="15" hidden="false" customHeight="false" outlineLevel="0" collapsed="false">
      <c r="A17" s="0" t="s">
        <v>105</v>
      </c>
      <c r="C17" s="3" t="n">
        <v>2</v>
      </c>
      <c r="D17" s="3" t="n">
        <v>2</v>
      </c>
      <c r="E17" s="3" t="n">
        <v>2</v>
      </c>
      <c r="F17" s="3" t="n">
        <v>2</v>
      </c>
      <c r="G17" s="3" t="n">
        <v>2</v>
      </c>
      <c r="H17" s="3" t="n">
        <v>2</v>
      </c>
      <c r="I17" s="3" t="n">
        <v>2</v>
      </c>
      <c r="J17" s="3" t="n">
        <v>2</v>
      </c>
      <c r="K17" s="3" t="n">
        <v>2</v>
      </c>
      <c r="L17" s="3" t="n">
        <v>2</v>
      </c>
    </row>
    <row r="18" customFormat="false" ht="15" hidden="false" customHeight="false" outlineLevel="0" collapsed="false">
      <c r="A18" s="0" t="s">
        <v>106</v>
      </c>
      <c r="C18" s="3" t="n">
        <v>2.5</v>
      </c>
      <c r="D18" s="3" t="n">
        <v>2.5</v>
      </c>
      <c r="E18" s="3" t="n">
        <v>2.5</v>
      </c>
      <c r="F18" s="3" t="n">
        <v>2.5</v>
      </c>
      <c r="G18" s="3" t="n">
        <v>2.5</v>
      </c>
      <c r="H18" s="3" t="n">
        <v>2.5</v>
      </c>
      <c r="I18" s="3" t="n">
        <v>2.5</v>
      </c>
      <c r="J18" s="3" t="n">
        <v>2.5</v>
      </c>
      <c r="K18" s="3" t="n">
        <v>2.5</v>
      </c>
      <c r="L18" s="3" t="n">
        <v>2.5</v>
      </c>
    </row>
    <row r="19" customFormat="false" ht="15" hidden="false" customHeight="false" outlineLevel="0" collapsed="false">
      <c r="A19" s="0" t="s">
        <v>107</v>
      </c>
      <c r="C19" s="3" t="n">
        <v>20</v>
      </c>
      <c r="D19" s="3" t="n">
        <v>22</v>
      </c>
      <c r="E19" s="3" t="n">
        <v>24</v>
      </c>
      <c r="F19" s="3" t="n">
        <v>25</v>
      </c>
      <c r="G19" s="3" t="n">
        <v>26</v>
      </c>
      <c r="H19" s="3" t="n">
        <v>27</v>
      </c>
      <c r="I19" s="3" t="n">
        <v>27</v>
      </c>
      <c r="J19" s="3" t="n">
        <v>27</v>
      </c>
      <c r="K19" s="3" t="n">
        <v>27</v>
      </c>
      <c r="L19" s="3" t="n">
        <v>27</v>
      </c>
    </row>
    <row r="20" customFormat="false" ht="15" hidden="false" customHeight="false" outlineLevel="0" collapsed="false">
      <c r="A20" s="0" t="s">
        <v>108</v>
      </c>
      <c r="B20" s="3" t="n">
        <v>8</v>
      </c>
    </row>
    <row r="21" customFormat="false" ht="15" hidden="false" customHeight="false" outlineLevel="0" collapsed="false">
      <c r="A21" s="0" t="s">
        <v>109</v>
      </c>
      <c r="B21" s="3" t="n">
        <v>1.5</v>
      </c>
    </row>
    <row r="22" customFormat="false" ht="15" hidden="false" customHeight="false" outlineLevel="0" collapsed="false">
      <c r="A22" s="0" t="s">
        <v>110</v>
      </c>
      <c r="B22" s="3" t="n">
        <v>14</v>
      </c>
    </row>
    <row r="23" customFormat="false" ht="15" hidden="false" customHeight="false" outlineLevel="0" collapsed="false">
      <c r="A23" s="0" t="s">
        <v>111</v>
      </c>
      <c r="B23" s="3" t="n">
        <v>3</v>
      </c>
    </row>
    <row r="24" customFormat="false" ht="15" hidden="false" customHeight="false" outlineLevel="0" collapsed="false">
      <c r="A24" s="0" t="s">
        <v>112</v>
      </c>
      <c r="B24" s="3" t="n">
        <v>0.25</v>
      </c>
    </row>
    <row r="26" customFormat="false" ht="15" hidden="false" customHeight="false" outlineLevel="0" collapsed="false">
      <c r="A26" s="2" t="s">
        <v>113</v>
      </c>
      <c r="C26" s="2" t="s">
        <v>91</v>
      </c>
      <c r="D26" s="2" t="s">
        <v>92</v>
      </c>
      <c r="E26" s="2" t="s">
        <v>93</v>
      </c>
      <c r="F26" s="2" t="s">
        <v>94</v>
      </c>
      <c r="G26" s="2" t="s">
        <v>95</v>
      </c>
      <c r="H26" s="2" t="s">
        <v>96</v>
      </c>
      <c r="I26" s="2" t="s">
        <v>97</v>
      </c>
      <c r="J26" s="2" t="s">
        <v>98</v>
      </c>
      <c r="K26" s="2" t="s">
        <v>99</v>
      </c>
      <c r="L26" s="2" t="s">
        <v>100</v>
      </c>
    </row>
    <row r="27" customFormat="false" ht="15" hidden="false" customHeight="false" outlineLevel="0" collapsed="false">
      <c r="A27" s="0" t="s">
        <v>101</v>
      </c>
      <c r="C27" s="3" t="n">
        <v>2.5</v>
      </c>
      <c r="D27" s="3" t="n">
        <v>2.5</v>
      </c>
      <c r="E27" s="3" t="n">
        <v>2.5</v>
      </c>
      <c r="F27" s="3" t="n">
        <v>2.25</v>
      </c>
      <c r="G27" s="3" t="n">
        <v>2</v>
      </c>
      <c r="H27" s="3" t="n">
        <v>2</v>
      </c>
      <c r="I27" s="3" t="n">
        <v>2</v>
      </c>
      <c r="J27" s="3" t="n">
        <v>2</v>
      </c>
      <c r="K27" s="3" t="n">
        <v>2</v>
      </c>
      <c r="L27" s="3" t="n">
        <v>2</v>
      </c>
    </row>
    <row r="28" customFormat="false" ht="15" hidden="false" customHeight="false" outlineLevel="0" collapsed="false">
      <c r="A28" s="0" t="s">
        <v>102</v>
      </c>
      <c r="C28" s="3" t="n">
        <v>6.45</v>
      </c>
      <c r="D28" s="3" t="n">
        <v>6.5</v>
      </c>
      <c r="E28" s="3" t="n">
        <v>6.55</v>
      </c>
      <c r="F28" s="3" t="n">
        <v>6.6</v>
      </c>
      <c r="G28" s="3" t="n">
        <v>6.6</v>
      </c>
      <c r="H28" s="3" t="n">
        <v>6.6</v>
      </c>
      <c r="I28" s="3" t="n">
        <v>6.6</v>
      </c>
      <c r="J28" s="3" t="n">
        <v>6.6</v>
      </c>
      <c r="K28" s="3" t="n">
        <v>6.6</v>
      </c>
      <c r="L28" s="3" t="n">
        <v>6.6</v>
      </c>
    </row>
    <row r="29" customFormat="false" ht="15" hidden="false" customHeight="false" outlineLevel="0" collapsed="false">
      <c r="A29" s="0" t="s">
        <v>103</v>
      </c>
      <c r="C29" s="3" t="n">
        <v>0.22</v>
      </c>
      <c r="D29" s="3" t="n">
        <v>0.22</v>
      </c>
      <c r="E29" s="3" t="n">
        <v>0.22</v>
      </c>
      <c r="F29" s="3" t="n">
        <v>0.22</v>
      </c>
      <c r="G29" s="3" t="n">
        <v>0.22</v>
      </c>
      <c r="H29" s="3" t="n">
        <v>0.22</v>
      </c>
      <c r="I29" s="3" t="n">
        <v>0.22</v>
      </c>
      <c r="J29" s="3" t="n">
        <v>0.22</v>
      </c>
      <c r="K29" s="3" t="n">
        <v>0.22</v>
      </c>
      <c r="L29" s="3" t="n">
        <v>0.22</v>
      </c>
    </row>
    <row r="30" customFormat="false" ht="15" hidden="false" customHeight="false" outlineLevel="0" collapsed="false">
      <c r="A30" s="0" t="s">
        <v>104</v>
      </c>
      <c r="C30" s="3" t="n">
        <v>2.3</v>
      </c>
      <c r="D30" s="3" t="n">
        <v>2.3</v>
      </c>
      <c r="E30" s="3" t="n">
        <v>2.3</v>
      </c>
      <c r="F30" s="3" t="n">
        <v>2.3</v>
      </c>
      <c r="G30" s="3" t="n">
        <v>2.3</v>
      </c>
      <c r="H30" s="3" t="n">
        <v>2.3</v>
      </c>
      <c r="I30" s="3" t="n">
        <v>2.3</v>
      </c>
      <c r="J30" s="3" t="n">
        <v>2.3</v>
      </c>
      <c r="K30" s="3" t="n">
        <v>2.3</v>
      </c>
      <c r="L30" s="3" t="n">
        <v>2.3</v>
      </c>
    </row>
    <row r="31" customFormat="false" ht="15" hidden="false" customHeight="false" outlineLevel="0" collapsed="false">
      <c r="A31" s="0" t="s">
        <v>105</v>
      </c>
      <c r="C31" s="3" t="n">
        <v>2</v>
      </c>
      <c r="D31" s="3" t="n">
        <v>2</v>
      </c>
      <c r="E31" s="3" t="n">
        <v>2</v>
      </c>
      <c r="F31" s="3" t="n">
        <v>2</v>
      </c>
      <c r="G31" s="3" t="n">
        <v>2</v>
      </c>
      <c r="H31" s="3" t="n">
        <v>2</v>
      </c>
      <c r="I31" s="3" t="n">
        <v>2</v>
      </c>
      <c r="J31" s="3" t="n">
        <v>2</v>
      </c>
      <c r="K31" s="3" t="n">
        <v>2</v>
      </c>
      <c r="L31" s="3" t="n">
        <v>2</v>
      </c>
    </row>
    <row r="32" customFormat="false" ht="15" hidden="false" customHeight="false" outlineLevel="0" collapsed="false">
      <c r="A32" s="0" t="s">
        <v>106</v>
      </c>
      <c r="C32" s="3" t="n">
        <v>2.4</v>
      </c>
      <c r="D32" s="3" t="n">
        <v>2.4</v>
      </c>
      <c r="E32" s="3" t="n">
        <v>2.4</v>
      </c>
      <c r="F32" s="3" t="n">
        <v>2.4</v>
      </c>
      <c r="G32" s="3" t="n">
        <v>2.4</v>
      </c>
      <c r="H32" s="3" t="n">
        <v>2.4</v>
      </c>
      <c r="I32" s="3" t="n">
        <v>2.4</v>
      </c>
      <c r="J32" s="3" t="n">
        <v>2.4</v>
      </c>
      <c r="K32" s="3" t="n">
        <v>2.4</v>
      </c>
      <c r="L32" s="3" t="n">
        <v>2.4</v>
      </c>
    </row>
    <row r="33" customFormat="false" ht="15" hidden="false" customHeight="false" outlineLevel="0" collapsed="false">
      <c r="A33" s="0" t="s">
        <v>107</v>
      </c>
      <c r="C33" s="3" t="n">
        <v>20</v>
      </c>
      <c r="D33" s="3" t="n">
        <v>22</v>
      </c>
      <c r="E33" s="3" t="n">
        <v>24</v>
      </c>
      <c r="F33" s="3" t="n">
        <v>25</v>
      </c>
      <c r="G33" s="3" t="n">
        <v>26</v>
      </c>
      <c r="H33" s="3" t="n">
        <v>27</v>
      </c>
      <c r="I33" s="3" t="n">
        <v>27</v>
      </c>
      <c r="J33" s="3" t="n">
        <v>27</v>
      </c>
      <c r="K33" s="3" t="n">
        <v>27</v>
      </c>
      <c r="L33" s="3" t="n">
        <v>27</v>
      </c>
    </row>
    <row r="34" customFormat="false" ht="15" hidden="false" customHeight="false" outlineLevel="0" collapsed="false">
      <c r="A34" s="0" t="s">
        <v>108</v>
      </c>
      <c r="B34" s="3" t="n">
        <v>8</v>
      </c>
    </row>
    <row r="35" customFormat="false" ht="15" hidden="false" customHeight="false" outlineLevel="0" collapsed="false">
      <c r="A35" s="0" t="s">
        <v>109</v>
      </c>
      <c r="B35" s="3" t="n">
        <v>2</v>
      </c>
    </row>
    <row r="36" customFormat="false" ht="15" hidden="false" customHeight="false" outlineLevel="0" collapsed="false">
      <c r="A36" s="0" t="s">
        <v>110</v>
      </c>
      <c r="B36" s="3" t="n">
        <v>16</v>
      </c>
    </row>
    <row r="37" customFormat="false" ht="15" hidden="false" customHeight="false" outlineLevel="0" collapsed="false">
      <c r="A37" s="0" t="s">
        <v>111</v>
      </c>
      <c r="B37" s="3" t="n">
        <v>5</v>
      </c>
    </row>
    <row r="38" customFormat="false" ht="15" hidden="false" customHeight="false" outlineLevel="0" collapsed="false">
      <c r="A38" s="0" t="s">
        <v>112</v>
      </c>
      <c r="B38" s="3" t="n">
        <v>0.5</v>
      </c>
    </row>
    <row r="40" customFormat="false" ht="15" hidden="false" customHeight="false" outlineLevel="0" collapsed="false">
      <c r="A40" s="2" t="s">
        <v>114</v>
      </c>
      <c r="C40" s="2" t="s">
        <v>91</v>
      </c>
      <c r="D40" s="2" t="s">
        <v>92</v>
      </c>
      <c r="E40" s="2" t="s">
        <v>93</v>
      </c>
      <c r="F40" s="2" t="s">
        <v>94</v>
      </c>
      <c r="G40" s="2" t="s">
        <v>95</v>
      </c>
      <c r="H40" s="2" t="s">
        <v>96</v>
      </c>
      <c r="I40" s="2" t="s">
        <v>97</v>
      </c>
      <c r="J40" s="2" t="s">
        <v>98</v>
      </c>
      <c r="K40" s="2" t="s">
        <v>99</v>
      </c>
      <c r="L40" s="2" t="s">
        <v>100</v>
      </c>
    </row>
    <row r="41" customFormat="false" ht="15" hidden="false" customHeight="false" outlineLevel="0" collapsed="false">
      <c r="A41" s="0" t="s">
        <v>101</v>
      </c>
      <c r="C41" s="3" t="n">
        <v>3.5</v>
      </c>
      <c r="D41" s="3" t="n">
        <v>3.5</v>
      </c>
      <c r="E41" s="3" t="n">
        <v>3</v>
      </c>
      <c r="F41" s="3" t="n">
        <v>3</v>
      </c>
      <c r="G41" s="3" t="n">
        <v>2.75</v>
      </c>
      <c r="H41" s="3" t="n">
        <v>2.5</v>
      </c>
      <c r="I41" s="3" t="n">
        <v>2.5</v>
      </c>
      <c r="J41" s="3" t="n">
        <v>2.5</v>
      </c>
      <c r="K41" s="3" t="n">
        <v>2.5</v>
      </c>
      <c r="L41" s="3" t="n">
        <v>2.5</v>
      </c>
    </row>
    <row r="42" customFormat="false" ht="15" hidden="false" customHeight="false" outlineLevel="0" collapsed="false">
      <c r="A42" s="0" t="s">
        <v>102</v>
      </c>
      <c r="C42" s="3" t="n">
        <v>6.55</v>
      </c>
      <c r="D42" s="3" t="n">
        <v>6.65</v>
      </c>
      <c r="E42" s="3" t="n">
        <v>6.75</v>
      </c>
      <c r="F42" s="3" t="n">
        <v>6.85</v>
      </c>
      <c r="G42" s="3" t="n">
        <v>6.95</v>
      </c>
      <c r="H42" s="3" t="n">
        <v>7</v>
      </c>
      <c r="I42" s="3" t="n">
        <v>7</v>
      </c>
      <c r="J42" s="3" t="n">
        <v>7</v>
      </c>
      <c r="K42" s="3" t="n">
        <v>7</v>
      </c>
      <c r="L42" s="3" t="n">
        <v>7</v>
      </c>
    </row>
    <row r="43" customFormat="false" ht="15" hidden="false" customHeight="false" outlineLevel="0" collapsed="false">
      <c r="A43" s="0" t="s">
        <v>103</v>
      </c>
      <c r="C43" s="3" t="n">
        <v>0.22</v>
      </c>
      <c r="D43" s="3" t="n">
        <v>0.22</v>
      </c>
      <c r="E43" s="3" t="n">
        <v>0.22</v>
      </c>
      <c r="F43" s="3" t="n">
        <v>0.22</v>
      </c>
      <c r="G43" s="3" t="n">
        <v>0.22</v>
      </c>
      <c r="H43" s="3" t="n">
        <v>0.22</v>
      </c>
      <c r="I43" s="3" t="n">
        <v>0.22</v>
      </c>
      <c r="J43" s="3" t="n">
        <v>0.22</v>
      </c>
      <c r="K43" s="3" t="n">
        <v>0.22</v>
      </c>
      <c r="L43" s="3" t="n">
        <v>0.22</v>
      </c>
    </row>
    <row r="44" customFormat="false" ht="15" hidden="false" customHeight="false" outlineLevel="0" collapsed="false">
      <c r="A44" s="0" t="s">
        <v>104</v>
      </c>
      <c r="C44" s="3" t="n">
        <v>2.3</v>
      </c>
      <c r="D44" s="3" t="n">
        <v>2.3</v>
      </c>
      <c r="E44" s="3" t="n">
        <v>2.3</v>
      </c>
      <c r="F44" s="3" t="n">
        <v>2.3</v>
      </c>
      <c r="G44" s="3" t="n">
        <v>2.3</v>
      </c>
      <c r="H44" s="3" t="n">
        <v>2.3</v>
      </c>
      <c r="I44" s="3" t="n">
        <v>2.3</v>
      </c>
      <c r="J44" s="3" t="n">
        <v>2.3</v>
      </c>
      <c r="K44" s="3" t="n">
        <v>2.3</v>
      </c>
      <c r="L44" s="3" t="n">
        <v>2.3</v>
      </c>
    </row>
    <row r="45" customFormat="false" ht="15" hidden="false" customHeight="false" outlineLevel="0" collapsed="false">
      <c r="A45" s="0" t="s">
        <v>105</v>
      </c>
      <c r="C45" s="3" t="n">
        <v>2</v>
      </c>
      <c r="D45" s="3" t="n">
        <v>2</v>
      </c>
      <c r="E45" s="3" t="n">
        <v>2</v>
      </c>
      <c r="F45" s="3" t="n">
        <v>2</v>
      </c>
      <c r="G45" s="3" t="n">
        <v>2</v>
      </c>
      <c r="H45" s="3" t="n">
        <v>2</v>
      </c>
      <c r="I45" s="3" t="n">
        <v>2</v>
      </c>
      <c r="J45" s="3" t="n">
        <v>2</v>
      </c>
      <c r="K45" s="3" t="n">
        <v>2</v>
      </c>
      <c r="L45" s="3" t="n">
        <v>2</v>
      </c>
    </row>
    <row r="46" customFormat="false" ht="15" hidden="false" customHeight="false" outlineLevel="0" collapsed="false">
      <c r="A46" s="0" t="s">
        <v>106</v>
      </c>
      <c r="C46" s="3" t="n">
        <v>2.4</v>
      </c>
      <c r="D46" s="3" t="n">
        <v>2.4</v>
      </c>
      <c r="E46" s="3" t="n">
        <v>2.35</v>
      </c>
      <c r="F46" s="3" t="n">
        <v>2.35</v>
      </c>
      <c r="G46" s="3" t="n">
        <v>2.3</v>
      </c>
      <c r="H46" s="3" t="n">
        <v>2.3</v>
      </c>
      <c r="I46" s="3" t="n">
        <v>2.3</v>
      </c>
      <c r="J46" s="3" t="n">
        <v>2.3</v>
      </c>
      <c r="K46" s="3" t="n">
        <v>2.3</v>
      </c>
      <c r="L46" s="3" t="n">
        <v>2.3</v>
      </c>
    </row>
    <row r="47" customFormat="false" ht="15" hidden="false" customHeight="false" outlineLevel="0" collapsed="false">
      <c r="A47" s="0" t="s">
        <v>107</v>
      </c>
      <c r="C47" s="3" t="n">
        <v>20</v>
      </c>
      <c r="D47" s="3" t="n">
        <v>22</v>
      </c>
      <c r="E47" s="3" t="n">
        <v>24</v>
      </c>
      <c r="F47" s="3" t="n">
        <v>25</v>
      </c>
      <c r="G47" s="3" t="n">
        <v>26</v>
      </c>
      <c r="H47" s="3" t="n">
        <v>27</v>
      </c>
      <c r="I47" s="3" t="n">
        <v>27</v>
      </c>
      <c r="J47" s="3" t="n">
        <v>27</v>
      </c>
      <c r="K47" s="3" t="n">
        <v>27</v>
      </c>
      <c r="L47" s="3" t="n">
        <v>27</v>
      </c>
    </row>
    <row r="48" customFormat="false" ht="15" hidden="false" customHeight="false" outlineLevel="0" collapsed="false">
      <c r="A48" s="0" t="s">
        <v>108</v>
      </c>
      <c r="B48" s="3" t="n">
        <v>8</v>
      </c>
    </row>
    <row r="49" customFormat="false" ht="15" hidden="false" customHeight="false" outlineLevel="0" collapsed="false">
      <c r="A49" s="0" t="s">
        <v>109</v>
      </c>
      <c r="B49" s="3" t="n">
        <v>2.5</v>
      </c>
    </row>
    <row r="50" customFormat="false" ht="15" hidden="false" customHeight="false" outlineLevel="0" collapsed="false">
      <c r="A50" s="0" t="s">
        <v>110</v>
      </c>
      <c r="B50" s="3" t="n">
        <v>18</v>
      </c>
    </row>
    <row r="51" customFormat="false" ht="15" hidden="false" customHeight="false" outlineLevel="0" collapsed="false">
      <c r="A51" s="0" t="s">
        <v>111</v>
      </c>
      <c r="B51" s="3" t="n">
        <v>7</v>
      </c>
    </row>
    <row r="52" customFormat="false" ht="15" hidden="false" customHeight="false" outlineLevel="0" collapsed="false">
      <c r="A52" s="0" t="s">
        <v>112</v>
      </c>
      <c r="B52" s="3" t="n">
        <v>0.25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115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Assumptions!C13</f>
        <v>1.5</v>
      </c>
      <c r="D5" s="4" t="n">
        <f aca="false">Assumptions!D13</f>
        <v>1</v>
      </c>
      <c r="E5" s="4" t="n">
        <f aca="false">Assumptions!E13</f>
        <v>1</v>
      </c>
      <c r="F5" s="4" t="n">
        <f aca="false">Assumptions!F13</f>
        <v>1</v>
      </c>
      <c r="G5" s="4" t="n">
        <f aca="false">Assumptions!G13</f>
        <v>1.25</v>
      </c>
      <c r="H5" s="4" t="n">
        <f aca="false">Assumptions!H13</f>
        <v>1.5</v>
      </c>
      <c r="I5" s="4" t="n">
        <f aca="false">Assumptions!I13</f>
        <v>1.5</v>
      </c>
      <c r="J5" s="4" t="n">
        <f aca="false">Assumptions!J13</f>
        <v>1.5</v>
      </c>
      <c r="K5" s="4" t="n">
        <f aca="false">Assumptions!K13</f>
        <v>1.5</v>
      </c>
      <c r="L5" s="4" t="n">
        <f aca="false">Assumptions!L13</f>
        <v>1.5</v>
      </c>
    </row>
    <row r="6" customFormat="false" ht="15" hidden="false" customHeight="false" outlineLevel="0" collapsed="false">
      <c r="A6" s="0" t="s">
        <v>38</v>
      </c>
      <c r="B6" s="3" t="n">
        <v>33647</v>
      </c>
      <c r="C6" s="0" t="n">
        <f aca="false">B6*(1+C5/100)</f>
        <v>34151.705</v>
      </c>
      <c r="D6" s="0" t="n">
        <f aca="false">C6*(1+D5/100)</f>
        <v>34493.22205</v>
      </c>
      <c r="E6" s="0" t="n">
        <f aca="false">D6*(1+E5/100)</f>
        <v>34838.1542705</v>
      </c>
      <c r="F6" s="0" t="n">
        <f aca="false">E6*(1+F5/100)</f>
        <v>35186.535813205</v>
      </c>
      <c r="G6" s="0" t="n">
        <f aca="false">F6*(1+G5/100)</f>
        <v>35626.3675108701</v>
      </c>
      <c r="H6" s="0" t="n">
        <f aca="false">G6*(1+H5/100)</f>
        <v>36160.7630235331</v>
      </c>
      <c r="I6" s="0" t="n">
        <f aca="false">H6*(1+I5/100)</f>
        <v>36703.1744688861</v>
      </c>
      <c r="J6" s="0" t="n">
        <f aca="false">I6*(1+J5/100)</f>
        <v>37253.7220859194</v>
      </c>
      <c r="K6" s="0" t="n">
        <f aca="false">J6*(1+K5/100)</f>
        <v>37812.5279172082</v>
      </c>
      <c r="L6" s="0" t="n">
        <f aca="false">K6*(1+L5/100)</f>
        <v>38379.7158359663</v>
      </c>
    </row>
    <row r="7" customFormat="false" ht="15" hidden="false" customHeight="false" outlineLevel="0" collapsed="false">
      <c r="A7" s="0" t="s">
        <v>102</v>
      </c>
      <c r="C7" s="4" t="n">
        <f aca="false">Assumptions!C14</f>
        <v>6.3</v>
      </c>
      <c r="D7" s="4" t="n">
        <f aca="false">Assumptions!D14</f>
        <v>6.1</v>
      </c>
      <c r="E7" s="4" t="n">
        <f aca="false">Assumptions!E14</f>
        <v>6</v>
      </c>
      <c r="F7" s="4" t="n">
        <f aca="false">Assumptions!F14</f>
        <v>6</v>
      </c>
      <c r="G7" s="4" t="n">
        <f aca="false">Assumptions!G14</f>
        <v>6</v>
      </c>
      <c r="H7" s="4" t="n">
        <f aca="false">Assumptions!H14</f>
        <v>6</v>
      </c>
      <c r="I7" s="4" t="n">
        <f aca="false">Assumptions!I14</f>
        <v>6</v>
      </c>
      <c r="J7" s="4" t="n">
        <f aca="false">Assumptions!J14</f>
        <v>6</v>
      </c>
      <c r="K7" s="4" t="n">
        <f aca="false">Assumptions!K14</f>
        <v>6</v>
      </c>
      <c r="L7" s="4" t="n">
        <f aca="false">Assumptions!L14</f>
        <v>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2151.557415</v>
      </c>
      <c r="D8" s="0" t="n">
        <f aca="false">D6*D7/100</f>
        <v>2104.08654505</v>
      </c>
      <c r="E8" s="0" t="n">
        <f aca="false">E6*E7/100</f>
        <v>2090.28925623</v>
      </c>
      <c r="F8" s="0" t="n">
        <f aca="false">F6*F7/100</f>
        <v>2111.1921487923</v>
      </c>
      <c r="G8" s="0" t="n">
        <f aca="false">G6*G7/100</f>
        <v>2137.5820506522</v>
      </c>
      <c r="H8" s="0" t="n">
        <f aca="false">H6*H7/100</f>
        <v>2169.64578141199</v>
      </c>
      <c r="I8" s="0" t="n">
        <f aca="false">I6*I7/100</f>
        <v>2202.19046813317</v>
      </c>
      <c r="J8" s="0" t="n">
        <f aca="false">J6*J7/100</f>
        <v>2235.22332515516</v>
      </c>
      <c r="K8" s="0" t="n">
        <f aca="false">K6*K7/100</f>
        <v>2268.75167503249</v>
      </c>
      <c r="L8" s="0" t="n">
        <f aca="false">L6*L7/100</f>
        <v>2302.78295015798</v>
      </c>
    </row>
    <row r="9" customFormat="false" ht="15" hidden="false" customHeight="false" outlineLevel="0" collapsed="false">
      <c r="A9" s="0" t="s">
        <v>103</v>
      </c>
      <c r="C9" s="4" t="n">
        <f aca="false">Assumptions!C15</f>
        <v>0.22</v>
      </c>
      <c r="D9" s="4" t="n">
        <f aca="false">Assumptions!D15</f>
        <v>0.22</v>
      </c>
      <c r="E9" s="4" t="n">
        <f aca="false">Assumptions!E15</f>
        <v>0.22</v>
      </c>
      <c r="F9" s="4" t="n">
        <f aca="false">Assumptions!F15</f>
        <v>0.22</v>
      </c>
      <c r="G9" s="4" t="n">
        <f aca="false">Assumptions!G15</f>
        <v>0.22</v>
      </c>
      <c r="H9" s="4" t="n">
        <f aca="false">Assumptions!H15</f>
        <v>0.22</v>
      </c>
      <c r="I9" s="4" t="n">
        <f aca="false">Assumptions!I15</f>
        <v>0.22</v>
      </c>
      <c r="J9" s="4" t="n">
        <f aca="false">Assumptions!J15</f>
        <v>0.22</v>
      </c>
      <c r="K9" s="4" t="n">
        <f aca="false">Assumptions!K15</f>
        <v>0.22</v>
      </c>
      <c r="L9" s="4" t="n">
        <f aca="false">Assumptions!L15</f>
        <v>0.22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-75.133751</v>
      </c>
      <c r="D10" s="0" t="n">
        <f aca="false">-D6*D9/100</f>
        <v>-75.88508851</v>
      </c>
      <c r="E10" s="0" t="n">
        <f aca="false">-E6*E9/100</f>
        <v>-76.6439393951</v>
      </c>
      <c r="F10" s="0" t="n">
        <f aca="false">-F6*F9/100</f>
        <v>-77.410378789051</v>
      </c>
      <c r="G10" s="0" t="n">
        <f aca="false">-G6*G9/100</f>
        <v>-78.3780085239141</v>
      </c>
      <c r="H10" s="0" t="n">
        <f aca="false">-H6*H9/100</f>
        <v>-79.5536786517728</v>
      </c>
      <c r="I10" s="0" t="n">
        <f aca="false">-I6*I9/100</f>
        <v>-80.7469838315494</v>
      </c>
      <c r="J10" s="0" t="n">
        <f aca="false">-J6*J9/100</f>
        <v>-81.9581885890227</v>
      </c>
      <c r="K10" s="0" t="n">
        <f aca="false">-K6*K9/100</f>
        <v>-83.187561417858</v>
      </c>
      <c r="L10" s="0" t="n">
        <f aca="false">-L6*L9/100</f>
        <v>-84.4353748391259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1273.8585965</v>
      </c>
      <c r="D11" s="0" t="n">
        <f aca="false">D8+D10+D24</f>
        <v>1217.610738365</v>
      </c>
      <c r="E11" s="0" t="n">
        <f aca="false">E8+E10+E24</f>
        <v>1194.94869147815</v>
      </c>
      <c r="F11" s="0" t="n">
        <f aca="false">F8+F10+F24</f>
        <v>1206.89817839293</v>
      </c>
      <c r="G11" s="0" t="n">
        <f aca="false">G8+G10+G24</f>
        <v>1221.98440562284</v>
      </c>
      <c r="H11" s="0" t="n">
        <f aca="false">H8+H10+H24</f>
        <v>1240.31417170719</v>
      </c>
      <c r="I11" s="0" t="n">
        <f aca="false">I8+I10+I24</f>
        <v>1258.91888428279</v>
      </c>
      <c r="J11" s="0" t="n">
        <f aca="false">J8+J10+J24</f>
        <v>1277.80266754704</v>
      </c>
      <c r="K11" s="0" t="n">
        <f aca="false">K8+K10+K24</f>
        <v>1296.96970756024</v>
      </c>
      <c r="L11" s="0" t="n">
        <f aca="false">L8+L10+L24</f>
        <v>1316.42425317364</v>
      </c>
    </row>
    <row r="12" customFormat="false" ht="15" hidden="false" customHeight="false" outlineLevel="0" collapsed="false">
      <c r="A12" s="0" t="s">
        <v>120</v>
      </c>
      <c r="C12" s="4" t="n">
        <f aca="false">-C6*Assumptions!C17/100</f>
        <v>-683.0341</v>
      </c>
      <c r="D12" s="4" t="n">
        <f aca="false">-D6*Assumptions!D17/100</f>
        <v>-689.864441</v>
      </c>
      <c r="E12" s="4" t="n">
        <f aca="false">-E6*Assumptions!E17/100</f>
        <v>-696.76308541</v>
      </c>
      <c r="F12" s="4" t="n">
        <f aca="false">-F6*Assumptions!F17/100</f>
        <v>-703.7307162641</v>
      </c>
      <c r="G12" s="4" t="n">
        <f aca="false">-G6*Assumptions!G17/100</f>
        <v>-712.527350217401</v>
      </c>
      <c r="H12" s="4" t="n">
        <f aca="false">-H6*Assumptions!H17/100</f>
        <v>-723.215260470662</v>
      </c>
      <c r="I12" s="4" t="n">
        <f aca="false">-I6*Assumptions!I17/100</f>
        <v>-734.063489377722</v>
      </c>
      <c r="J12" s="4" t="n">
        <f aca="false">-J6*Assumptions!J17/100</f>
        <v>-745.074441718388</v>
      </c>
      <c r="K12" s="4" t="n">
        <f aca="false">-K6*Assumptions!K17/100</f>
        <v>-756.250558344163</v>
      </c>
      <c r="L12" s="4" t="n">
        <f aca="false">-L6*Assumptions!L17/100</f>
        <v>-767.594316719326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590.8244965</v>
      </c>
      <c r="D13" s="0" t="n">
        <f aca="false">D11+D12</f>
        <v>527.746297365</v>
      </c>
      <c r="E13" s="0" t="n">
        <f aca="false">E11+E12</f>
        <v>498.18560606815</v>
      </c>
      <c r="F13" s="0" t="n">
        <f aca="false">F11+F12</f>
        <v>503.167462128831</v>
      </c>
      <c r="G13" s="0" t="n">
        <f aca="false">G11+G12</f>
        <v>509.457055405441</v>
      </c>
      <c r="H13" s="0" t="n">
        <f aca="false">H11+H12</f>
        <v>517.098911236524</v>
      </c>
      <c r="I13" s="0" t="n">
        <f aca="false">I11+I12</f>
        <v>524.855394905072</v>
      </c>
      <c r="J13" s="0" t="n">
        <f aca="false">J11+J12</f>
        <v>532.728225828648</v>
      </c>
      <c r="K13" s="0" t="n">
        <f aca="false">K11+K12</f>
        <v>540.719149216077</v>
      </c>
      <c r="L13" s="0" t="n">
        <f aca="false">L11+L12</f>
        <v>548.829936454318</v>
      </c>
    </row>
    <row r="14" customFormat="false" ht="15" hidden="false" customHeight="false" outlineLevel="0" collapsed="false">
      <c r="A14" s="0" t="s">
        <v>107</v>
      </c>
      <c r="C14" s="4" t="n">
        <f aca="false">Assumptions!C19</f>
        <v>20</v>
      </c>
      <c r="D14" s="4" t="n">
        <f aca="false">Assumptions!D19</f>
        <v>22</v>
      </c>
      <c r="E14" s="4" t="n">
        <f aca="false">Assumptions!E19</f>
        <v>24</v>
      </c>
      <c r="F14" s="4" t="n">
        <f aca="false">Assumptions!F19</f>
        <v>25</v>
      </c>
      <c r="G14" s="4" t="n">
        <f aca="false">Assumptions!G19</f>
        <v>26</v>
      </c>
      <c r="H14" s="4" t="n">
        <f aca="false">Assumptions!H19</f>
        <v>27</v>
      </c>
      <c r="I14" s="4" t="n">
        <f aca="false">Assumptions!I19</f>
        <v>27</v>
      </c>
      <c r="J14" s="4" t="n">
        <f aca="false">Assumptions!J19</f>
        <v>27</v>
      </c>
      <c r="K14" s="4" t="n">
        <f aca="false">Assumptions!K19</f>
        <v>27</v>
      </c>
      <c r="L14" s="4" t="n">
        <f aca="false">Assumptions!L19</f>
        <v>27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472.6595972</v>
      </c>
      <c r="D15" s="0" t="n">
        <f aca="false">D13-MAX(0,D13)*D14/100</f>
        <v>411.6421119447</v>
      </c>
      <c r="E15" s="0" t="n">
        <f aca="false">E13-MAX(0,E13)*E14/100</f>
        <v>378.621060611794</v>
      </c>
      <c r="F15" s="0" t="n">
        <f aca="false">F13-MAX(0,F13)*F14/100</f>
        <v>377.375596596623</v>
      </c>
      <c r="G15" s="0" t="n">
        <f aca="false">G13-MAX(0,G13)*G14/100</f>
        <v>376.998221000027</v>
      </c>
      <c r="H15" s="0" t="n">
        <f aca="false">H13-MAX(0,H13)*H14/100</f>
        <v>377.482205202662</v>
      </c>
      <c r="I15" s="0" t="n">
        <f aca="false">I13-MAX(0,I13)*I14/100</f>
        <v>383.144438280702</v>
      </c>
      <c r="J15" s="0" t="n">
        <f aca="false">J13-MAX(0,J13)*J14/100</f>
        <v>388.891604854913</v>
      </c>
      <c r="K15" s="0" t="n">
        <f aca="false">K13-MAX(0,K13)*K14/100</f>
        <v>394.724978927736</v>
      </c>
      <c r="L15" s="0" t="n">
        <f aca="false">L13-MAX(0,L13)*L14/100</f>
        <v>400.645853611652</v>
      </c>
    </row>
    <row r="16" customFormat="false" ht="15" hidden="false" customHeight="false" outlineLevel="0" collapsed="false">
      <c r="A16" s="0" t="s">
        <v>123</v>
      </c>
      <c r="C16" s="0" t="n">
        <f aca="false">-C12</f>
        <v>683.0341</v>
      </c>
      <c r="D16" s="0" t="n">
        <f aca="false">-D12</f>
        <v>689.864441</v>
      </c>
      <c r="E16" s="0" t="n">
        <f aca="false">-E12</f>
        <v>696.76308541</v>
      </c>
      <c r="F16" s="0" t="n">
        <f aca="false">-F12</f>
        <v>703.7307162641</v>
      </c>
      <c r="G16" s="0" t="n">
        <f aca="false">-G12</f>
        <v>712.527350217401</v>
      </c>
      <c r="H16" s="0" t="n">
        <f aca="false">-H12</f>
        <v>723.215260470662</v>
      </c>
      <c r="I16" s="0" t="n">
        <f aca="false">-I12</f>
        <v>734.063489377722</v>
      </c>
      <c r="J16" s="0" t="n">
        <f aca="false">-J12</f>
        <v>745.074441718388</v>
      </c>
      <c r="K16" s="0" t="n">
        <f aca="false">-K12</f>
        <v>756.250558344163</v>
      </c>
      <c r="L16" s="0" t="n">
        <f aca="false">-L12</f>
        <v>767.594316719326</v>
      </c>
    </row>
    <row r="17" customFormat="false" ht="15" hidden="false" customHeight="false" outlineLevel="0" collapsed="false">
      <c r="A17" s="0" t="s">
        <v>124</v>
      </c>
      <c r="C17" s="4" t="n">
        <f aca="false">-C6*Assumptions!C18/100</f>
        <v>-853.792625</v>
      </c>
      <c r="D17" s="4" t="n">
        <f aca="false">-D6*Assumptions!D18/100</f>
        <v>-862.33055125</v>
      </c>
      <c r="E17" s="4" t="n">
        <f aca="false">-E6*Assumptions!E18/100</f>
        <v>-870.9538567625</v>
      </c>
      <c r="F17" s="4" t="n">
        <f aca="false">-F6*Assumptions!F18/100</f>
        <v>-879.663395330125</v>
      </c>
      <c r="G17" s="4" t="n">
        <f aca="false">-G6*Assumptions!G18/100</f>
        <v>-890.659187771751</v>
      </c>
      <c r="H17" s="4" t="n">
        <f aca="false">-H6*Assumptions!H18/100</f>
        <v>-904.019075588328</v>
      </c>
      <c r="I17" s="4" t="n">
        <f aca="false">-I6*Assumptions!I18/100</f>
        <v>-917.579361722152</v>
      </c>
      <c r="J17" s="4" t="n">
        <f aca="false">-J6*Assumptions!J18/100</f>
        <v>-931.343052147985</v>
      </c>
      <c r="K17" s="4" t="n">
        <f aca="false">-K6*Assumptions!K18/100</f>
        <v>-945.313197930204</v>
      </c>
      <c r="L17" s="4" t="n">
        <f aca="false">-L6*Assumptions!L18/100</f>
        <v>-959.492895899157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(C6-B6)*Assumptions!$B$23/100</f>
        <v>15.1411499999998</v>
      </c>
      <c r="D18" s="4" t="n">
        <f aca="false">(D6-C6)*Assumptions!$B$23/100</f>
        <v>10.2455115000001</v>
      </c>
      <c r="E18" s="4" t="n">
        <f aca="false">(E6-D6)*Assumptions!$B$23/100</f>
        <v>10.347966615</v>
      </c>
      <c r="F18" s="4" t="n">
        <f aca="false">(F6-E6)*Assumptions!$B$23/100</f>
        <v>10.45144628115</v>
      </c>
      <c r="G18" s="4" t="n">
        <f aca="false">(G6-F6)*Assumptions!$B$23/100</f>
        <v>13.1949509299518</v>
      </c>
      <c r="H18" s="4" t="n">
        <f aca="false">(H6-G6)*Assumptions!$B$23/100</f>
        <v>16.0318653798914</v>
      </c>
      <c r="I18" s="4" t="n">
        <f aca="false">(I6-H6)*Assumptions!$B$23/100</f>
        <v>16.2723433605897</v>
      </c>
      <c r="J18" s="4" t="n">
        <f aca="false">(J6-I6)*Assumptions!$B$23/100</f>
        <v>16.5164285109987</v>
      </c>
      <c r="K18" s="4" t="n">
        <f aca="false">(K6-J6)*Assumptions!$B$23/100</f>
        <v>16.7641749386636</v>
      </c>
      <c r="L18" s="4" t="n">
        <f aca="false">(L6-K6)*Assumptions!$B$23/100</f>
        <v>17.0156375627437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317.0422222</v>
      </c>
      <c r="D19" s="0" t="n">
        <f aca="false">D15+D16+D17+D18</f>
        <v>249.4215131947</v>
      </c>
      <c r="E19" s="0" t="n">
        <f aca="false">E15+E16+E17+E18</f>
        <v>214.778255874294</v>
      </c>
      <c r="F19" s="0" t="n">
        <f aca="false">F15+F16+F17+F18</f>
        <v>211.894363811748</v>
      </c>
      <c r="G19" s="0" t="n">
        <f aca="false">G15+G16+G17+G18</f>
        <v>212.061334375628</v>
      </c>
      <c r="H19" s="0" t="n">
        <f aca="false">H15+H16+H17+H18</f>
        <v>212.710255464888</v>
      </c>
      <c r="I19" s="0" t="n">
        <f aca="false">I15+I16+I17+I18</f>
        <v>215.900909296861</v>
      </c>
      <c r="J19" s="0" t="n">
        <f aca="false">J15+J16+J17+J18</f>
        <v>219.139422936315</v>
      </c>
      <c r="K19" s="0" t="n">
        <f aca="false">K15+K16+K17+K18</f>
        <v>222.426514280359</v>
      </c>
      <c r="L19" s="0" t="n">
        <f aca="false">L15+L16+L17+L18</f>
        <v>225.762911994564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293.557613148148</v>
      </c>
      <c r="D21" s="0" t="n">
        <f aca="false">D19*D20</f>
        <v>213.83874588023</v>
      </c>
      <c r="E21" s="0" t="n">
        <f aca="false">E19*E20</f>
        <v>170.497904183094</v>
      </c>
      <c r="F21" s="0" t="n">
        <f aca="false">F19*F20</f>
        <v>155.748683040948</v>
      </c>
      <c r="G21" s="0" t="n">
        <f aca="false">G19*G20</f>
        <v>144.325380916609</v>
      </c>
      <c r="H21" s="0" t="n">
        <f aca="false">H19*H20</f>
        <v>134.043542320518</v>
      </c>
      <c r="I21" s="0" t="n">
        <f aca="false">I19*I20</f>
        <v>125.97610690308</v>
      </c>
      <c r="J21" s="0" t="n">
        <f aca="false">J19*J20</f>
        <v>118.394211580209</v>
      </c>
      <c r="K21" s="0" t="n">
        <f aca="false">K19*K20</f>
        <v>111.2686340314</v>
      </c>
      <c r="L21" s="0" t="n">
        <f aca="false">L19*L20</f>
        <v>104.571910686918</v>
      </c>
    </row>
    <row r="23" customFormat="false" ht="15" hidden="false" customHeight="false" outlineLevel="0" collapsed="false">
      <c r="A23" s="0" t="s">
        <v>104</v>
      </c>
      <c r="C23" s="4" t="n">
        <f aca="false">Assumptions!C16</f>
        <v>2.35</v>
      </c>
      <c r="D23" s="4" t="n">
        <f aca="false">Assumptions!D16</f>
        <v>2.35</v>
      </c>
      <c r="E23" s="4" t="n">
        <f aca="false">Assumptions!E16</f>
        <v>2.35</v>
      </c>
      <c r="F23" s="4" t="n">
        <f aca="false">Assumptions!F16</f>
        <v>2.35</v>
      </c>
      <c r="G23" s="4" t="n">
        <f aca="false">Assumptions!G16</f>
        <v>2.35</v>
      </c>
      <c r="H23" s="4" t="n">
        <f aca="false">Assumptions!H16</f>
        <v>2.35</v>
      </c>
      <c r="I23" s="4" t="n">
        <f aca="false">Assumptions!I16</f>
        <v>2.35</v>
      </c>
      <c r="J23" s="4" t="n">
        <f aca="false">Assumptions!J16</f>
        <v>2.35</v>
      </c>
      <c r="K23" s="4" t="n">
        <f aca="false">Assumptions!K16</f>
        <v>2.35</v>
      </c>
      <c r="L23" s="4" t="n">
        <f aca="false">Assumptions!L16</f>
        <v>2.35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-802.5650675</v>
      </c>
      <c r="D24" s="0" t="n">
        <f aca="false">-D6*D23/100</f>
        <v>-810.590718175</v>
      </c>
      <c r="E24" s="0" t="n">
        <f aca="false">-E6*E23/100</f>
        <v>-818.69662535675</v>
      </c>
      <c r="F24" s="0" t="n">
        <f aca="false">-F6*F23/100</f>
        <v>-826.883591610317</v>
      </c>
      <c r="G24" s="0" t="n">
        <f aca="false">-G6*G23/100</f>
        <v>-837.219636505446</v>
      </c>
      <c r="H24" s="0" t="n">
        <f aca="false">-H6*H23/100</f>
        <v>-849.777931053028</v>
      </c>
      <c r="I24" s="0" t="n">
        <f aca="false">-I6*I23/100</f>
        <v>-862.524600018823</v>
      </c>
      <c r="J24" s="0" t="n">
        <f aca="false">-J6*J23/100</f>
        <v>-875.462469019106</v>
      </c>
      <c r="K24" s="0" t="n">
        <f aca="false">-K6*K23/100</f>
        <v>-888.594406054392</v>
      </c>
      <c r="L24" s="0" t="n">
        <f aca="false">-L6*L23/100</f>
        <v>-901.923322145208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Assumptions!$B$20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Assumptions!$B$21</f>
        <v>1.5</v>
      </c>
    </row>
    <row r="29" customFormat="false" ht="15" hidden="false" customHeight="false" outlineLevel="0" collapsed="false">
      <c r="A29" s="0" t="s">
        <v>110</v>
      </c>
      <c r="B29" s="4" t="n">
        <f aca="false">Assumptions!$B$22</f>
        <v>14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1572.22273269115</v>
      </c>
    </row>
    <row r="31" customFormat="false" ht="15" hidden="false" customHeight="false" outlineLevel="0" collapsed="false">
      <c r="A31" s="0" t="s">
        <v>132</v>
      </c>
      <c r="B31" s="0" t="n">
        <f aca="false">L19</f>
        <v>225.762911994564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3525.37470268435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3160.6807679239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3160.6807679239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1464.00674961685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3036.229482308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2833.229482308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122.634700355279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-0.634580749835284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527.962913436824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610.716377327916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171.921775227146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1697.4026346258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61.1374351570108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146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Assumptions!C27</f>
        <v>2.5</v>
      </c>
      <c r="D5" s="4" t="n">
        <f aca="false">Assumptions!D27</f>
        <v>2.5</v>
      </c>
      <c r="E5" s="4" t="n">
        <f aca="false">Assumptions!E27</f>
        <v>2.5</v>
      </c>
      <c r="F5" s="4" t="n">
        <f aca="false">Assumptions!F27</f>
        <v>2.25</v>
      </c>
      <c r="G5" s="4" t="n">
        <f aca="false">Assumptions!G27</f>
        <v>2</v>
      </c>
      <c r="H5" s="4" t="n">
        <f aca="false">Assumptions!H27</f>
        <v>2</v>
      </c>
      <c r="I5" s="4" t="n">
        <f aca="false">Assumptions!I27</f>
        <v>2</v>
      </c>
      <c r="J5" s="4" t="n">
        <f aca="false">Assumptions!J27</f>
        <v>2</v>
      </c>
      <c r="K5" s="4" t="n">
        <f aca="false">Assumptions!K27</f>
        <v>2</v>
      </c>
      <c r="L5" s="4" t="n">
        <f aca="false">Assumptions!L27</f>
        <v>2</v>
      </c>
    </row>
    <row r="6" customFormat="false" ht="15" hidden="false" customHeight="false" outlineLevel="0" collapsed="false">
      <c r="A6" s="0" t="s">
        <v>38</v>
      </c>
      <c r="B6" s="3" t="n">
        <v>33647</v>
      </c>
      <c r="C6" s="0" t="n">
        <f aca="false">B6*(1+C5/100)</f>
        <v>34488.175</v>
      </c>
      <c r="D6" s="0" t="n">
        <f aca="false">C6*(1+D5/100)</f>
        <v>35350.379375</v>
      </c>
      <c r="E6" s="0" t="n">
        <f aca="false">D6*(1+E5/100)</f>
        <v>36234.138859375</v>
      </c>
      <c r="F6" s="0" t="n">
        <f aca="false">E6*(1+F5/100)</f>
        <v>37049.4069837109</v>
      </c>
      <c r="G6" s="0" t="n">
        <f aca="false">F6*(1+G5/100)</f>
        <v>37790.3951233851</v>
      </c>
      <c r="H6" s="0" t="n">
        <f aca="false">G6*(1+H5/100)</f>
        <v>38546.2030258529</v>
      </c>
      <c r="I6" s="0" t="n">
        <f aca="false">H6*(1+I5/100)</f>
        <v>39317.1270863699</v>
      </c>
      <c r="J6" s="0" t="n">
        <f aca="false">I6*(1+J5/100)</f>
        <v>40103.4696280973</v>
      </c>
      <c r="K6" s="0" t="n">
        <f aca="false">J6*(1+K5/100)</f>
        <v>40905.5390206593</v>
      </c>
      <c r="L6" s="0" t="n">
        <f aca="false">K6*(1+L5/100)</f>
        <v>41723.6498010724</v>
      </c>
    </row>
    <row r="7" customFormat="false" ht="15" hidden="false" customHeight="false" outlineLevel="0" collapsed="false">
      <c r="A7" s="0" t="s">
        <v>102</v>
      </c>
      <c r="C7" s="4" t="n">
        <f aca="false">Assumptions!C28</f>
        <v>6.45</v>
      </c>
      <c r="D7" s="4" t="n">
        <f aca="false">Assumptions!D28</f>
        <v>6.5</v>
      </c>
      <c r="E7" s="4" t="n">
        <f aca="false">Assumptions!E28</f>
        <v>6.55</v>
      </c>
      <c r="F7" s="4" t="n">
        <f aca="false">Assumptions!F28</f>
        <v>6.6</v>
      </c>
      <c r="G7" s="4" t="n">
        <f aca="false">Assumptions!G28</f>
        <v>6.6</v>
      </c>
      <c r="H7" s="4" t="n">
        <f aca="false">Assumptions!H28</f>
        <v>6.6</v>
      </c>
      <c r="I7" s="4" t="n">
        <f aca="false">Assumptions!I28</f>
        <v>6.6</v>
      </c>
      <c r="J7" s="4" t="n">
        <f aca="false">Assumptions!J28</f>
        <v>6.6</v>
      </c>
      <c r="K7" s="4" t="n">
        <f aca="false">Assumptions!K28</f>
        <v>6.6</v>
      </c>
      <c r="L7" s="4" t="n">
        <f aca="false">Assumptions!L28</f>
        <v>6.6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2224.4872875</v>
      </c>
      <c r="D8" s="0" t="n">
        <f aca="false">D6*D7/100</f>
        <v>2297.774659375</v>
      </c>
      <c r="E8" s="0" t="n">
        <f aca="false">E6*E7/100</f>
        <v>2373.33609528906</v>
      </c>
      <c r="F8" s="0" t="n">
        <f aca="false">F6*F7/100</f>
        <v>2445.26086092492</v>
      </c>
      <c r="G8" s="0" t="n">
        <f aca="false">G6*G7/100</f>
        <v>2494.16607814342</v>
      </c>
      <c r="H8" s="0" t="n">
        <f aca="false">H6*H7/100</f>
        <v>2544.04939970629</v>
      </c>
      <c r="I8" s="0" t="n">
        <f aca="false">I6*I7/100</f>
        <v>2594.93038770041</v>
      </c>
      <c r="J8" s="0" t="n">
        <f aca="false">J6*J7/100</f>
        <v>2646.82899545442</v>
      </c>
      <c r="K8" s="0" t="n">
        <f aca="false">K6*K7/100</f>
        <v>2699.76557536351</v>
      </c>
      <c r="L8" s="0" t="n">
        <f aca="false">L6*L7/100</f>
        <v>2753.76088687078</v>
      </c>
    </row>
    <row r="9" customFormat="false" ht="15" hidden="false" customHeight="false" outlineLevel="0" collapsed="false">
      <c r="A9" s="0" t="s">
        <v>103</v>
      </c>
      <c r="C9" s="4" t="n">
        <f aca="false">Assumptions!C29</f>
        <v>0.22</v>
      </c>
      <c r="D9" s="4" t="n">
        <f aca="false">Assumptions!D29</f>
        <v>0.22</v>
      </c>
      <c r="E9" s="4" t="n">
        <f aca="false">Assumptions!E29</f>
        <v>0.22</v>
      </c>
      <c r="F9" s="4" t="n">
        <f aca="false">Assumptions!F29</f>
        <v>0.22</v>
      </c>
      <c r="G9" s="4" t="n">
        <f aca="false">Assumptions!G29</f>
        <v>0.22</v>
      </c>
      <c r="H9" s="4" t="n">
        <f aca="false">Assumptions!H29</f>
        <v>0.22</v>
      </c>
      <c r="I9" s="4" t="n">
        <f aca="false">Assumptions!I29</f>
        <v>0.22</v>
      </c>
      <c r="J9" s="4" t="n">
        <f aca="false">Assumptions!J29</f>
        <v>0.22</v>
      </c>
      <c r="K9" s="4" t="n">
        <f aca="false">Assumptions!K29</f>
        <v>0.22</v>
      </c>
      <c r="L9" s="4" t="n">
        <f aca="false">Assumptions!L29</f>
        <v>0.22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-75.873985</v>
      </c>
      <c r="D10" s="0" t="n">
        <f aca="false">-D6*D9/100</f>
        <v>-77.770834625</v>
      </c>
      <c r="E10" s="0" t="n">
        <f aca="false">-E6*E9/100</f>
        <v>-79.715105490625</v>
      </c>
      <c r="F10" s="0" t="n">
        <f aca="false">-F6*F9/100</f>
        <v>-81.508695364164</v>
      </c>
      <c r="G10" s="0" t="n">
        <f aca="false">-G6*G9/100</f>
        <v>-83.1388692714473</v>
      </c>
      <c r="H10" s="0" t="n">
        <f aca="false">-H6*H9/100</f>
        <v>-84.8016466568763</v>
      </c>
      <c r="I10" s="0" t="n">
        <f aca="false">-I6*I9/100</f>
        <v>-86.4976795900138</v>
      </c>
      <c r="J10" s="0" t="n">
        <f aca="false">-J6*J9/100</f>
        <v>-88.2276331818141</v>
      </c>
      <c r="K10" s="0" t="n">
        <f aca="false">-K6*K9/100</f>
        <v>-89.9921858454504</v>
      </c>
      <c r="L10" s="0" t="n">
        <f aca="false">-L6*L9/100</f>
        <v>-91.7920295623594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1355.3852775</v>
      </c>
      <c r="D11" s="0" t="n">
        <f aca="false">D8+D10+D24</f>
        <v>1406.945099125</v>
      </c>
      <c r="E11" s="0" t="n">
        <f aca="false">E8+E10+E24</f>
        <v>1460.23579603281</v>
      </c>
      <c r="F11" s="0" t="n">
        <f aca="false">F8+F10+F24</f>
        <v>1511.61580493541</v>
      </c>
      <c r="G11" s="0" t="n">
        <f aca="false">G8+G10+G24</f>
        <v>1541.84812103411</v>
      </c>
      <c r="H11" s="0" t="n">
        <f aca="false">H8+H10+H24</f>
        <v>1572.6850834548</v>
      </c>
      <c r="I11" s="0" t="n">
        <f aca="false">I8+I10+I24</f>
        <v>1604.13878512389</v>
      </c>
      <c r="J11" s="0" t="n">
        <f aca="false">J8+J10+J24</f>
        <v>1636.22156082637</v>
      </c>
      <c r="K11" s="0" t="n">
        <f aca="false">K8+K10+K24</f>
        <v>1668.9459920429</v>
      </c>
      <c r="L11" s="0" t="n">
        <f aca="false">L8+L10+L24</f>
        <v>1702.32491188376</v>
      </c>
    </row>
    <row r="12" customFormat="false" ht="15" hidden="false" customHeight="false" outlineLevel="0" collapsed="false">
      <c r="A12" s="0" t="s">
        <v>120</v>
      </c>
      <c r="C12" s="4" t="n">
        <f aca="false">-C6*Assumptions!C31/100</f>
        <v>-689.7635</v>
      </c>
      <c r="D12" s="4" t="n">
        <f aca="false">-D6*Assumptions!D31/100</f>
        <v>-707.0075875</v>
      </c>
      <c r="E12" s="4" t="n">
        <f aca="false">-E6*Assumptions!E31/100</f>
        <v>-724.6827771875</v>
      </c>
      <c r="F12" s="4" t="n">
        <f aca="false">-F6*Assumptions!F31/100</f>
        <v>-740.988139674218</v>
      </c>
      <c r="G12" s="4" t="n">
        <f aca="false">-G6*Assumptions!G31/100</f>
        <v>-755.807902467703</v>
      </c>
      <c r="H12" s="4" t="n">
        <f aca="false">-H6*Assumptions!H31/100</f>
        <v>-770.924060517057</v>
      </c>
      <c r="I12" s="4" t="n">
        <f aca="false">-I6*Assumptions!I31/100</f>
        <v>-786.342541727398</v>
      </c>
      <c r="J12" s="4" t="n">
        <f aca="false">-J6*Assumptions!J31/100</f>
        <v>-802.069392561946</v>
      </c>
      <c r="K12" s="4" t="n">
        <f aca="false">-K6*Assumptions!K31/100</f>
        <v>-818.110780413185</v>
      </c>
      <c r="L12" s="4" t="n">
        <f aca="false">-L6*Assumptions!L31/100</f>
        <v>-834.472996021449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665.6217775</v>
      </c>
      <c r="D13" s="0" t="n">
        <f aca="false">D11+D12</f>
        <v>699.937511625</v>
      </c>
      <c r="E13" s="0" t="n">
        <f aca="false">E11+E12</f>
        <v>735.553018845313</v>
      </c>
      <c r="F13" s="0" t="n">
        <f aca="false">F11+F12</f>
        <v>770.627665261187</v>
      </c>
      <c r="G13" s="0" t="n">
        <f aca="false">G11+G12</f>
        <v>786.040218566411</v>
      </c>
      <c r="H13" s="0" t="n">
        <f aca="false">H11+H12</f>
        <v>801.761022937739</v>
      </c>
      <c r="I13" s="0" t="n">
        <f aca="false">I11+I12</f>
        <v>817.796243396494</v>
      </c>
      <c r="J13" s="0" t="n">
        <f aca="false">J11+J12</f>
        <v>834.152168264425</v>
      </c>
      <c r="K13" s="0" t="n">
        <f aca="false">K11+K12</f>
        <v>850.835211629712</v>
      </c>
      <c r="L13" s="0" t="n">
        <f aca="false">L11+L12</f>
        <v>867.851915862306</v>
      </c>
    </row>
    <row r="14" customFormat="false" ht="15" hidden="false" customHeight="false" outlineLevel="0" collapsed="false">
      <c r="A14" s="0" t="s">
        <v>107</v>
      </c>
      <c r="C14" s="4" t="n">
        <f aca="false">Assumptions!C33</f>
        <v>20</v>
      </c>
      <c r="D14" s="4" t="n">
        <f aca="false">Assumptions!D33</f>
        <v>22</v>
      </c>
      <c r="E14" s="4" t="n">
        <f aca="false">Assumptions!E33</f>
        <v>24</v>
      </c>
      <c r="F14" s="4" t="n">
        <f aca="false">Assumptions!F33</f>
        <v>25</v>
      </c>
      <c r="G14" s="4" t="n">
        <f aca="false">Assumptions!G33</f>
        <v>26</v>
      </c>
      <c r="H14" s="4" t="n">
        <f aca="false">Assumptions!H33</f>
        <v>27</v>
      </c>
      <c r="I14" s="4" t="n">
        <f aca="false">Assumptions!I33</f>
        <v>27</v>
      </c>
      <c r="J14" s="4" t="n">
        <f aca="false">Assumptions!J33</f>
        <v>27</v>
      </c>
      <c r="K14" s="4" t="n">
        <f aca="false">Assumptions!K33</f>
        <v>27</v>
      </c>
      <c r="L14" s="4" t="n">
        <f aca="false">Assumptions!L33</f>
        <v>27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532.497422</v>
      </c>
      <c r="D15" s="0" t="n">
        <f aca="false">D13-MAX(0,D13)*D14/100</f>
        <v>545.9512590675</v>
      </c>
      <c r="E15" s="0" t="n">
        <f aca="false">E13-MAX(0,E13)*E14/100</f>
        <v>559.020294322438</v>
      </c>
      <c r="F15" s="0" t="n">
        <f aca="false">F13-MAX(0,F13)*F14/100</f>
        <v>577.97074894589</v>
      </c>
      <c r="G15" s="0" t="n">
        <f aca="false">G13-MAX(0,G13)*G14/100</f>
        <v>581.669761739144</v>
      </c>
      <c r="H15" s="0" t="n">
        <f aca="false">H13-MAX(0,H13)*H14/100</f>
        <v>585.28554674455</v>
      </c>
      <c r="I15" s="0" t="n">
        <f aca="false">I13-MAX(0,I13)*I14/100</f>
        <v>596.991257679441</v>
      </c>
      <c r="J15" s="0" t="n">
        <f aca="false">J13-MAX(0,J13)*J14/100</f>
        <v>608.93108283303</v>
      </c>
      <c r="K15" s="0" t="n">
        <f aca="false">K13-MAX(0,K13)*K14/100</f>
        <v>621.10970448969</v>
      </c>
      <c r="L15" s="0" t="n">
        <f aca="false">L13-MAX(0,L13)*L14/100</f>
        <v>633.531898579484</v>
      </c>
    </row>
    <row r="16" customFormat="false" ht="15" hidden="false" customHeight="false" outlineLevel="0" collapsed="false">
      <c r="A16" s="0" t="s">
        <v>123</v>
      </c>
      <c r="C16" s="0" t="n">
        <f aca="false">-C12</f>
        <v>689.7635</v>
      </c>
      <c r="D16" s="0" t="n">
        <f aca="false">-D12</f>
        <v>707.0075875</v>
      </c>
      <c r="E16" s="0" t="n">
        <f aca="false">-E12</f>
        <v>724.6827771875</v>
      </c>
      <c r="F16" s="0" t="n">
        <f aca="false">-F12</f>
        <v>740.988139674218</v>
      </c>
      <c r="G16" s="0" t="n">
        <f aca="false">-G12</f>
        <v>755.807902467703</v>
      </c>
      <c r="H16" s="0" t="n">
        <f aca="false">-H12</f>
        <v>770.924060517057</v>
      </c>
      <c r="I16" s="0" t="n">
        <f aca="false">-I12</f>
        <v>786.342541727398</v>
      </c>
      <c r="J16" s="0" t="n">
        <f aca="false">-J12</f>
        <v>802.069392561946</v>
      </c>
      <c r="K16" s="0" t="n">
        <f aca="false">-K12</f>
        <v>818.110780413185</v>
      </c>
      <c r="L16" s="0" t="n">
        <f aca="false">-L12</f>
        <v>834.472996021449</v>
      </c>
    </row>
    <row r="17" customFormat="false" ht="15" hidden="false" customHeight="false" outlineLevel="0" collapsed="false">
      <c r="A17" s="0" t="s">
        <v>124</v>
      </c>
      <c r="C17" s="4" t="n">
        <f aca="false">-C6*Assumptions!C32/100</f>
        <v>-827.7162</v>
      </c>
      <c r="D17" s="4" t="n">
        <f aca="false">-D6*Assumptions!D32/100</f>
        <v>-848.409105</v>
      </c>
      <c r="E17" s="4" t="n">
        <f aca="false">-E6*Assumptions!E32/100</f>
        <v>-869.619332625</v>
      </c>
      <c r="F17" s="4" t="n">
        <f aca="false">-F6*Assumptions!F32/100</f>
        <v>-889.185767609062</v>
      </c>
      <c r="G17" s="4" t="n">
        <f aca="false">-G6*Assumptions!G32/100</f>
        <v>-906.969482961243</v>
      </c>
      <c r="H17" s="4" t="n">
        <f aca="false">-H6*Assumptions!H32/100</f>
        <v>-925.108872620468</v>
      </c>
      <c r="I17" s="4" t="n">
        <f aca="false">-I6*Assumptions!I32/100</f>
        <v>-943.611050072878</v>
      </c>
      <c r="J17" s="4" t="n">
        <f aca="false">-J6*Assumptions!J32/100</f>
        <v>-962.483271074335</v>
      </c>
      <c r="K17" s="4" t="n">
        <f aca="false">-K6*Assumptions!K32/100</f>
        <v>-981.732936495822</v>
      </c>
      <c r="L17" s="4" t="n">
        <f aca="false">-L6*Assumptions!L32/100</f>
        <v>-1001.36759522574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(C6-B6)*Assumptions!$B$37/100</f>
        <v>42.0587499999998</v>
      </c>
      <c r="D18" s="4" t="n">
        <f aca="false">(D6-C6)*Assumptions!$B$37/100</f>
        <v>43.1102187499997</v>
      </c>
      <c r="E18" s="4" t="n">
        <f aca="false">(E6-D6)*Assumptions!$B$37/100</f>
        <v>44.1879742187499</v>
      </c>
      <c r="F18" s="4" t="n">
        <f aca="false">(F6-E6)*Assumptions!$B$37/100</f>
        <v>40.7634062167966</v>
      </c>
      <c r="G18" s="4" t="n">
        <f aca="false">(G6-F6)*Assumptions!$B$37/100</f>
        <v>37.049406983711</v>
      </c>
      <c r="H18" s="4" t="n">
        <f aca="false">(H6-G6)*Assumptions!$B$37/100</f>
        <v>37.7903951233853</v>
      </c>
      <c r="I18" s="4" t="n">
        <f aca="false">(I6-H6)*Assumptions!$B$37/100</f>
        <v>38.5462030258528</v>
      </c>
      <c r="J18" s="4" t="n">
        <f aca="false">(J6-I6)*Assumptions!$B$37/100</f>
        <v>39.3171270863699</v>
      </c>
      <c r="K18" s="4" t="n">
        <f aca="false">(K6-J6)*Assumptions!$B$37/100</f>
        <v>40.1034696280974</v>
      </c>
      <c r="L18" s="4" t="n">
        <f aca="false">(L6-K6)*Assumptions!$B$37/100</f>
        <v>40.9055390206591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436.603471999999</v>
      </c>
      <c r="D19" s="0" t="n">
        <f aca="false">D15+D16+D17+D18</f>
        <v>447.6599603175</v>
      </c>
      <c r="E19" s="0" t="n">
        <f aca="false">E15+E16+E17+E18</f>
        <v>458.271713103688</v>
      </c>
      <c r="F19" s="0" t="n">
        <f aca="false">F15+F16+F17+F18</f>
        <v>470.536527227843</v>
      </c>
      <c r="G19" s="0" t="n">
        <f aca="false">G15+G16+G17+G18</f>
        <v>467.557588229315</v>
      </c>
      <c r="H19" s="0" t="n">
        <f aca="false">H15+H16+H17+H18</f>
        <v>468.891129764524</v>
      </c>
      <c r="I19" s="0" t="n">
        <f aca="false">I15+I16+I17+I18</f>
        <v>478.268952359814</v>
      </c>
      <c r="J19" s="0" t="n">
        <f aca="false">J15+J16+J17+J18</f>
        <v>487.834331407011</v>
      </c>
      <c r="K19" s="0" t="n">
        <f aca="false">K15+K16+K17+K18</f>
        <v>497.59101803515</v>
      </c>
      <c r="L19" s="0" t="n">
        <f aca="false">L15+L16+L17+L18</f>
        <v>507.542838395853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404.262474074074</v>
      </c>
      <c r="D21" s="0" t="n">
        <f aca="false">D19*D20</f>
        <v>383.796262274948</v>
      </c>
      <c r="E21" s="0" t="n">
        <f aca="false">E19*E20</f>
        <v>363.790861009252</v>
      </c>
      <c r="F21" s="0" t="n">
        <f aca="false">F19*F20</f>
        <v>345.858394343636</v>
      </c>
      <c r="G21" s="0" t="n">
        <f aca="false">G19*G20</f>
        <v>318.211838194498</v>
      </c>
      <c r="H21" s="0" t="n">
        <f aca="false">H19*H20</f>
        <v>295.480948292507</v>
      </c>
      <c r="I21" s="0" t="n">
        <f aca="false">I19*I20</f>
        <v>279.065340054034</v>
      </c>
      <c r="J21" s="0" t="n">
        <f aca="false">J19*J20</f>
        <v>263.561710051033</v>
      </c>
      <c r="K21" s="0" t="n">
        <f aca="false">K19*K20</f>
        <v>248.919392825975</v>
      </c>
      <c r="L21" s="0" t="n">
        <f aca="false">L19*L20</f>
        <v>235.090537668976</v>
      </c>
    </row>
    <row r="23" customFormat="false" ht="15" hidden="false" customHeight="false" outlineLevel="0" collapsed="false">
      <c r="A23" s="0" t="s">
        <v>104</v>
      </c>
      <c r="C23" s="4" t="n">
        <f aca="false">Assumptions!C30</f>
        <v>2.3</v>
      </c>
      <c r="D23" s="4" t="n">
        <f aca="false">Assumptions!D30</f>
        <v>2.3</v>
      </c>
      <c r="E23" s="4" t="n">
        <f aca="false">Assumptions!E30</f>
        <v>2.3</v>
      </c>
      <c r="F23" s="4" t="n">
        <f aca="false">Assumptions!F30</f>
        <v>2.3</v>
      </c>
      <c r="G23" s="4" t="n">
        <f aca="false">Assumptions!G30</f>
        <v>2.3</v>
      </c>
      <c r="H23" s="4" t="n">
        <f aca="false">Assumptions!H30</f>
        <v>2.3</v>
      </c>
      <c r="I23" s="4" t="n">
        <f aca="false">Assumptions!I30</f>
        <v>2.3</v>
      </c>
      <c r="J23" s="4" t="n">
        <f aca="false">Assumptions!J30</f>
        <v>2.3</v>
      </c>
      <c r="K23" s="4" t="n">
        <f aca="false">Assumptions!K30</f>
        <v>2.3</v>
      </c>
      <c r="L23" s="4" t="n">
        <f aca="false">Assumptions!L30</f>
        <v>2.3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-793.228025</v>
      </c>
      <c r="D24" s="0" t="n">
        <f aca="false">-D6*D23/100</f>
        <v>-813.058725625</v>
      </c>
      <c r="E24" s="0" t="n">
        <f aca="false">-E6*E23/100</f>
        <v>-833.385193765625</v>
      </c>
      <c r="F24" s="0" t="n">
        <f aca="false">-F6*F23/100</f>
        <v>-852.136360625351</v>
      </c>
      <c r="G24" s="0" t="n">
        <f aca="false">-G6*G23/100</f>
        <v>-869.179087837858</v>
      </c>
      <c r="H24" s="0" t="n">
        <f aca="false">-H6*H23/100</f>
        <v>-886.562669594615</v>
      </c>
      <c r="I24" s="0" t="n">
        <f aca="false">-I6*I23/100</f>
        <v>-904.293922986508</v>
      </c>
      <c r="J24" s="0" t="n">
        <f aca="false">-J6*J23/100</f>
        <v>-922.379801446238</v>
      </c>
      <c r="K24" s="0" t="n">
        <f aca="false">-K6*K23/100</f>
        <v>-940.827397475163</v>
      </c>
      <c r="L24" s="0" t="n">
        <f aca="false">-L6*L23/100</f>
        <v>-959.643945424666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Assumptions!$B$34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Assumptions!$B$35</f>
        <v>2</v>
      </c>
    </row>
    <row r="29" customFormat="false" ht="15" hidden="false" customHeight="false" outlineLevel="0" collapsed="false">
      <c r="A29" s="0" t="s">
        <v>110</v>
      </c>
      <c r="B29" s="4" t="n">
        <f aca="false">Assumptions!$B$36</f>
        <v>16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3138.03775878893</v>
      </c>
    </row>
    <row r="31" customFormat="false" ht="15" hidden="false" customHeight="false" outlineLevel="0" collapsed="false">
      <c r="A31" s="0" t="s">
        <v>132</v>
      </c>
      <c r="B31" s="0" t="n">
        <f aca="false">L19</f>
        <v>507.542838395853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8628.22825272951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8120.68541433365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8120.68541433365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3761.44860270362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6899.48636149256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6696.48636149256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289.853541163163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-0.136312451838013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555.816908680475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722.796995973149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345.197604906124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3982.25919356746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134.666726635821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4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52"/>
  </cols>
  <sheetData>
    <row r="1" customFormat="false" ht="15" hidden="false" customHeight="false" outlineLevel="0" collapsed="false">
      <c r="A1" s="2" t="s">
        <v>147</v>
      </c>
    </row>
    <row r="3" customFormat="false" ht="15" hidden="false" customHeight="false" outlineLevel="0" collapsed="false">
      <c r="A3" s="0" t="s">
        <v>116</v>
      </c>
      <c r="B3" s="0" t="s">
        <v>77</v>
      </c>
      <c r="C3" s="2" t="s">
        <v>91</v>
      </c>
      <c r="D3" s="2" t="s">
        <v>92</v>
      </c>
      <c r="E3" s="2" t="s">
        <v>93</v>
      </c>
      <c r="F3" s="2" t="s">
        <v>94</v>
      </c>
      <c r="G3" s="2" t="s">
        <v>95</v>
      </c>
      <c r="H3" s="2" t="s">
        <v>96</v>
      </c>
      <c r="I3" s="2" t="s">
        <v>97</v>
      </c>
      <c r="J3" s="2" t="s">
        <v>98</v>
      </c>
      <c r="K3" s="2" t="s">
        <v>99</v>
      </c>
      <c r="L3" s="2" t="s">
        <v>100</v>
      </c>
    </row>
    <row r="4" customFormat="false" ht="15" hidden="false" customHeight="false" outlineLevel="0" collapsed="false">
      <c r="A4" s="0" t="s">
        <v>117</v>
      </c>
      <c r="B4" s="0" t="n">
        <v>0</v>
      </c>
      <c r="C4" s="0" t="n">
        <f aca="false">B4+1</f>
        <v>1</v>
      </c>
      <c r="D4" s="0" t="n">
        <f aca="false">C4+1</f>
        <v>2</v>
      </c>
      <c r="E4" s="0" t="n">
        <f aca="false">D4+1</f>
        <v>3</v>
      </c>
      <c r="F4" s="0" t="n">
        <f aca="false">E4+1</f>
        <v>4</v>
      </c>
      <c r="G4" s="0" t="n">
        <f aca="false">F4+1</f>
        <v>5</v>
      </c>
      <c r="H4" s="0" t="n">
        <f aca="false">G4+1</f>
        <v>6</v>
      </c>
      <c r="I4" s="0" t="n">
        <f aca="false">H4+1</f>
        <v>7</v>
      </c>
      <c r="J4" s="0" t="n">
        <f aca="false">I4+1</f>
        <v>8</v>
      </c>
      <c r="K4" s="0" t="n">
        <f aca="false">J4+1</f>
        <v>9</v>
      </c>
      <c r="L4" s="0" t="n">
        <f aca="false">K4+1</f>
        <v>10</v>
      </c>
    </row>
    <row r="5" customFormat="false" ht="15" hidden="false" customHeight="false" outlineLevel="0" collapsed="false">
      <c r="A5" s="0" t="s">
        <v>101</v>
      </c>
      <c r="C5" s="4" t="n">
        <f aca="false">Assumptions!C41</f>
        <v>3.5</v>
      </c>
      <c r="D5" s="4" t="n">
        <f aca="false">Assumptions!D41</f>
        <v>3.5</v>
      </c>
      <c r="E5" s="4" t="n">
        <f aca="false">Assumptions!E41</f>
        <v>3</v>
      </c>
      <c r="F5" s="4" t="n">
        <f aca="false">Assumptions!F41</f>
        <v>3</v>
      </c>
      <c r="G5" s="4" t="n">
        <f aca="false">Assumptions!G41</f>
        <v>2.75</v>
      </c>
      <c r="H5" s="4" t="n">
        <f aca="false">Assumptions!H41</f>
        <v>2.5</v>
      </c>
      <c r="I5" s="4" t="n">
        <f aca="false">Assumptions!I41</f>
        <v>2.5</v>
      </c>
      <c r="J5" s="4" t="n">
        <f aca="false">Assumptions!J41</f>
        <v>2.5</v>
      </c>
      <c r="K5" s="4" t="n">
        <f aca="false">Assumptions!K41</f>
        <v>2.5</v>
      </c>
      <c r="L5" s="4" t="n">
        <f aca="false">Assumptions!L41</f>
        <v>2.5</v>
      </c>
    </row>
    <row r="6" customFormat="false" ht="15" hidden="false" customHeight="false" outlineLevel="0" collapsed="false">
      <c r="A6" s="0" t="s">
        <v>38</v>
      </c>
      <c r="B6" s="3" t="n">
        <v>33647</v>
      </c>
      <c r="C6" s="0" t="n">
        <f aca="false">B6*(1+C5/100)</f>
        <v>34824.645</v>
      </c>
      <c r="D6" s="0" t="n">
        <f aca="false">C6*(1+D5/100)</f>
        <v>36043.507575</v>
      </c>
      <c r="E6" s="0" t="n">
        <f aca="false">D6*(1+E5/100)</f>
        <v>37124.81280225</v>
      </c>
      <c r="F6" s="0" t="n">
        <f aca="false">E6*(1+F5/100)</f>
        <v>38238.5571863175</v>
      </c>
      <c r="G6" s="0" t="n">
        <f aca="false">F6*(1+G5/100)</f>
        <v>39290.1175089412</v>
      </c>
      <c r="H6" s="0" t="n">
        <f aca="false">G6*(1+H5/100)</f>
        <v>40272.3704466648</v>
      </c>
      <c r="I6" s="0" t="n">
        <f aca="false">H6*(1+I5/100)</f>
        <v>41279.1797078314</v>
      </c>
      <c r="J6" s="0" t="n">
        <f aca="false">I6*(1+J5/100)</f>
        <v>42311.1592005272</v>
      </c>
      <c r="K6" s="0" t="n">
        <f aca="false">J6*(1+K5/100)</f>
        <v>43368.9381805403</v>
      </c>
      <c r="L6" s="0" t="n">
        <f aca="false">K6*(1+L5/100)</f>
        <v>44453.1616350538</v>
      </c>
    </row>
    <row r="7" customFormat="false" ht="15" hidden="false" customHeight="false" outlineLevel="0" collapsed="false">
      <c r="A7" s="0" t="s">
        <v>102</v>
      </c>
      <c r="C7" s="4" t="n">
        <f aca="false">Assumptions!C42</f>
        <v>6.55</v>
      </c>
      <c r="D7" s="4" t="n">
        <f aca="false">Assumptions!D42</f>
        <v>6.65</v>
      </c>
      <c r="E7" s="4" t="n">
        <f aca="false">Assumptions!E42</f>
        <v>6.75</v>
      </c>
      <c r="F7" s="4" t="n">
        <f aca="false">Assumptions!F42</f>
        <v>6.85</v>
      </c>
      <c r="G7" s="4" t="n">
        <f aca="false">Assumptions!G42</f>
        <v>6.95</v>
      </c>
      <c r="H7" s="4" t="n">
        <f aca="false">Assumptions!H42</f>
        <v>7</v>
      </c>
      <c r="I7" s="4" t="n">
        <f aca="false">Assumptions!I42</f>
        <v>7</v>
      </c>
      <c r="J7" s="4" t="n">
        <f aca="false">Assumptions!J42</f>
        <v>7</v>
      </c>
      <c r="K7" s="4" t="n">
        <f aca="false">Assumptions!K42</f>
        <v>7</v>
      </c>
      <c r="L7" s="4" t="n">
        <f aca="false">Assumptions!L42</f>
        <v>7</v>
      </c>
    </row>
    <row r="8" customFormat="false" ht="15" hidden="false" customHeight="false" outlineLevel="0" collapsed="false">
      <c r="A8" s="0" t="s">
        <v>44</v>
      </c>
      <c r="C8" s="0" t="n">
        <f aca="false">C6*C7/100</f>
        <v>2281.0142475</v>
      </c>
      <c r="D8" s="0" t="n">
        <f aca="false">D6*D7/100</f>
        <v>2396.8932537375</v>
      </c>
      <c r="E8" s="0" t="n">
        <f aca="false">E6*E7/100</f>
        <v>2505.92486415187</v>
      </c>
      <c r="F8" s="0" t="n">
        <f aca="false">F6*F7/100</f>
        <v>2619.34116726275</v>
      </c>
      <c r="G8" s="0" t="n">
        <f aca="false">G6*G7/100</f>
        <v>2730.66316687142</v>
      </c>
      <c r="H8" s="0" t="n">
        <f aca="false">H6*H7/100</f>
        <v>2819.06593126653</v>
      </c>
      <c r="I8" s="0" t="n">
        <f aca="false">I6*I7/100</f>
        <v>2889.5425795482</v>
      </c>
      <c r="J8" s="0" t="n">
        <f aca="false">J6*J7/100</f>
        <v>2961.7811440369</v>
      </c>
      <c r="K8" s="0" t="n">
        <f aca="false">K6*K7/100</f>
        <v>3035.82567263782</v>
      </c>
      <c r="L8" s="0" t="n">
        <f aca="false">L6*L7/100</f>
        <v>3111.72131445377</v>
      </c>
    </row>
    <row r="9" customFormat="false" ht="15" hidden="false" customHeight="false" outlineLevel="0" collapsed="false">
      <c r="A9" s="0" t="s">
        <v>103</v>
      </c>
      <c r="C9" s="4" t="n">
        <f aca="false">Assumptions!C43</f>
        <v>0.22</v>
      </c>
      <c r="D9" s="4" t="n">
        <f aca="false">Assumptions!D43</f>
        <v>0.22</v>
      </c>
      <c r="E9" s="4" t="n">
        <f aca="false">Assumptions!E43</f>
        <v>0.22</v>
      </c>
      <c r="F9" s="4" t="n">
        <f aca="false">Assumptions!F43</f>
        <v>0.22</v>
      </c>
      <c r="G9" s="4" t="n">
        <f aca="false">Assumptions!G43</f>
        <v>0.22</v>
      </c>
      <c r="H9" s="4" t="n">
        <f aca="false">Assumptions!H43</f>
        <v>0.22</v>
      </c>
      <c r="I9" s="4" t="n">
        <f aca="false">Assumptions!I43</f>
        <v>0.22</v>
      </c>
      <c r="J9" s="4" t="n">
        <f aca="false">Assumptions!J43</f>
        <v>0.22</v>
      </c>
      <c r="K9" s="4" t="n">
        <f aca="false">Assumptions!K43</f>
        <v>0.22</v>
      </c>
      <c r="L9" s="4" t="n">
        <f aca="false">Assumptions!L43</f>
        <v>0.22</v>
      </c>
    </row>
    <row r="10" customFormat="false" ht="15" hidden="false" customHeight="false" outlineLevel="0" collapsed="false">
      <c r="A10" s="0" t="s">
        <v>118</v>
      </c>
      <c r="C10" s="0" t="n">
        <f aca="false">-C6*C9/100</f>
        <v>-76.614219</v>
      </c>
      <c r="D10" s="0" t="n">
        <f aca="false">-D6*D9/100</f>
        <v>-79.295716665</v>
      </c>
      <c r="E10" s="0" t="n">
        <f aca="false">-E6*E9/100</f>
        <v>-81.67458816495</v>
      </c>
      <c r="F10" s="0" t="n">
        <f aca="false">-F6*F9/100</f>
        <v>-84.1248258098985</v>
      </c>
      <c r="G10" s="0" t="n">
        <f aca="false">-G6*G9/100</f>
        <v>-86.4382585196707</v>
      </c>
      <c r="H10" s="0" t="n">
        <f aca="false">-H6*H9/100</f>
        <v>-88.5992149826625</v>
      </c>
      <c r="I10" s="0" t="n">
        <f aca="false">-I6*I9/100</f>
        <v>-90.814195357229</v>
      </c>
      <c r="J10" s="0" t="n">
        <f aca="false">-J6*J9/100</f>
        <v>-93.0845502411598</v>
      </c>
      <c r="K10" s="0" t="n">
        <f aca="false">-K6*K9/100</f>
        <v>-95.4116639971887</v>
      </c>
      <c r="L10" s="0" t="n">
        <f aca="false">-L6*L9/100</f>
        <v>-97.7969555971185</v>
      </c>
    </row>
    <row r="11" customFormat="false" ht="15" hidden="false" customHeight="false" outlineLevel="0" collapsed="false">
      <c r="A11" s="0" t="s">
        <v>119</v>
      </c>
      <c r="C11" s="0" t="n">
        <f aca="false">C8+C10+C24</f>
        <v>1403.4331935</v>
      </c>
      <c r="D11" s="0" t="n">
        <f aca="false">D8+D10+D24</f>
        <v>1488.5968628475</v>
      </c>
      <c r="E11" s="0" t="n">
        <f aca="false">E8+E10+E24</f>
        <v>1570.37958153518</v>
      </c>
      <c r="F11" s="0" t="n">
        <f aca="false">F8+F10+F24</f>
        <v>1655.72952616755</v>
      </c>
      <c r="G11" s="0" t="n">
        <f aca="false">G8+G10+G24</f>
        <v>1740.5522056461</v>
      </c>
      <c r="H11" s="0" t="n">
        <f aca="false">H8+H10+H24</f>
        <v>1804.20219601058</v>
      </c>
      <c r="I11" s="0" t="n">
        <f aca="false">I8+I10+I24</f>
        <v>1849.30725091085</v>
      </c>
      <c r="J11" s="0" t="n">
        <f aca="false">J8+J10+J24</f>
        <v>1895.53993218362</v>
      </c>
      <c r="K11" s="0" t="n">
        <f aca="false">K8+K10+K24</f>
        <v>1942.92843048821</v>
      </c>
      <c r="L11" s="0" t="n">
        <f aca="false">L8+L10+L24</f>
        <v>1991.50164125041</v>
      </c>
    </row>
    <row r="12" customFormat="false" ht="15" hidden="false" customHeight="false" outlineLevel="0" collapsed="false">
      <c r="A12" s="0" t="s">
        <v>120</v>
      </c>
      <c r="C12" s="4" t="n">
        <f aca="false">-C6*Assumptions!C45/100</f>
        <v>-696.4929</v>
      </c>
      <c r="D12" s="4" t="n">
        <f aca="false">-D6*Assumptions!D45/100</f>
        <v>-720.8701515</v>
      </c>
      <c r="E12" s="4" t="n">
        <f aca="false">-E6*Assumptions!E45/100</f>
        <v>-742.496256045</v>
      </c>
      <c r="F12" s="4" t="n">
        <f aca="false">-F6*Assumptions!F45/100</f>
        <v>-764.77114372635</v>
      </c>
      <c r="G12" s="4" t="n">
        <f aca="false">-G6*Assumptions!G45/100</f>
        <v>-785.802350178825</v>
      </c>
      <c r="H12" s="4" t="n">
        <f aca="false">-H6*Assumptions!H45/100</f>
        <v>-805.447408933295</v>
      </c>
      <c r="I12" s="4" t="n">
        <f aca="false">-I6*Assumptions!I45/100</f>
        <v>-825.583594156628</v>
      </c>
      <c r="J12" s="4" t="n">
        <f aca="false">-J6*Assumptions!J45/100</f>
        <v>-846.223184010543</v>
      </c>
      <c r="K12" s="4" t="n">
        <f aca="false">-K6*Assumptions!K45/100</f>
        <v>-867.378763610807</v>
      </c>
      <c r="L12" s="4" t="n">
        <f aca="false">-L6*Assumptions!L45/100</f>
        <v>-889.063232701077</v>
      </c>
    </row>
    <row r="13" customFormat="false" ht="15" hidden="false" customHeight="false" outlineLevel="0" collapsed="false">
      <c r="A13" s="0" t="s">
        <v>121</v>
      </c>
      <c r="C13" s="0" t="n">
        <f aca="false">C11+C12</f>
        <v>706.9402935</v>
      </c>
      <c r="D13" s="0" t="n">
        <f aca="false">D11+D12</f>
        <v>767.7267113475</v>
      </c>
      <c r="E13" s="0" t="n">
        <f aca="false">E11+E12</f>
        <v>827.883325490175</v>
      </c>
      <c r="F13" s="0" t="n">
        <f aca="false">F11+F12</f>
        <v>890.958382441198</v>
      </c>
      <c r="G13" s="0" t="n">
        <f aca="false">G11+G12</f>
        <v>954.749855467272</v>
      </c>
      <c r="H13" s="0" t="n">
        <f aca="false">H11+H12</f>
        <v>998.754787077286</v>
      </c>
      <c r="I13" s="0" t="n">
        <f aca="false">I11+I12</f>
        <v>1023.72365675422</v>
      </c>
      <c r="J13" s="0" t="n">
        <f aca="false">J11+J12</f>
        <v>1049.31674817307</v>
      </c>
      <c r="K13" s="0" t="n">
        <f aca="false">K11+K12</f>
        <v>1075.5496668774</v>
      </c>
      <c r="L13" s="0" t="n">
        <f aca="false">L11+L12</f>
        <v>1102.43840854934</v>
      </c>
    </row>
    <row r="14" customFormat="false" ht="15" hidden="false" customHeight="false" outlineLevel="0" collapsed="false">
      <c r="A14" s="0" t="s">
        <v>107</v>
      </c>
      <c r="C14" s="4" t="n">
        <f aca="false">Assumptions!C47</f>
        <v>20</v>
      </c>
      <c r="D14" s="4" t="n">
        <f aca="false">Assumptions!D47</f>
        <v>22</v>
      </c>
      <c r="E14" s="4" t="n">
        <f aca="false">Assumptions!E47</f>
        <v>24</v>
      </c>
      <c r="F14" s="4" t="n">
        <f aca="false">Assumptions!F47</f>
        <v>25</v>
      </c>
      <c r="G14" s="4" t="n">
        <f aca="false">Assumptions!G47</f>
        <v>26</v>
      </c>
      <c r="H14" s="4" t="n">
        <f aca="false">Assumptions!H47</f>
        <v>27</v>
      </c>
      <c r="I14" s="4" t="n">
        <f aca="false">Assumptions!I47</f>
        <v>27</v>
      </c>
      <c r="J14" s="4" t="n">
        <f aca="false">Assumptions!J47</f>
        <v>27</v>
      </c>
      <c r="K14" s="4" t="n">
        <f aca="false">Assumptions!K47</f>
        <v>27</v>
      </c>
      <c r="L14" s="4" t="n">
        <f aca="false">Assumptions!L47</f>
        <v>27</v>
      </c>
    </row>
    <row r="15" customFormat="false" ht="15" hidden="false" customHeight="false" outlineLevel="0" collapsed="false">
      <c r="A15" s="0" t="s">
        <v>122</v>
      </c>
      <c r="C15" s="0" t="n">
        <f aca="false">C13-MAX(0,C13)*C14/100</f>
        <v>565.5522348</v>
      </c>
      <c r="D15" s="0" t="n">
        <f aca="false">D13-MAX(0,D13)*D14/100</f>
        <v>598.82683485105</v>
      </c>
      <c r="E15" s="0" t="n">
        <f aca="false">E13-MAX(0,E13)*E14/100</f>
        <v>629.191327372533</v>
      </c>
      <c r="F15" s="0" t="n">
        <f aca="false">F13-MAX(0,F13)*F14/100</f>
        <v>668.218786830898</v>
      </c>
      <c r="G15" s="0" t="n">
        <f aca="false">G13-MAX(0,G13)*G14/100</f>
        <v>706.514893045782</v>
      </c>
      <c r="H15" s="0" t="n">
        <f aca="false">H13-MAX(0,H13)*H14/100</f>
        <v>729.090994566419</v>
      </c>
      <c r="I15" s="0" t="n">
        <f aca="false">I13-MAX(0,I13)*I14/100</f>
        <v>747.318269430579</v>
      </c>
      <c r="J15" s="0" t="n">
        <f aca="false">J13-MAX(0,J13)*J14/100</f>
        <v>766.001226166344</v>
      </c>
      <c r="K15" s="0" t="n">
        <f aca="false">K13-MAX(0,K13)*K14/100</f>
        <v>785.151256820502</v>
      </c>
      <c r="L15" s="0" t="n">
        <f aca="false">L13-MAX(0,L13)*L14/100</f>
        <v>804.780038241015</v>
      </c>
    </row>
    <row r="16" customFormat="false" ht="15" hidden="false" customHeight="false" outlineLevel="0" collapsed="false">
      <c r="A16" s="0" t="s">
        <v>123</v>
      </c>
      <c r="C16" s="0" t="n">
        <f aca="false">-C12</f>
        <v>696.4929</v>
      </c>
      <c r="D16" s="0" t="n">
        <f aca="false">-D12</f>
        <v>720.8701515</v>
      </c>
      <c r="E16" s="0" t="n">
        <f aca="false">-E12</f>
        <v>742.496256045</v>
      </c>
      <c r="F16" s="0" t="n">
        <f aca="false">-F12</f>
        <v>764.77114372635</v>
      </c>
      <c r="G16" s="0" t="n">
        <f aca="false">-G12</f>
        <v>785.802350178825</v>
      </c>
      <c r="H16" s="0" t="n">
        <f aca="false">-H12</f>
        <v>805.447408933295</v>
      </c>
      <c r="I16" s="0" t="n">
        <f aca="false">-I12</f>
        <v>825.583594156628</v>
      </c>
      <c r="J16" s="0" t="n">
        <f aca="false">-J12</f>
        <v>846.223184010543</v>
      </c>
      <c r="K16" s="0" t="n">
        <f aca="false">-K12</f>
        <v>867.378763610807</v>
      </c>
      <c r="L16" s="0" t="n">
        <f aca="false">-L12</f>
        <v>889.063232701077</v>
      </c>
    </row>
    <row r="17" customFormat="false" ht="15" hidden="false" customHeight="false" outlineLevel="0" collapsed="false">
      <c r="A17" s="0" t="s">
        <v>124</v>
      </c>
      <c r="C17" s="4" t="n">
        <f aca="false">-C6*Assumptions!C46/100</f>
        <v>-835.79148</v>
      </c>
      <c r="D17" s="4" t="n">
        <f aca="false">-D6*Assumptions!D46/100</f>
        <v>-865.0441818</v>
      </c>
      <c r="E17" s="4" t="n">
        <f aca="false">-E6*Assumptions!E46/100</f>
        <v>-872.433100852875</v>
      </c>
      <c r="F17" s="4" t="n">
        <f aca="false">-F6*Assumptions!F46/100</f>
        <v>-898.606093878461</v>
      </c>
      <c r="G17" s="4" t="n">
        <f aca="false">-G6*Assumptions!G46/100</f>
        <v>-903.672702705648</v>
      </c>
      <c r="H17" s="4" t="n">
        <f aca="false">-H6*Assumptions!H46/100</f>
        <v>-926.264520273289</v>
      </c>
      <c r="I17" s="4" t="n">
        <f aca="false">-I6*Assumptions!I46/100</f>
        <v>-949.421133280122</v>
      </c>
      <c r="J17" s="4" t="n">
        <f aca="false">-J6*Assumptions!J46/100</f>
        <v>-973.156661612125</v>
      </c>
      <c r="K17" s="4" t="n">
        <f aca="false">-K6*Assumptions!K46/100</f>
        <v>-997.485578152428</v>
      </c>
      <c r="L17" s="4" t="n">
        <f aca="false">-L6*Assumptions!L46/100</f>
        <v>-1022.42271760624</v>
      </c>
    </row>
    <row r="18" customFormat="false" ht="15" hidden="false" customHeight="false" outlineLevel="0" collapsed="false">
      <c r="A18" s="0" t="s">
        <v>125</v>
      </c>
      <c r="C18" s="4" t="n">
        <f aca="false">(C6-B6)*Assumptions!$B$51/100</f>
        <v>82.4351499999998</v>
      </c>
      <c r="D18" s="4" t="n">
        <f aca="false">(D6-C6)*Assumptions!$B$51/100</f>
        <v>85.3203802499999</v>
      </c>
      <c r="E18" s="4" t="n">
        <f aca="false">(E6-D6)*Assumptions!$B$51/100</f>
        <v>75.6913659074999</v>
      </c>
      <c r="F18" s="4" t="n">
        <f aca="false">(F6-E6)*Assumptions!$B$51/100</f>
        <v>77.9621068847253</v>
      </c>
      <c r="G18" s="4" t="n">
        <f aca="false">(G6-F6)*Assumptions!$B$51/100</f>
        <v>73.6092225836615</v>
      </c>
      <c r="H18" s="4" t="n">
        <f aca="false">(H6-G6)*Assumptions!$B$51/100</f>
        <v>68.7577056406468</v>
      </c>
      <c r="I18" s="4" t="n">
        <f aca="false">(I6-H6)*Assumptions!$B$51/100</f>
        <v>70.476648281663</v>
      </c>
      <c r="J18" s="4" t="n">
        <f aca="false">(J6-I6)*Assumptions!$B$51/100</f>
        <v>72.2385644887049</v>
      </c>
      <c r="K18" s="4" t="n">
        <f aca="false">(K6-J6)*Assumptions!$B$51/100</f>
        <v>74.0445286009221</v>
      </c>
      <c r="L18" s="4" t="n">
        <f aca="false">(L6-K6)*Assumptions!$B$51/100</f>
        <v>75.8956418159455</v>
      </c>
    </row>
    <row r="19" customFormat="false" ht="15" hidden="false" customHeight="false" outlineLevel="0" collapsed="false">
      <c r="A19" s="0" t="s">
        <v>126</v>
      </c>
      <c r="C19" s="0" t="n">
        <f aca="false">C15+C16+C17+C18</f>
        <v>508.6888048</v>
      </c>
      <c r="D19" s="0" t="n">
        <f aca="false">D15+D16+D17+D18</f>
        <v>539.97318480105</v>
      </c>
      <c r="E19" s="0" t="n">
        <f aca="false">E15+E16+E17+E18</f>
        <v>574.945848472158</v>
      </c>
      <c r="F19" s="0" t="n">
        <f aca="false">F15+F16+F17+F18</f>
        <v>612.345943563512</v>
      </c>
      <c r="G19" s="0" t="n">
        <f aca="false">G15+G16+G17+G18</f>
        <v>662.253763102619</v>
      </c>
      <c r="H19" s="0" t="n">
        <f aca="false">H15+H16+H17+H18</f>
        <v>677.031588867072</v>
      </c>
      <c r="I19" s="0" t="n">
        <f aca="false">I15+I16+I17+I18</f>
        <v>693.957378588749</v>
      </c>
      <c r="J19" s="0" t="n">
        <f aca="false">J15+J16+J17+J18</f>
        <v>711.306313053467</v>
      </c>
      <c r="K19" s="0" t="n">
        <f aca="false">K15+K16+K17+K18</f>
        <v>729.088970879803</v>
      </c>
      <c r="L19" s="0" t="n">
        <f aca="false">L15+L16+L17+L18</f>
        <v>747.316195151799</v>
      </c>
    </row>
    <row r="20" customFormat="false" ht="15" hidden="false" customHeight="false" outlineLevel="0" collapsed="false">
      <c r="A20" s="0" t="s">
        <v>127</v>
      </c>
      <c r="C20" s="0" t="n">
        <f aca="false">1/(1+$B$27/100)^C4</f>
        <v>0.925925925925926</v>
      </c>
      <c r="D20" s="0" t="n">
        <f aca="false">1/(1+$B$27/100)^D4</f>
        <v>0.857338820301783</v>
      </c>
      <c r="E20" s="0" t="n">
        <f aca="false">1/(1+$B$27/100)^E4</f>
        <v>0.79383224102017</v>
      </c>
      <c r="F20" s="0" t="n">
        <f aca="false">1/(1+$B$27/100)^F4</f>
        <v>0.735029852796453</v>
      </c>
      <c r="G20" s="0" t="n">
        <f aca="false">1/(1+$B$27/100)^G4</f>
        <v>0.680583197033753</v>
      </c>
      <c r="H20" s="0" t="n">
        <f aca="false">1/(1+$B$27/100)^H4</f>
        <v>0.630169626883105</v>
      </c>
      <c r="I20" s="0" t="n">
        <f aca="false">1/(1+$B$27/100)^I4</f>
        <v>0.583490395262134</v>
      </c>
      <c r="J20" s="0" t="n">
        <f aca="false">1/(1+$B$27/100)^J4</f>
        <v>0.540268884501976</v>
      </c>
      <c r="K20" s="0" t="n">
        <f aca="false">1/(1+$B$27/100)^K4</f>
        <v>0.500248967131459</v>
      </c>
      <c r="L20" s="0" t="n">
        <f aca="false">1/(1+$B$27/100)^L4</f>
        <v>0.463193488084684</v>
      </c>
    </row>
    <row r="21" customFormat="false" ht="15" hidden="false" customHeight="false" outlineLevel="0" collapsed="false">
      <c r="A21" s="0" t="s">
        <v>128</v>
      </c>
      <c r="C21" s="0" t="n">
        <f aca="false">C19*C20</f>
        <v>471.008152592593</v>
      </c>
      <c r="D21" s="0" t="n">
        <f aca="false">D19*D20</f>
        <v>462.939973251929</v>
      </c>
      <c r="E21" s="0" t="n">
        <f aca="false">E19*E20</f>
        <v>456.410551357896</v>
      </c>
      <c r="F21" s="0" t="n">
        <f aca="false">F19*F20</f>
        <v>450.092548757994</v>
      </c>
      <c r="G21" s="0" t="n">
        <f aca="false">G19*G20</f>
        <v>450.718783340014</v>
      </c>
      <c r="H21" s="0" t="n">
        <f aca="false">H19*H20</f>
        <v>426.644743744438</v>
      </c>
      <c r="I21" s="0" t="n">
        <f aca="false">I19*I20</f>
        <v>404.917465127823</v>
      </c>
      <c r="J21" s="0" t="n">
        <f aca="false">J19*J20</f>
        <v>384.29666829261</v>
      </c>
      <c r="K21" s="0" t="n">
        <f aca="false">K19*K20</f>
        <v>364.72600462956</v>
      </c>
      <c r="L21" s="0" t="n">
        <f aca="false">L19*L20</f>
        <v>346.151995134536</v>
      </c>
    </row>
    <row r="23" customFormat="false" ht="15" hidden="false" customHeight="false" outlineLevel="0" collapsed="false">
      <c r="A23" s="0" t="s">
        <v>104</v>
      </c>
      <c r="C23" s="4" t="n">
        <f aca="false">Assumptions!C44</f>
        <v>2.3</v>
      </c>
      <c r="D23" s="4" t="n">
        <f aca="false">Assumptions!D44</f>
        <v>2.3</v>
      </c>
      <c r="E23" s="4" t="n">
        <f aca="false">Assumptions!E44</f>
        <v>2.3</v>
      </c>
      <c r="F23" s="4" t="n">
        <f aca="false">Assumptions!F44</f>
        <v>2.3</v>
      </c>
      <c r="G23" s="4" t="n">
        <f aca="false">Assumptions!G44</f>
        <v>2.3</v>
      </c>
      <c r="H23" s="4" t="n">
        <f aca="false">Assumptions!H44</f>
        <v>2.3</v>
      </c>
      <c r="I23" s="4" t="n">
        <f aca="false">Assumptions!I44</f>
        <v>2.3</v>
      </c>
      <c r="J23" s="4" t="n">
        <f aca="false">Assumptions!J44</f>
        <v>2.3</v>
      </c>
      <c r="K23" s="4" t="n">
        <f aca="false">Assumptions!K44</f>
        <v>2.3</v>
      </c>
      <c r="L23" s="4" t="n">
        <f aca="false">Assumptions!L44</f>
        <v>2.3</v>
      </c>
    </row>
    <row r="24" customFormat="false" ht="15" hidden="false" customHeight="false" outlineLevel="0" collapsed="false">
      <c r="A24" s="0" t="s">
        <v>129</v>
      </c>
      <c r="C24" s="0" t="n">
        <f aca="false">-C6*C23/100</f>
        <v>-800.966835</v>
      </c>
      <c r="D24" s="0" t="n">
        <f aca="false">-D6*D23/100</f>
        <v>-829.000674225</v>
      </c>
      <c r="E24" s="0" t="n">
        <f aca="false">-E6*E23/100</f>
        <v>-853.87069445175</v>
      </c>
      <c r="F24" s="0" t="n">
        <f aca="false">-F6*F23/100</f>
        <v>-879.486815285302</v>
      </c>
      <c r="G24" s="0" t="n">
        <f aca="false">-G6*G23/100</f>
        <v>-903.672702705648</v>
      </c>
      <c r="H24" s="0" t="n">
        <f aca="false">-H6*H23/100</f>
        <v>-926.264520273289</v>
      </c>
      <c r="I24" s="0" t="n">
        <f aca="false">-I6*I23/100</f>
        <v>-949.421133280122</v>
      </c>
      <c r="J24" s="0" t="n">
        <f aca="false">-J6*J23/100</f>
        <v>-973.156661612125</v>
      </c>
      <c r="K24" s="0" t="n">
        <f aca="false">-K6*K23/100</f>
        <v>-997.485578152428</v>
      </c>
      <c r="L24" s="0" t="n">
        <f aca="false">-L6*L23/100</f>
        <v>-1022.42271760624</v>
      </c>
    </row>
    <row r="26" customFormat="false" ht="15" hidden="false" customHeight="false" outlineLevel="0" collapsed="false">
      <c r="A26" s="2" t="s">
        <v>130</v>
      </c>
    </row>
    <row r="27" customFormat="false" ht="15" hidden="false" customHeight="false" outlineLevel="0" collapsed="false">
      <c r="A27" s="0" t="s">
        <v>108</v>
      </c>
      <c r="B27" s="4" t="n">
        <f aca="false">Assumptions!$B$48</f>
        <v>8</v>
      </c>
    </row>
    <row r="28" customFormat="false" ht="15" hidden="false" customHeight="false" outlineLevel="0" collapsed="false">
      <c r="A28" s="0" t="s">
        <v>109</v>
      </c>
      <c r="B28" s="4" t="n">
        <f aca="false">Assumptions!$B$49</f>
        <v>2.5</v>
      </c>
    </row>
    <row r="29" customFormat="false" ht="15" hidden="false" customHeight="false" outlineLevel="0" collapsed="false">
      <c r="A29" s="0" t="s">
        <v>110</v>
      </c>
      <c r="B29" s="4" t="n">
        <f aca="false">Assumptions!$B$50</f>
        <v>18</v>
      </c>
    </row>
    <row r="30" customFormat="false" ht="15" hidden="false" customHeight="false" outlineLevel="0" collapsed="false">
      <c r="A30" s="0" t="s">
        <v>131</v>
      </c>
      <c r="B30" s="0" t="n">
        <f aca="false">SUM(C21:L21)</f>
        <v>4217.90688622939</v>
      </c>
    </row>
    <row r="31" customFormat="false" ht="15" hidden="false" customHeight="false" outlineLevel="0" collapsed="false">
      <c r="A31" s="0" t="s">
        <v>132</v>
      </c>
      <c r="B31" s="0" t="n">
        <f aca="false">L19</f>
        <v>747.316195151799</v>
      </c>
    </row>
    <row r="32" customFormat="false" ht="15" hidden="false" customHeight="false" outlineLevel="0" collapsed="false">
      <c r="A32" s="0" t="s">
        <v>133</v>
      </c>
      <c r="B32" s="0" t="n">
        <f aca="false">IF(B27&gt;B28,B31*(1+B28/100)/((B27-B28)/100),B31*B29)</f>
        <v>13927.2563641926</v>
      </c>
    </row>
    <row r="33" customFormat="false" ht="15" hidden="false" customHeight="false" outlineLevel="0" collapsed="false">
      <c r="A33" s="0" t="s">
        <v>134</v>
      </c>
      <c r="B33" s="0" t="n">
        <f aca="false">B31*B29</f>
        <v>13451.6915127324</v>
      </c>
    </row>
    <row r="34" customFormat="false" ht="15" hidden="false" customHeight="false" outlineLevel="0" collapsed="false">
      <c r="A34" s="0" t="s">
        <v>135</v>
      </c>
      <c r="B34" s="0" t="n">
        <f aca="false">MAX(0,MIN(B32,B33))</f>
        <v>13451.6915127324</v>
      </c>
    </row>
    <row r="35" customFormat="false" ht="15" hidden="false" customHeight="false" outlineLevel="0" collapsed="false">
      <c r="A35" s="0" t="s">
        <v>136</v>
      </c>
      <c r="B35" s="0" t="n">
        <f aca="false">B34/(1+B27/100)^L4</f>
        <v>6230.73591242166</v>
      </c>
    </row>
    <row r="36" customFormat="false" ht="15" hidden="false" customHeight="false" outlineLevel="0" collapsed="false">
      <c r="A36" s="0" t="s">
        <v>137</v>
      </c>
      <c r="B36" s="0" t="n">
        <f aca="false">B30+B35</f>
        <v>10448.642798651</v>
      </c>
    </row>
    <row r="37" customFormat="false" ht="15" hidden="false" customHeight="false" outlineLevel="0" collapsed="false">
      <c r="A37" s="0" t="s">
        <v>138</v>
      </c>
      <c r="B37" s="0" t="n">
        <f aca="false">B36+Assumptions!$B$5-Assumptions!$B$4</f>
        <v>10245.642798651</v>
      </c>
    </row>
    <row r="38" customFormat="false" ht="15" hidden="false" customHeight="false" outlineLevel="0" collapsed="false">
      <c r="A38" s="0" t="s">
        <v>139</v>
      </c>
      <c r="B38" s="0" t="n">
        <f aca="false">B37/Assumptions!$B$3*Assumptions!$B$10</f>
        <v>443.476725907936</v>
      </c>
    </row>
    <row r="39" customFormat="false" ht="15" hidden="false" customHeight="false" outlineLevel="0" collapsed="false">
      <c r="A39" s="0" t="s">
        <v>140</v>
      </c>
      <c r="B39" s="4" t="n">
        <f aca="false">B38/Assumptions!$B$2-1</f>
        <v>0.321444356102312</v>
      </c>
    </row>
    <row r="41" customFormat="false" ht="15" hidden="false" customHeight="false" outlineLevel="0" collapsed="false">
      <c r="A41" s="0" t="s">
        <v>141</v>
      </c>
      <c r="B41" s="0" t="n">
        <f aca="false">SUMPRODUCT(-C10:L10/(1+$B$27/100)^C4:L4)</f>
        <v>576.56192433483</v>
      </c>
    </row>
    <row r="42" customFormat="false" ht="15" hidden="false" customHeight="false" outlineLevel="0" collapsed="false">
      <c r="A42" s="0" t="s">
        <v>142</v>
      </c>
      <c r="B42" s="0" t="n">
        <f aca="false">IF(B27&gt;B28,-L10*(1+B28/100)/((B27-B28)/100),-L10*20)/(1+B27/100)^L4</f>
        <v>844.207014759447</v>
      </c>
    </row>
    <row r="43" customFormat="false" ht="15" hidden="false" customHeight="false" outlineLevel="0" collapsed="false">
      <c r="A43" s="0" t="s">
        <v>143</v>
      </c>
      <c r="B43" s="0" t="n">
        <f aca="false">(B37+B41+B42)/Assumptions!$B$3*Assumptions!$B$10</f>
        <v>504.97388814203</v>
      </c>
    </row>
    <row r="45" customFormat="false" ht="15" hidden="false" customHeight="false" outlineLevel="0" collapsed="false">
      <c r="A45" s="0" t="s">
        <v>84</v>
      </c>
      <c r="B45" s="4" t="n">
        <f aca="false">Assumptions!$B$6</f>
        <v>15</v>
      </c>
    </row>
    <row r="46" customFormat="false" ht="15" hidden="false" customHeight="false" outlineLevel="0" collapsed="false">
      <c r="A46" s="0" t="s">
        <v>144</v>
      </c>
      <c r="B46" s="0" t="n">
        <f aca="false">MAX(0,MIN(IF(B45&gt;B28,B31*(1+B28/100)/((B45-B28)/100),B31*B29),B31*B29))</f>
        <v>6127.99280024475</v>
      </c>
    </row>
    <row r="47" customFormat="false" ht="15" hidden="false" customHeight="false" outlineLevel="0" collapsed="false">
      <c r="A47" s="0" t="s">
        <v>145</v>
      </c>
      <c r="B47" s="0" t="n">
        <f aca="false">(SUMPRODUCT(C19:L19/(1+B45/100)^C4:L4)+B46/(1+B45/100)^L4+Assumptions!$B$5-Assumptions!$B$4)/Assumptions!$B$3*Assumptions!$B$10</f>
        <v>190.359451516173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false" zeroHeight="false" outlineLevelRow="0" outlineLevelCol="0"/>
  <cols>
    <col collapsed="false" customWidth="true" hidden="false" outlineLevel="0" max="1" min="1" style="0" width="60"/>
  </cols>
  <sheetData>
    <row r="1" customFormat="false" ht="15" hidden="false" customHeight="false" outlineLevel="0" collapsed="false">
      <c r="A1" s="2" t="s">
        <v>148</v>
      </c>
    </row>
    <row r="3" customFormat="false" ht="15" hidden="false" customHeight="false" outlineLevel="0" collapsed="false">
      <c r="A3" s="2" t="s">
        <v>149</v>
      </c>
      <c r="B3" s="2" t="s">
        <v>150</v>
      </c>
      <c r="C3" s="2" t="s">
        <v>140</v>
      </c>
      <c r="D3" s="2" t="s">
        <v>151</v>
      </c>
      <c r="E3" s="2" t="s">
        <v>143</v>
      </c>
      <c r="F3" s="2" t="s">
        <v>152</v>
      </c>
    </row>
    <row r="4" customFormat="false" ht="15" hidden="false" customHeight="false" outlineLevel="0" collapsed="false">
      <c r="A4" s="0" t="s">
        <v>153</v>
      </c>
      <c r="B4" s="4" t="n">
        <f aca="false">DCF_Bear!$B$38</f>
        <v>122.634700355279</v>
      </c>
      <c r="C4" s="0" t="n">
        <f aca="false">B4/Assumptions!$B$2-1</f>
        <v>-0.634580749835284</v>
      </c>
      <c r="D4" s="4" t="n">
        <f aca="false">Assumptions!$B$24</f>
        <v>0.25</v>
      </c>
      <c r="E4" s="4" t="n">
        <f aca="false">DCF_Bear!$B$43</f>
        <v>171.921775227146</v>
      </c>
      <c r="F4" s="4" t="n">
        <f aca="false">DCF_Bear!$B$47</f>
        <v>61.1374351570108</v>
      </c>
    </row>
    <row r="5" customFormat="false" ht="15" hidden="false" customHeight="false" outlineLevel="0" collapsed="false">
      <c r="A5" s="0" t="s">
        <v>154</v>
      </c>
      <c r="B5" s="4" t="n">
        <f aca="false">DCF_Base!$B$38</f>
        <v>289.853541163163</v>
      </c>
      <c r="C5" s="0" t="n">
        <f aca="false">B5/Assumptions!$B$2-1</f>
        <v>-0.136312451838013</v>
      </c>
      <c r="D5" s="4" t="n">
        <f aca="false">Assumptions!$B$38</f>
        <v>0.5</v>
      </c>
      <c r="E5" s="4" t="n">
        <f aca="false">DCF_Base!$B$43</f>
        <v>345.197604906124</v>
      </c>
      <c r="F5" s="4" t="n">
        <f aca="false">DCF_Base!$B$47</f>
        <v>134.666726635821</v>
      </c>
    </row>
    <row r="6" customFormat="false" ht="15" hidden="false" customHeight="false" outlineLevel="0" collapsed="false">
      <c r="A6" s="0" t="s">
        <v>155</v>
      </c>
      <c r="B6" s="4" t="n">
        <f aca="false">DCF_Bull!$B$38</f>
        <v>443.476725907936</v>
      </c>
      <c r="C6" s="0" t="n">
        <f aca="false">B6/Assumptions!$B$2-1</f>
        <v>0.321444356102312</v>
      </c>
      <c r="D6" s="4" t="n">
        <f aca="false">Assumptions!$B$52</f>
        <v>0.25</v>
      </c>
      <c r="E6" s="4" t="n">
        <f aca="false">DCF_Bull!$B$43</f>
        <v>504.97388814203</v>
      </c>
      <c r="F6" s="4" t="n">
        <f aca="false">DCF_Bull!$B$47</f>
        <v>190.359451516173</v>
      </c>
    </row>
    <row r="8" customFormat="false" ht="15" hidden="false" customHeight="false" outlineLevel="0" collapsed="false">
      <c r="A8" s="0" t="s">
        <v>156</v>
      </c>
      <c r="B8" s="0" t="n">
        <f aca="false">SUMPRODUCT(B4:B6,D4:D6)</f>
        <v>286.454627147385</v>
      </c>
    </row>
    <row r="9" customFormat="false" ht="15" hidden="false" customHeight="false" outlineLevel="0" collapsed="false">
      <c r="A9" s="0" t="s">
        <v>157</v>
      </c>
      <c r="B9" s="0" t="n">
        <f aca="false">SUMPRODUCT(E4:E6,D4:D6)</f>
        <v>341.822718295356</v>
      </c>
    </row>
    <row r="10" customFormat="false" ht="15" hidden="false" customHeight="false" outlineLevel="0" collapsed="false">
      <c r="A10" s="0" t="s">
        <v>158</v>
      </c>
      <c r="B10" s="0" t="n">
        <f aca="false">1-Assumptions!$B$2/B8</f>
        <v>-0.17156424855839</v>
      </c>
    </row>
    <row r="11" customFormat="false" ht="15" hidden="false" customHeight="false" outlineLevel="0" collapsed="false">
      <c r="A11" s="0" t="s">
        <v>159</v>
      </c>
      <c r="B11" s="0" t="n">
        <f aca="false">IF(ABS(B9-B8)&gt;0.01*ABS(B8),(Assumptions!$B$2-B8)/(B9-B8)*100,"n/a")</f>
        <v>88.7611832621688</v>
      </c>
    </row>
    <row r="12" customFormat="false" ht="15" hidden="false" customHeight="false" outlineLevel="0" collapsed="false">
      <c r="A12" s="0" t="s">
        <v>160</v>
      </c>
      <c r="B12" s="0" t="n">
        <f aca="false">SUMPRODUCT(F4:F6,D4:D6)</f>
        <v>130.207584986207</v>
      </c>
    </row>
    <row r="14" customFormat="false" ht="15" hidden="false" customHeight="false" outlineLevel="0" collapsed="false">
      <c r="A14" s="2" t="s">
        <v>161</v>
      </c>
      <c r="C14" s="0" t="s">
        <v>162</v>
      </c>
    </row>
    <row r="15" customFormat="false" ht="15" hidden="false" customHeight="false" outlineLevel="0" collapsed="false">
      <c r="A15" s="0" t="s">
        <v>163</v>
      </c>
      <c r="B15" s="0" t="n">
        <f aca="false">(SUMPRODUCT(DCF_Base!$C$19:$L$19/(1+$C$15/100)^DCF_Base!$C$4:$L$4)+MAX(0,MIN(IF($C$15&gt;DCF_Base!$B$28,DCF_Base!$L$19*(1+DCF_Base!$B$28/100)/(($C$15-DCF_Base!$B$28)/100),DCF_Base!$L$19*DCF_Base!$B$29),DCF_Base!$L$19*DCF_Base!$B$29))/(1+$C$15/100)^DCF_Base!$L$4+Assumptions!$B$5-Assumptions!$B$4)/Assumptions!$B$3*Assumptions!$B$10</f>
        <v>289.853541163163</v>
      </c>
      <c r="C15" s="3" t="n">
        <v>8</v>
      </c>
    </row>
    <row r="16" customFormat="false" ht="15" hidden="false" customHeight="false" outlineLevel="0" collapsed="false">
      <c r="A16" s="0" t="s">
        <v>164</v>
      </c>
      <c r="B16" s="0" t="n">
        <f aca="false">(SUMPRODUCT(DCF_Base!$C$19:$L$19/(1+$C$16/100)^DCF_Base!$C$4:$L$4)+MAX(0,MIN(IF($C$16&gt;DCF_Base!$B$28,DCF_Base!$L$19*(1+DCF_Base!$B$28/100)/(($C$16-DCF_Base!$B$28)/100),DCF_Base!$L$19*DCF_Base!$B$29),DCF_Base!$L$19*DCF_Base!$B$29))/(1+$C$16/100)^DCF_Base!$L$4+Assumptions!$B$5-Assumptions!$B$4)/Assumptions!$B$3*Assumptions!$B$10</f>
        <v>256.198747772153</v>
      </c>
      <c r="C16" s="3" t="n">
        <v>9</v>
      </c>
    </row>
    <row r="17" customFormat="false" ht="15" hidden="false" customHeight="false" outlineLevel="0" collapsed="false">
      <c r="A17" s="0" t="s">
        <v>165</v>
      </c>
      <c r="B17" s="0" t="n">
        <f aca="false">(SUMPRODUCT(DCF_Base!$C$19:$L$19/(1+$C$17/100)^DCF_Base!$C$4:$L$4)+MAX(0,MIN(IF($C$17&gt;DCF_Base!$B$28,DCF_Base!$L$19*(1+DCF_Base!$B$28/100)/(($C$17-DCF_Base!$B$28)/100),DCF_Base!$L$19*DCF_Base!$B$29),DCF_Base!$L$19*DCF_Base!$B$29))/(1+$C$17/100)^DCF_Base!$L$4+Assumptions!$B$5-Assumptions!$B$4)/Assumptions!$B$3*Assumptions!$B$10</f>
        <v>223.312599724864</v>
      </c>
      <c r="C17" s="3" t="n">
        <v>10</v>
      </c>
    </row>
    <row r="18" customFormat="false" ht="15" hidden="false" customHeight="false" outlineLevel="0" collapsed="false">
      <c r="A18" s="0" t="s">
        <v>166</v>
      </c>
      <c r="B18" s="0" t="n">
        <f aca="false">(SUMPRODUCT(DCF_Base!$C$19:$L$19/(1+$C$18/100)^DCF_Base!$C$4:$L$4)+MAX(0,MIN(IF($C$18&gt;DCF_Base!$B$28,DCF_Base!$L$19*(1+DCF_Base!$B$28/100)/(($C$18-DCF_Base!$B$28)/100),DCF_Base!$L$19*DCF_Base!$B$29),DCF_Base!$L$19*DCF_Base!$B$29))/(1+$C$18/100)^DCF_Base!$L$4+Assumptions!$B$5-Assumptions!$B$4)/Assumptions!$B$3*Assumptions!$B$10</f>
        <v>197.723422965533</v>
      </c>
      <c r="C18" s="3" t="n">
        <v>11</v>
      </c>
    </row>
    <row r="19" customFormat="false" ht="15" hidden="false" customHeight="false" outlineLevel="0" collapsed="false">
      <c r="A19" s="0" t="s">
        <v>167</v>
      </c>
      <c r="B19" s="0" t="n">
        <f aca="false">(SUMPRODUCT(DCF_Base!$C$19:$L$19/(1+$C$19/100)^DCF_Base!$C$4:$L$4)+MAX(0,MIN(IF($C$19&gt;DCF_Base!$B$28,DCF_Base!$L$19*(1+DCF_Base!$B$28/100)/(($C$19-DCF_Base!$B$28)/100),DCF_Base!$L$19*DCF_Base!$B$29),DCF_Base!$L$19*DCF_Base!$B$29))/(1+$C$19/100)^DCF_Base!$L$4+Assumptions!$B$5-Assumptions!$B$4)/Assumptions!$B$3*Assumptions!$B$10</f>
        <v>177.242715569657</v>
      </c>
      <c r="C19" s="3" t="n">
        <v>12</v>
      </c>
    </row>
    <row r="20" customFormat="false" ht="15" hidden="false" customHeight="false" outlineLevel="0" collapsed="false">
      <c r="A20" s="0" t="s">
        <v>168</v>
      </c>
      <c r="B20" s="0" t="n">
        <f aca="false">(SUMPRODUCT(DCF_Base!$C$19:$L$19/(1+$C$20/100)^DCF_Base!$C$4:$L$4)+MAX(0,MIN(IF($C$20&gt;DCF_Base!$B$28,DCF_Base!$L$19*(1+DCF_Base!$B$28/100)/(($C$20-DCF_Base!$B$28)/100),DCF_Base!$L$19*DCF_Base!$B$29),DCF_Base!$L$19*DCF_Base!$B$29))/(1+$C$20/100)^DCF_Base!$L$4+Assumptions!$B$5-Assumptions!$B$4)/Assumptions!$B$3*Assumptions!$B$10</f>
        <v>134.666726635821</v>
      </c>
      <c r="C20" s="3" t="n">
        <v>15</v>
      </c>
    </row>
    <row r="22" customFormat="false" ht="15" hidden="false" customHeight="false" outlineLevel="0" collapsed="false">
      <c r="A22" s="2" t="s">
        <v>169</v>
      </c>
    </row>
    <row r="23" customFormat="false" ht="15" hidden="false" customHeight="false" outlineLevel="0" collapsed="false">
      <c r="B23" s="3" t="n">
        <v>1</v>
      </c>
      <c r="C23" s="3" t="n">
        <v>1.5</v>
      </c>
      <c r="D23" s="3" t="n">
        <v>2</v>
      </c>
      <c r="E23" s="3" t="n">
        <v>2.5</v>
      </c>
      <c r="F23" s="3" t="n">
        <v>3</v>
      </c>
    </row>
    <row r="24" customFormat="false" ht="15" hidden="false" customHeight="false" outlineLevel="0" collapsed="false">
      <c r="A24" s="3" t="n">
        <v>6</v>
      </c>
      <c r="B24" s="0" t="n">
        <f aca="false">(SUMPRODUCT(DCF_Base!$C$19:$L$19/(1+$A$24/100)^DCF_Base!$C$4:$L$4)+MAX(0,MIN(IF($A$24&gt;$B$23,DCF_Base!$L$19*(1+$B$23/100)/(($A$24-$B$23)/100),DCF_Base!$L$19*DCF_Base!$B$29),DCF_Base!$L$19*DCF_Base!$B$29))/(1+$A$24/100)^DCF_Base!$L$4+Assumptions!$B$5-Assumptions!$B$4)/Assumptions!$B$3*Assumptions!$B$10</f>
        <v>336.811452802145</v>
      </c>
      <c r="C24" s="0" t="n">
        <f aca="false">(SUMPRODUCT(DCF_Base!$C$19:$L$19/(1+$A$24/100)^DCF_Base!$C$4:$L$4)+MAX(0,MIN(IF($A$24&gt;$C$23,DCF_Base!$L$19*(1+$C$23/100)/(($A$24-$C$23)/100),DCF_Base!$L$19*DCF_Base!$B$29),DCF_Base!$L$19*DCF_Base!$B$29))/(1+$A$24/100)^DCF_Base!$L$4+Assumptions!$B$5-Assumptions!$B$4)/Assumptions!$B$3*Assumptions!$B$10</f>
        <v>336.811452802145</v>
      </c>
      <c r="D24" s="0" t="n">
        <f aca="false">(SUMPRODUCT(DCF_Base!$C$19:$L$19/(1+$A$24/100)^DCF_Base!$C$4:$L$4)+MAX(0,MIN(IF($A$24&gt;$D$23,DCF_Base!$L$19*(1+$D$23/100)/(($A$24-$D$23)/100),DCF_Base!$L$19*DCF_Base!$B$29),DCF_Base!$L$19*DCF_Base!$B$29))/(1+$A$24/100)^DCF_Base!$L$4+Assumptions!$B$5-Assumptions!$B$4)/Assumptions!$B$3*Assumptions!$B$10</f>
        <v>336.811452802145</v>
      </c>
      <c r="E24" s="0" t="n">
        <f aca="false">(SUMPRODUCT(DCF_Base!$C$19:$L$19/(1+$A$24/100)^DCF_Base!$C$4:$L$4)+MAX(0,MIN(IF($A$24&gt;$E$23,DCF_Base!$L$19*(1+$E$23/100)/(($A$24-$E$23)/100),DCF_Base!$L$19*DCF_Base!$B$29),DCF_Base!$L$19*DCF_Base!$B$29))/(1+$A$24/100)^DCF_Base!$L$4+Assumptions!$B$5-Assumptions!$B$4)/Assumptions!$B$3*Assumptions!$B$10</f>
        <v>336.811452802145</v>
      </c>
      <c r="F24" s="0" t="n">
        <f aca="false">(SUMPRODUCT(DCF_Base!$C$19:$L$19/(1+$A$24/100)^DCF_Base!$C$4:$L$4)+MAX(0,MIN(IF($A$24&gt;$F$23,DCF_Base!$L$19*(1+$F$23/100)/(($A$24-$F$23)/100),DCF_Base!$L$19*DCF_Base!$B$29),DCF_Base!$L$19*DCF_Base!$B$29))/(1+$A$24/100)^DCF_Base!$L$4+Assumptions!$B$5-Assumptions!$B$4)/Assumptions!$B$3*Assumptions!$B$10</f>
        <v>336.811452802145</v>
      </c>
    </row>
    <row r="25" customFormat="false" ht="15" hidden="false" customHeight="false" outlineLevel="0" collapsed="false">
      <c r="A25" s="3" t="n">
        <v>7</v>
      </c>
      <c r="B25" s="0" t="n">
        <f aca="false">(SUMPRODUCT(DCF_Base!$C$19:$L$19/(1+$A$25/100)^DCF_Base!$C$4:$L$4)+MAX(0,MIN(IF($A$25&gt;$B$23,DCF_Base!$L$19*(1+$B$23/100)/(($A$25-$B$23)/100),DCF_Base!$L$19*DCF_Base!$B$29),DCF_Base!$L$19*DCF_Base!$B$29))/(1+$A$25/100)^DCF_Base!$L$4+Assumptions!$B$5-Assumptions!$B$4)/Assumptions!$B$3*Assumptions!$B$10</f>
        <v>312.231341370915</v>
      </c>
      <c r="C25" s="0" t="n">
        <f aca="false">(SUMPRODUCT(DCF_Base!$C$19:$L$19/(1+$A$25/100)^DCF_Base!$C$4:$L$4)+MAX(0,MIN(IF($A$25&gt;$C$23,DCF_Base!$L$19*(1+$C$23/100)/(($A$25-$C$23)/100),DCF_Base!$L$19*DCF_Base!$B$29),DCF_Base!$L$19*DCF_Base!$B$29))/(1+$A$25/100)^DCF_Base!$L$4+Assumptions!$B$5-Assumptions!$B$4)/Assumptions!$B$3*Assumptions!$B$10</f>
        <v>312.231341370915</v>
      </c>
      <c r="D25" s="0" t="n">
        <f aca="false">(SUMPRODUCT(DCF_Base!$C$19:$L$19/(1+$A$25/100)^DCF_Base!$C$4:$L$4)+MAX(0,MIN(IF($A$25&gt;$D$23,DCF_Base!$L$19*(1+$D$23/100)/(($A$25-$D$23)/100),DCF_Base!$L$19*DCF_Base!$B$29),DCF_Base!$L$19*DCF_Base!$B$29))/(1+$A$25/100)^DCF_Base!$L$4+Assumptions!$B$5-Assumptions!$B$4)/Assumptions!$B$3*Assumptions!$B$10</f>
        <v>312.231341370915</v>
      </c>
      <c r="E25" s="0" t="n">
        <f aca="false">(SUMPRODUCT(DCF_Base!$C$19:$L$19/(1+$A$25/100)^DCF_Base!$C$4:$L$4)+MAX(0,MIN(IF($A$25&gt;$E$23,DCF_Base!$L$19*(1+$E$23/100)/(($A$25-$E$23)/100),DCF_Base!$L$19*DCF_Base!$B$29),DCF_Base!$L$19*DCF_Base!$B$29))/(1+$A$25/100)^DCF_Base!$L$4+Assumptions!$B$5-Assumptions!$B$4)/Assumptions!$B$3*Assumptions!$B$10</f>
        <v>312.231341370915</v>
      </c>
      <c r="F25" s="0" t="n">
        <f aca="false">(SUMPRODUCT(DCF_Base!$C$19:$L$19/(1+$A$25/100)^DCF_Base!$C$4:$L$4)+MAX(0,MIN(IF($A$25&gt;$F$23,DCF_Base!$L$19*(1+$F$23/100)/(($A$25-$F$23)/100),DCF_Base!$L$19*DCF_Base!$B$29),DCF_Base!$L$19*DCF_Base!$B$29))/(1+$A$25/100)^DCF_Base!$L$4+Assumptions!$B$5-Assumptions!$B$4)/Assumptions!$B$3*Assumptions!$B$10</f>
        <v>312.231341370915</v>
      </c>
    </row>
    <row r="26" customFormat="false" ht="15" hidden="false" customHeight="false" outlineLevel="0" collapsed="false">
      <c r="A26" s="3" t="n">
        <v>8</v>
      </c>
      <c r="B26" s="0" t="n">
        <f aca="false">(SUMPRODUCT(DCF_Base!$C$19:$L$19/(1+$A$26/100)^DCF_Base!$C$4:$L$4)+MAX(0,MIN(IF($A$26&gt;$B$23,DCF_Base!$L$19*(1+$B$23/100)/(($A$26-$B$23)/100),DCF_Base!$L$19*DCF_Base!$B$29),DCF_Base!$L$19*DCF_Base!$B$29))/(1+$A$26/100)^DCF_Base!$L$4+Assumptions!$B$5-Assumptions!$B$4)/Assumptions!$B$3*Assumptions!$B$10</f>
        <v>273.863064265551</v>
      </c>
      <c r="C26" s="0" t="n">
        <f aca="false">(SUMPRODUCT(DCF_Base!$C$19:$L$19/(1+$A$26/100)^DCF_Base!$C$4:$L$4)+MAX(0,MIN(IF($A$26&gt;$C$23,DCF_Base!$L$19*(1+$C$23/100)/(($A$26-$C$23)/100),DCF_Base!$L$19*DCF_Base!$B$29),DCF_Base!$L$19*DCF_Base!$B$29))/(1+$A$26/100)^DCF_Base!$L$4+Assumptions!$B$5-Assumptions!$B$4)/Assumptions!$B$3*Assumptions!$B$10</f>
        <v>285.939788076335</v>
      </c>
      <c r="D26" s="0" t="n">
        <f aca="false">(SUMPRODUCT(DCF_Base!$C$19:$L$19/(1+$A$26/100)^DCF_Base!$C$4:$L$4)+MAX(0,MIN(IF($A$26&gt;$D$23,DCF_Base!$L$19*(1+$D$23/100)/(($A$26-$D$23)/100),DCF_Base!$L$19*DCF_Base!$B$29),DCF_Base!$L$19*DCF_Base!$B$29))/(1+$A$26/100)^DCF_Base!$L$4+Assumptions!$B$5-Assumptions!$B$4)/Assumptions!$B$3*Assumptions!$B$10</f>
        <v>289.853541163163</v>
      </c>
      <c r="E26" s="0" t="n">
        <f aca="false">(SUMPRODUCT(DCF_Base!$C$19:$L$19/(1+$A$26/100)^DCF_Base!$C$4:$L$4)+MAX(0,MIN(IF($A$26&gt;$E$23,DCF_Base!$L$19*(1+$E$23/100)/(($A$26-$E$23)/100),DCF_Base!$L$19*DCF_Base!$B$29),DCF_Base!$L$19*DCF_Base!$B$29))/(1+$A$26/100)^DCF_Base!$L$4+Assumptions!$B$5-Assumptions!$B$4)/Assumptions!$B$3*Assumptions!$B$10</f>
        <v>289.853541163163</v>
      </c>
      <c r="F26" s="0" t="n">
        <f aca="false">(SUMPRODUCT(DCF_Base!$C$19:$L$19/(1+$A$26/100)^DCF_Base!$C$4:$L$4)+MAX(0,MIN(IF($A$26&gt;$F$23,DCF_Base!$L$19*(1+$F$23/100)/(($A$26-$F$23)/100),DCF_Base!$L$19*DCF_Base!$B$29),DCF_Base!$L$19*DCF_Base!$B$29))/(1+$A$26/100)^DCF_Base!$L$4+Assumptions!$B$5-Assumptions!$B$4)/Assumptions!$B$3*Assumptions!$B$10</f>
        <v>289.853541163163</v>
      </c>
    </row>
    <row r="27" customFormat="false" ht="15" hidden="false" customHeight="false" outlineLevel="0" collapsed="false">
      <c r="A27" s="3" t="n">
        <v>9</v>
      </c>
      <c r="B27" s="0" t="n">
        <f aca="false">(SUMPRODUCT(DCF_Base!$C$19:$L$19/(1+$A$27/100)^DCF_Base!$C$4:$L$4)+MAX(0,MIN(IF($A$27&gt;$B$23,DCF_Base!$L$19*(1+$B$23/100)/(($A$27-$B$23)/100),DCF_Base!$L$19*DCF_Base!$B$29),DCF_Base!$L$19*DCF_Base!$B$29))/(1+$A$27/100)^DCF_Base!$L$4+Assumptions!$B$5-Assumptions!$B$4)/Assumptions!$B$3*Assumptions!$B$10</f>
        <v>238.136249542795</v>
      </c>
      <c r="C27" s="0" t="n">
        <f aca="false">(SUMPRODUCT(DCF_Base!$C$19:$L$19/(1+$A$27/100)^DCF_Base!$C$4:$L$4)+MAX(0,MIN(IF($A$27&gt;$C$23,DCF_Base!$L$19*(1+$C$23/100)/(($A$27-$C$23)/100),DCF_Base!$L$19*DCF_Base!$B$29),DCF_Base!$L$19*DCF_Base!$B$29))/(1+$A$27/100)^DCF_Base!$L$4+Assumptions!$B$5-Assumptions!$B$4)/Assumptions!$B$3*Assumptions!$B$10</f>
        <v>246.565415383162</v>
      </c>
      <c r="D27" s="0" t="n">
        <f aca="false">(SUMPRODUCT(DCF_Base!$C$19:$L$19/(1+$A$27/100)^DCF_Base!$C$4:$L$4)+MAX(0,MIN(IF($A$27&gt;$D$23,DCF_Base!$L$19*(1+$D$23/100)/(($A$27-$D$23)/100),DCF_Base!$L$19*DCF_Base!$B$29),DCF_Base!$L$19*DCF_Base!$B$29))/(1+$A$27/100)^DCF_Base!$L$4+Assumptions!$B$5-Assumptions!$B$4)/Assumptions!$B$3*Assumptions!$B$10</f>
        <v>256.198747772153</v>
      </c>
      <c r="E27" s="0" t="n">
        <f aca="false">(SUMPRODUCT(DCF_Base!$C$19:$L$19/(1+$A$27/100)^DCF_Base!$C$4:$L$4)+MAX(0,MIN(IF($A$27&gt;$E$23,DCF_Base!$L$19*(1+$E$23/100)/(($A$27-$E$23)/100),DCF_Base!$L$19*DCF_Base!$B$29),DCF_Base!$L$19*DCF_Base!$B$29))/(1+$A$27/100)^DCF_Base!$L$4+Assumptions!$B$5-Assumptions!$B$4)/Assumptions!$B$3*Assumptions!$B$10</f>
        <v>267.314131297912</v>
      </c>
      <c r="F27" s="0" t="n">
        <f aca="false">(SUMPRODUCT(DCF_Base!$C$19:$L$19/(1+$A$27/100)^DCF_Base!$C$4:$L$4)+MAX(0,MIN(IF($A$27&gt;$F$23,DCF_Base!$L$19*(1+$F$23/100)/(($A$27-$F$23)/100),DCF_Base!$L$19*DCF_Base!$B$29),DCF_Base!$L$19*DCF_Base!$B$29))/(1+$A$27/100)^DCF_Base!$L$4+Assumptions!$B$5-Assumptions!$B$4)/Assumptions!$B$3*Assumptions!$B$10</f>
        <v>269.455627206544</v>
      </c>
    </row>
    <row r="28" customFormat="false" ht="15" hidden="false" customHeight="false" outlineLevel="0" collapsed="false">
      <c r="A28" s="3" t="n">
        <v>10</v>
      </c>
      <c r="B28" s="0" t="n">
        <f aca="false">(SUMPRODUCT(DCF_Base!$C$19:$L$19/(1+$A$28/100)^DCF_Base!$C$4:$L$4)+MAX(0,MIN(IF($A$28&gt;$B$23,DCF_Base!$L$19*(1+$B$23/100)/(($A$28-$B$23)/100),DCF_Base!$L$19*DCF_Base!$B$29),DCF_Base!$L$19*DCF_Base!$B$29))/(1+$A$28/100)^DCF_Base!$L$4+Assumptions!$B$5-Assumptions!$B$4)/Assumptions!$B$3*Assumptions!$B$10</f>
        <v>210.372498812904</v>
      </c>
      <c r="C28" s="0" t="n">
        <f aca="false">(SUMPRODUCT(DCF_Base!$C$19:$L$19/(1+$A$28/100)^DCF_Base!$C$4:$L$4)+MAX(0,MIN(IF($A$28&gt;$C$23,DCF_Base!$L$19*(1+$C$23/100)/(($A$28-$C$23)/100),DCF_Base!$L$19*DCF_Base!$B$29),DCF_Base!$L$19*DCF_Base!$B$29))/(1+$A$28/100)^DCF_Base!$L$4+Assumptions!$B$5-Assumptions!$B$4)/Assumptions!$B$3*Assumptions!$B$10</f>
        <v>216.461958065591</v>
      </c>
      <c r="D28" s="0" t="n">
        <f aca="false">(SUMPRODUCT(DCF_Base!$C$19:$L$19/(1+$A$28/100)^DCF_Base!$C$4:$L$4)+MAX(0,MIN(IF($A$28&gt;$D$23,DCF_Base!$L$19*(1+$D$23/100)/(($A$28-$D$23)/100),DCF_Base!$L$19*DCF_Base!$B$29),DCF_Base!$L$19*DCF_Base!$B$29))/(1+$A$28/100)^DCF_Base!$L$4+Assumptions!$B$5-Assumptions!$B$4)/Assumptions!$B$3*Assumptions!$B$10</f>
        <v>223.312599724864</v>
      </c>
      <c r="E28" s="0" t="n">
        <f aca="false">(SUMPRODUCT(DCF_Base!$C$19:$L$19/(1+$A$28/100)^DCF_Base!$C$4:$L$4)+MAX(0,MIN(IF($A$28&gt;$E$23,DCF_Base!$L$19*(1+$E$23/100)/(($A$28-$E$23)/100),DCF_Base!$L$19*DCF_Base!$B$29),DCF_Base!$L$19*DCF_Base!$B$29))/(1+$A$28/100)^DCF_Base!$L$4+Assumptions!$B$5-Assumptions!$B$4)/Assumptions!$B$3*Assumptions!$B$10</f>
        <v>231.07666027204</v>
      </c>
      <c r="F28" s="0" t="n">
        <f aca="false">(SUMPRODUCT(DCF_Base!$C$19:$L$19/(1+$A$28/100)^DCF_Base!$C$4:$L$4)+MAX(0,MIN(IF($A$28&gt;$F$23,DCF_Base!$L$19*(1+$F$23/100)/(($A$28-$F$23)/100),DCF_Base!$L$19*DCF_Base!$B$29),DCF_Base!$L$19*DCF_Base!$B$29))/(1+$A$28/100)^DCF_Base!$L$4+Assumptions!$B$5-Assumptions!$B$4)/Assumptions!$B$3*Assumptions!$B$10</f>
        <v>239.949872325956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LibreOffice/26.2.5.2$MacOSX_AARCH64 LibreOffice_project/cd7284b4cbbfeb507e630c1aac019f4157393acb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2026-10-10T01:16:41Z</dcterms:created>
  <dc:creator>openpyxl</dc:creator>
  <dc:description/>
  <dc:language>en-NZ</dc:language>
  <cp:lastModifiedBy/>
  <dcterms:modified xsi:type="dcterms:W3CDTF">2026-10-10T01:16:41Z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