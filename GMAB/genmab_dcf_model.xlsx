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ssumptions" sheetId="2" state="visible" r:id="rId4"/>
    <sheet name="Historical" sheetId="3" state="visible" r:id="rId5"/>
    <sheet name="DCF" sheetId="4" state="visible" r:id="rId6"/>
    <sheet name="Sensitivity" sheetId="5" state="visible" r:id="rId7"/>
    <sheet name="Deep Dive" sheetId="6" state="visible" r:id="rId8"/>
    <sheet name="Entry Price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<sst xmlns="http://schemas.openxmlformats.org/spreadsheetml/2006/main" count="263" uniqueCount="240">
  <si>
    <t xml:space="preserve">GENMAB A/S (GMAB) - DCF VALUATION MODEL</t>
  </si>
  <si>
    <t xml:space="preserve">Deep Dive Analysis | January 2026</t>
  </si>
  <si>
    <t xml:space="preserve">COMPANY OVERVIEW</t>
  </si>
  <si>
    <t xml:space="preserve">KEY INVESTMENT HIGHLIGHTS</t>
  </si>
  <si>
    <t xml:space="preserve">Ticker</t>
  </si>
  <si>
    <t xml:space="preserve">GMAB (NASDAQ)</t>
  </si>
  <si>
    <t xml:space="preserve">✓ DARZALEX royalties drive ~80% of revenue</t>
  </si>
  <si>
    <t xml:space="preserve">Headquarters</t>
  </si>
  <si>
    <t xml:space="preserve">Copenhagen, Denmark</t>
  </si>
  <si>
    <t xml:space="preserve">✓ EPKINLY launch gaining momentum</t>
  </si>
  <si>
    <t xml:space="preserve">Industry</t>
  </si>
  <si>
    <t xml:space="preserve">Biotechnology - Antibody Therapeutics</t>
  </si>
  <si>
    <t xml:space="preserve">✓ Strong late-stage pipeline (Rina-S, petosemtamab)</t>
  </si>
  <si>
    <t xml:space="preserve">Founded</t>
  </si>
  <si>
    <t xml:space="preserve">1999</t>
  </si>
  <si>
    <t xml:space="preserve">✓ Net cash position of $3.3B</t>
  </si>
  <si>
    <t xml:space="preserve">CEO</t>
  </si>
  <si>
    <t xml:space="preserve">Jan van de Winkel, Ph.D.</t>
  </si>
  <si>
    <t xml:space="preserve">✓ 2025 guidance: $3.3-3.7B revenue</t>
  </si>
  <si>
    <t xml:space="preserve">Employees</t>
  </si>
  <si>
    <t xml:space="preserve">~2,500</t>
  </si>
  <si>
    <t xml:space="preserve">✓ $8B combined peak sales potential (3 lead assets)</t>
  </si>
  <si>
    <t xml:space="preserve">VALUATION SUMMARY</t>
  </si>
  <si>
    <t xml:space="preserve">Current Stock Price</t>
  </si>
  <si>
    <t xml:space="preserve">Shares Outstanding (M)</t>
  </si>
  <si>
    <t xml:space="preserve">Market Cap ($B)</t>
  </si>
  <si>
    <t xml:space="preserve">Net Debt ($M)</t>
  </si>
  <si>
    <t xml:space="preserve">Enterprise Value ($B)</t>
  </si>
  <si>
    <t xml:space="preserve">DCF IMPLIED VALUES</t>
  </si>
  <si>
    <t xml:space="preserve">Equity Value ($B)</t>
  </si>
  <si>
    <t xml:space="preserve">Implied Share Price</t>
  </si>
  <si>
    <t xml:space="preserve">Upside/Downside</t>
  </si>
  <si>
    <t xml:space="preserve">KEY MODEL ASSUMPTIONS</t>
  </si>
  <si>
    <t xml:space="preserve">REVENUE ASSUMPTIONS</t>
  </si>
  <si>
    <t xml:space="preserve">Base Year Revenue ($M)</t>
  </si>
  <si>
    <t xml:space="preserve">2024 Actual</t>
  </si>
  <si>
    <t xml:space="preserve">2025E Revenue Growth</t>
  </si>
  <si>
    <t xml:space="preserve">Mid-point of guidance ($3.5B)</t>
  </si>
  <si>
    <t xml:space="preserve">2026E Revenue Growth</t>
  </si>
  <si>
    <t xml:space="preserve">EPKINLY expansion + royalty growth</t>
  </si>
  <si>
    <t xml:space="preserve">2027E Revenue Growth</t>
  </si>
  <si>
    <t xml:space="preserve">Continued pipeline momentum</t>
  </si>
  <si>
    <t xml:space="preserve">2028E Revenue Growth</t>
  </si>
  <si>
    <t xml:space="preserve">Rina-S potential launch</t>
  </si>
  <si>
    <t xml:space="preserve">2029E Revenue Growth</t>
  </si>
  <si>
    <t xml:space="preserve">New indication approvals</t>
  </si>
  <si>
    <t xml:space="preserve">2030E+ Terminal Growth</t>
  </si>
  <si>
    <t xml:space="preserve">Long-term GDP growth rate</t>
  </si>
  <si>
    <t xml:space="preserve">MARGIN ASSUMPTIONS</t>
  </si>
  <si>
    <t xml:space="preserve">Gross Margin</t>
  </si>
  <si>
    <t xml:space="preserve">Primarily royalty revenue (high margin)</t>
  </si>
  <si>
    <t xml:space="preserve">Operating Margin (2025E)</t>
  </si>
  <si>
    <t xml:space="preserve">Investment phase</t>
  </si>
  <si>
    <t xml:space="preserve">Operating Margin (Terminal)</t>
  </si>
  <si>
    <t xml:space="preserve">Mature company target</t>
  </si>
  <si>
    <t xml:space="preserve">Tax Rate</t>
  </si>
  <si>
    <t xml:space="preserve">Danish corporate tax rate</t>
  </si>
  <si>
    <t xml:space="preserve">D&amp;A % of Revenue</t>
  </si>
  <si>
    <t xml:space="preserve">Asset-light model</t>
  </si>
  <si>
    <t xml:space="preserve">CapEx % of Revenue</t>
  </si>
  <si>
    <t xml:space="preserve">Minimal capital requirements</t>
  </si>
  <si>
    <t xml:space="preserve">NWC % of Revenue Change</t>
  </si>
  <si>
    <t xml:space="preserve">Working capital needs</t>
  </si>
  <si>
    <t xml:space="preserve">WACC ASSUMPTIONS</t>
  </si>
  <si>
    <t xml:space="preserve">Risk-Free Rate</t>
  </si>
  <si>
    <t xml:space="preserve">10-Year US Treasury</t>
  </si>
  <si>
    <t xml:space="preserve">Equity Risk Premium</t>
  </si>
  <si>
    <t xml:space="preserve">Historical average</t>
  </si>
  <si>
    <t xml:space="preserve">Beta (Levered)</t>
  </si>
  <si>
    <t xml:space="preserve">5-year weekly beta</t>
  </si>
  <si>
    <t xml:space="preserve">Cost of Debt (Pre-tax)</t>
  </si>
  <si>
    <t xml:space="preserve">Estimated based on credit quality</t>
  </si>
  <si>
    <t xml:space="preserve">Debt/Capital</t>
  </si>
  <si>
    <t xml:space="preserve">Minimal debt (~$142M)</t>
  </si>
  <si>
    <t xml:space="preserve">Cost of Equity</t>
  </si>
  <si>
    <t xml:space="preserve">After-Tax Cost of Debt</t>
  </si>
  <si>
    <t xml:space="preserve">WACC</t>
  </si>
  <si>
    <t xml:space="preserve">HISTORICAL FINANCIAL PERFORMANCE</t>
  </si>
  <si>
    <t xml:space="preserve">Metric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</si>
  <si>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</si>
  <si>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</si>
  <si>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</si>
  <si>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</si>
  <si>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</si>
  <si>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Notes</t>
  </si>
  <si>
    <t xml:space="preserve">Revenue ($M)</t>
  </si>
  <si>
    <t xml:space="preserve">Strong DARZALEX growth</t>
  </si>
  <si>
    <t xml:space="preserve">YoY Growth</t>
  </si>
  <si>
    <t xml:space="preserve">-</t>
  </si>
  <si>
    <t xml:space="preserve">-38.6%</t>
  </si>
  <si>
    <t xml:space="preserve">53.1%</t>
  </si>
  <si>
    <t xml:space="preserve">15.7%</t>
  </si>
  <si>
    <t xml:space="preserve">30.5%</t>
  </si>
  <si>
    <t xml:space="preserve">2021 drop: AbbVie upfront ended</t>
  </si>
  <si>
    <t xml:space="preserve">Royalty Revenue ($M)</t>
  </si>
  <si>
    <t xml:space="preserve">~80% of total revenue</t>
  </si>
  <si>
    <t xml:space="preserve">Operating Profit ($M)</t>
  </si>
  <si>
    <t xml:space="preserve">Investing in pipeline</t>
  </si>
  <si>
    <t xml:space="preserve">Operating Margin</t>
  </si>
  <si>
    <t xml:space="preserve">40.9%</t>
  </si>
  <si>
    <t xml:space="preserve">31.3%</t>
  </si>
  <si>
    <t xml:space="preserve">43.3%</t>
  </si>
  <si>
    <t xml:space="preserve">31.8%</t>
  </si>
  <si>
    <t xml:space="preserve">30.7%</t>
  </si>
  <si>
    <t xml:space="preserve">Net Income ($M)</t>
  </si>
  <si>
    <t xml:space="preserve">FX gains in 2024</t>
  </si>
  <si>
    <t xml:space="preserve">EPS ($)</t>
  </si>
  <si>
    <t xml:space="preserve">Free Cash Flow ($M)</t>
  </si>
  <si>
    <t xml:space="preserve">KEY PRODUCT METRICS</t>
  </si>
  <si>
    <t xml:space="preserve">DARZALEX Global Sales ($B)</t>
  </si>
  <si>
    <t xml:space="preserve">J&amp;J reports; 20%+ growth</t>
  </si>
  <si>
    <t xml:space="preserve">Kesimpta Global Sales ($B)</t>
  </si>
  <si>
    <t xml:space="preserve">Novartis partner; MS drug</t>
  </si>
  <si>
    <t xml:space="preserve">EPKINLY Sales ($M)</t>
  </si>
  <si>
    <t xml:space="preserve">Launched May 2023</t>
  </si>
  <si>
    <t xml:space="preserve">Tivdak Sales ($M)</t>
  </si>
  <si>
    <t xml:space="preserve">Cervical cancer</t>
  </si>
  <si>
    <t xml:space="preserve">DISCOUNTED CASH FLOW VALUATION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</si>
  <si>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</si>
  <si>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</si>
  <si>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</si>
  <si>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</si>
  <si>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</si>
  <si>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</si>
  <si>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Terminal</t>
  </si>
  <si>
    <t xml:space="preserve">Revenue Growth</t>
  </si>
  <si>
    <t xml:space="preserve">Operating Income (EBIT)</t>
  </si>
  <si>
    <t xml:space="preserve">Taxes</t>
  </si>
  <si>
    <t xml:space="preserve">NOPAT</t>
  </si>
  <si>
    <t xml:space="preserve">D&amp;A (% of Rev)</t>
  </si>
  <si>
    <t xml:space="preserve">D&amp;A ($M)</t>
  </si>
  <si>
    <t xml:space="preserve">CapEx (% of Rev)</t>
  </si>
  <si>
    <t xml:space="preserve">CapEx ($M)</t>
  </si>
  <si>
    <t xml:space="preserve">NWC (% of Rev Change)</t>
  </si>
  <si>
    <t xml:space="preserve">Change in NWC ($M)</t>
  </si>
  <si>
    <t xml:space="preserve">Unlevered Free Cash Flow</t>
  </si>
  <si>
    <t xml:space="preserve">TERMINAL VALUE</t>
  </si>
  <si>
    <t xml:space="preserve">Terminal Growth Rate</t>
  </si>
  <si>
    <t xml:space="preserve">Terminal FCF</t>
  </si>
  <si>
    <t xml:space="preserve">Terminal Value (Gordon Growth)</t>
  </si>
  <si>
    <t xml:space="preserve">PRESENT VALUE CALCULATION</t>
  </si>
  <si>
    <t xml:space="preserve">Discount Period</t>
  </si>
  <si>
    <t xml:space="preserve">Discount Factor</t>
  </si>
  <si>
    <t xml:space="preserve">PV of FCF</t>
  </si>
  <si>
    <t xml:space="preserve">PV of Terminal Value</t>
  </si>
  <si>
    <t xml:space="preserve">Sum of PV FCFs</t>
  </si>
  <si>
    <t xml:space="preserve">ENTERPRISE VALUE ($B)</t>
  </si>
  <si>
    <t xml:space="preserve">SENSITIVITY ANALYSIS</t>
  </si>
  <si>
    <t xml:space="preserve">WACC vs Terminal Growth Rate</t>
  </si>
  <si>
    <t xml:space="preserve">Base WACC:</t>
  </si>
  <si>
    <t xml:space="preserve">Base Terminal Growth:</t>
  </si>
  <si>
    <t xml:space="preserve">Revenue CAGR vs Terminal Operating Margin</t>
  </si>
  <si>
    <t xml:space="preserve">Terminal Op Margin</t>
  </si>
  <si>
    <t xml:space="preserve">Rev CAGR</t>
  </si>
  <si>
    <t xml:space="preserve">GENMAB - BUSINESS DEEP DIVE</t>
  </si>
  <si>
    <t xml:space="preserve">BUSINESS MODEL</t>
  </si>
  <si>
    <t xml:space="preserve">Genmab is a Danish biotechnology company specializing in antibody therapeutics for cancer.</t>
  </si>
  <si>
    <t xml:space="preserve">The company generates revenue primarily through:</t>
  </si>
  <si>
    <t xml:space="preserve">1. ROYALTY REVENUE (~80% of total):</t>
  </si>
  <si>
    <t xml:space="preserve">   - DARZALEX (daratumumab): 12-20% royalty on J&amp;J sales ($11.7B in 2024)</t>
  </si>
  <si>
    <t xml:space="preserve">   - Kesimpta (ofatumumab): Royalty on Novartis MS drug (~$3.2B sales)</t>
  </si>
  <si>
    <t xml:space="preserve">   - TEPEZZA, RYBREVANT, TECVAYLI, TALVEY: Smaller royalty streams</t>
  </si>
  <si>
    <t xml:space="preserve">2. PRODUCT SALES &amp; COLLABORATION REVENUE (~20%):</t>
  </si>
  <si>
    <t xml:space="preserve">   - EPKINLY (epcoritamab): Co-developed with AbbVie, Genmab sells in US/Japan</t>
  </si>
  <si>
    <t xml:space="preserve">   - Tivdak (tisotumab vedotin): Co-developed with Pfizer for cervical cancer</t>
  </si>
  <si>
    <t xml:space="preserve">KEY COMPETITIVE ADVANTAGES:</t>
  </si>
  <si>
    <t xml:space="preserve">- Proprietary antibody platforms: DuoBody, HexaBody, DuoHexaBody</t>
  </si>
  <si>
    <t xml:space="preserve">- Strong partnerships with major pharma (J&amp;J, Novartis, AbbVie, Pfizer)</t>
  </si>
  <si>
    <t xml:space="preserve">- Asset-light model with high margins (~94% gross margin)</t>
  </si>
  <si>
    <t xml:space="preserve">- Net cash position of $3.3B for pipeline investment</t>
  </si>
  <si>
    <t xml:space="preserve">PIPELINE OVERVIEW</t>
  </si>
  <si>
    <t xml:space="preserve">Asset</t>
  </si>
  <si>
    <t xml:space="preserve">Target</t>
  </si>
  <si>
    <t xml:space="preserve">Stage</t>
  </si>
  <si>
    <t xml:space="preserve">Indication</t>
  </si>
  <si>
    <t xml:space="preserve">Partner</t>
  </si>
  <si>
    <t xml:space="preserve">EPKINLY (epcoritamab)</t>
  </si>
  <si>
    <t xml:space="preserve">CD3xCD20</t>
  </si>
  <si>
    <t xml:space="preserve">Marketed/Phase 3</t>
  </si>
  <si>
    <t xml:space="preserve">DLBCL, FL, other lymphomas</t>
  </si>
  <si>
    <t xml:space="preserve">AbbVie</t>
  </si>
  <si>
    <t xml:space="preserve">Rina-S (rinatabart sesutecan)</t>
  </si>
  <si>
    <t xml:space="preserve">FRα-ADC</t>
  </si>
  <si>
    <t xml:space="preserve">Phase 3</t>
  </si>
  <si>
    <t xml:space="preserve">Ovarian, Endometrial cancer</t>
  </si>
  <si>
    <t xml:space="preserve">Wholly-owned</t>
  </si>
  <si>
    <t xml:space="preserve">Petosemtamab</t>
  </si>
  <si>
    <t xml:space="preserve">EGFRxLGR5</t>
  </si>
  <si>
    <t xml:space="preserve">Head &amp; neck cancer</t>
  </si>
  <si>
    <t xml:space="preserve">Merus (acquired)</t>
  </si>
  <si>
    <t xml:space="preserve">Tivdak (tisotumab vedotin)</t>
  </si>
  <si>
    <t xml:space="preserve">TF-ADC</t>
  </si>
  <si>
    <t xml:space="preserve">Marketed</t>
  </si>
  <si>
    <t xml:space="preserve">Pfizer</t>
  </si>
  <si>
    <t xml:space="preserve">GEN1042 (BNT312)</t>
  </si>
  <si>
    <t xml:space="preserve">CD40x4-1BB</t>
  </si>
  <si>
    <t xml:space="preserve">Phase 2</t>
  </si>
  <si>
    <t xml:space="preserve">Solid tumors</t>
  </si>
  <si>
    <t xml:space="preserve">BioNTech</t>
  </si>
  <si>
    <t xml:space="preserve">HexaBody-CD38 (GEN3014)</t>
  </si>
  <si>
    <t xml:space="preserve">CD38</t>
  </si>
  <si>
    <t xml:space="preserve">Phase 1/2</t>
  </si>
  <si>
    <t xml:space="preserve">Multiple myeloma</t>
  </si>
  <si>
    <t xml:space="preserve">Janssen option</t>
  </si>
  <si>
    <t xml:space="preserve">KEY RISKS</t>
  </si>
  <si>
    <t xml:space="preserve">• DARZALEX concentration: ~65% of royalty revenue from single product</t>
  </si>
  <si>
    <t xml:space="preserve">• Patent expirations: DARZALEX faces potential biosimilar competition ~2029-2032</t>
  </si>
  <si>
    <t xml:space="preserve">• Pipeline execution risk: Late-stage trial failures possible</t>
  </si>
  <si>
    <t xml:space="preserve">• Competition: CAR-T, other bispecifics competing in hematology</t>
  </si>
  <si>
    <t xml:space="preserve">• Litigation: AbbVie lawsuit over Rina-S trade secrets</t>
  </si>
  <si>
    <t xml:space="preserve">• Currency: DKK reporting with USD revenue creates FX volatility</t>
  </si>
  <si>
    <t xml:space="preserve">ENTRY PRICE ANALYSIS - TARGET RETURN CALCULATOR</t>
  </si>
  <si>
    <t xml:space="preserve">CURRENT VALUATION</t>
  </si>
  <si>
    <t xml:space="preserve">DCF Implied Fair Value (Today)</t>
  </si>
  <si>
    <t xml:space="preserve">5-YEAR FORWARD PROJECTION</t>
  </si>
  <si>
    <t xml:space="preserve">Projection Year</t>
  </si>
  <si>
    <t xml:space="preserve">Projected Revenue ($M)</t>
  </si>
  <si>
    <t xml:space="preserve">Projected Operating Margin</t>
  </si>
  <si>
    <t xml:space="preserve">Projected EBIT ($M)</t>
  </si>
  <si>
    <t xml:space="preserve">Projected FCF ($M)</t>
  </si>
  <si>
    <t xml:space="preserve">Terminal Value (from 2029)</t>
  </si>
  <si>
    <t xml:space="preserve">Enterprise Value in 2029 ($M)</t>
  </si>
  <si>
    <t xml:space="preserve">Net Cash in 2029 ($M) - Est.</t>
  </si>
  <si>
    <t xml:space="preserve">Equity Value in 2029 ($M)</t>
  </si>
  <si>
    <t xml:space="preserve">Implied Share Price in 2029</t>
  </si>
  <si>
    <t xml:space="preserve">TARGET RETURN ANALYSIS</t>
  </si>
  <si>
    <t xml:space="preserve">Target CAGR</t>
  </si>
  <si>
    <t xml:space="preserve">Investment Horizon (Years)</t>
  </si>
  <si>
    <t xml:space="preserve">Required Entry Price</t>
  </si>
  <si>
    <t xml:space="preserve">Discount to Current Price</t>
  </si>
  <si>
    <t xml:space="preserve">Upside from Entry Price</t>
  </si>
  <si>
    <t xml:space="preserve">ENTRY PRICE BY TARGET RETURN</t>
  </si>
  <si>
    <t xml:space="preserve">Entry Price</t>
  </si>
  <si>
    <t xml:space="preserve">vs Current</t>
  </si>
  <si>
    <t xml:space="preserve">15% CAGR BY TIME HORIZON</t>
  </si>
  <si>
    <t xml:space="preserve">Horizon (Yrs)</t>
  </si>
  <si>
    <t xml:space="preserve">Short-term</t>
  </si>
  <si>
    <t xml:space="preserve">Base case</t>
  </si>
  <si>
    <t xml:space="preserve">Long-term</t>
  </si>
  <si>
    <t xml:space="preserve">Very long-term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</si>
</sst>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\$#,##0"/>
    <numFmt numFmtId="167" formatCode="0.0%"/>
    <numFmt numFmtId="168" formatCode="0.00%"/>
    <numFmt numFmtId="169" formatCode="\$#,##0.00"/>
    <numFmt numFmtId="170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DCE4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8"/>
    <col collapsed="false" customWidth="true" hidden="false" outlineLevel="0" max="3" min="3" style="1" width="5"/>
    <col collapsed="false" customWidth="true" hidden="false" outlineLevel="0" max="8" min="8" style="1" width="4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7.25" hidden="false" customHeight="true" outlineLevel="0" collapsed="false">
      <c r="A4" s="4" t="s">
        <v>2</v>
      </c>
      <c r="B4" s="4"/>
      <c r="C4" s="4"/>
      <c r="D4" s="4"/>
      <c r="E4" s="4"/>
      <c r="F4" s="4"/>
      <c r="H4" s="5" t="s">
        <v>3</v>
      </c>
      <c r="I4" s="5"/>
      <c r="J4" s="5"/>
      <c r="K4" s="5"/>
    </row>
    <row r="5" customFormat="false" ht="15" hidden="false" customHeight="true" outlineLevel="0" collapsed="false">
      <c r="A5" s="6" t="s">
        <v>4</v>
      </c>
      <c r="B5" s="1" t="s">
        <v>5</v>
      </c>
      <c r="H5" s="1" t="s">
        <v>6</v>
      </c>
    </row>
    <row r="6" customFormat="false" ht="15" hidden="false" customHeight="true" outlineLevel="0" collapsed="false">
      <c r="A6" s="6" t="s">
        <v>7</v>
      </c>
      <c r="B6" s="1" t="s">
        <v>8</v>
      </c>
      <c r="H6" s="1" t="s">
        <v>9</v>
      </c>
    </row>
    <row r="7" customFormat="false" ht="15" hidden="false" customHeight="true" outlineLevel="0" collapsed="false">
      <c r="A7" s="6" t="s">
        <v>10</v>
      </c>
      <c r="B7" s="1" t="s">
        <v>11</v>
      </c>
      <c r="H7" s="1" t="s">
        <v>12</v>
      </c>
    </row>
    <row r="8" customFormat="false" ht="15" hidden="false" customHeight="true" outlineLevel="0" collapsed="false">
      <c r="A8" s="6" t="s">
        <v>13</v>
      </c>
      <c r="B8" s="1" t="s">
        <v>14</v>
      </c>
      <c r="H8" s="1" t="s">
        <v>15</v>
      </c>
    </row>
    <row r="9" customFormat="false" ht="15" hidden="false" customHeight="true" outlineLevel="0" collapsed="false">
      <c r="A9" s="6" t="s">
        <v>16</v>
      </c>
      <c r="B9" s="1" t="s">
        <v>17</v>
      </c>
      <c r="H9" s="1" t="s">
        <v>18</v>
      </c>
    </row>
    <row r="10" customFormat="false" ht="15" hidden="false" customHeight="true" outlineLevel="0" collapsed="false">
      <c r="A10" s="6" t="s">
        <v>19</v>
      </c>
      <c r="B10" s="1" t="s">
        <v>20</v>
      </c>
      <c r="H10" s="1" t="s">
        <v>21</v>
      </c>
    </row>
    <row r="12" customFormat="false" ht="17.25" hidden="false" customHeight="true" outlineLevel="0" collapsed="false">
      <c r="A12" s="4" t="s">
        <v>22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1" t="s">
        <v>23</v>
      </c>
      <c r="B13" s="7" t="n">
        <v>33.9</v>
      </c>
    </row>
    <row r="14" customFormat="false" ht="15" hidden="false" customHeight="true" outlineLevel="0" collapsed="false">
      <c r="A14" s="1" t="s">
        <v>24</v>
      </c>
      <c r="B14" s="8" t="n">
        <v>616</v>
      </c>
    </row>
    <row r="15" customFormat="false" ht="15" hidden="false" customHeight="true" outlineLevel="0" collapsed="false">
      <c r="A15" s="1" t="s">
        <v>25</v>
      </c>
      <c r="B15" s="9" t="n">
        <f aca="false">B13*B14/1000</f>
        <v>20.8824</v>
      </c>
    </row>
    <row r="16" customFormat="false" ht="15" hidden="false" customHeight="true" outlineLevel="0" collapsed="false">
      <c r="A16" s="1" t="s">
        <v>26</v>
      </c>
      <c r="B16" s="10" t="n">
        <v>-3270</v>
      </c>
    </row>
    <row r="17" customFormat="false" ht="15" hidden="false" customHeight="true" outlineLevel="0" collapsed="false">
      <c r="A17" s="1" t="s">
        <v>27</v>
      </c>
      <c r="B17" s="9" t="n">
        <f aca="false">B15+B16/1000</f>
        <v>17.6124</v>
      </c>
    </row>
    <row r="19" customFormat="false" ht="15" hidden="false" customHeight="true" outlineLevel="0" collapsed="false">
      <c r="A19" s="11" t="s">
        <v>28</v>
      </c>
      <c r="B19" s="11"/>
    </row>
    <row r="20" customFormat="false" ht="15" hidden="false" customHeight="true" outlineLevel="0" collapsed="false">
      <c r="A20" s="1" t="s">
        <v>27</v>
      </c>
      <c r="B20" s="9" t="n">
        <f aca="false">DCF!F35</f>
        <v>26.8750546566691</v>
      </c>
    </row>
    <row r="21" customFormat="false" ht="15" hidden="false" customHeight="true" outlineLevel="0" collapsed="false">
      <c r="A21" s="1" t="s">
        <v>29</v>
      </c>
      <c r="B21" s="9" t="n">
        <f aca="false">B20-B16/1000</f>
        <v>30.1450546566691</v>
      </c>
    </row>
    <row r="22" customFormat="false" ht="15" hidden="false" customHeight="true" outlineLevel="0" collapsed="false">
      <c r="A22" s="1" t="s">
        <v>30</v>
      </c>
      <c r="B22" s="12" t="n">
        <f aca="false">B21*1000/B14</f>
        <v>48.9367770400472</v>
      </c>
    </row>
    <row r="23" customFormat="false" ht="15" hidden="false" customHeight="true" outlineLevel="0" collapsed="false">
      <c r="A23" s="1" t="s">
        <v>31</v>
      </c>
      <c r="B23" s="13" t="n">
        <f aca="false">(B22-B13)/B13</f>
        <v>0.443562744544165</v>
      </c>
    </row>
  </sheetData>
  <mergeCells count="6">
    <mergeCell ref="A1:F1"/>
    <mergeCell ref="A2:F2"/>
    <mergeCell ref="A4:F4"/>
    <mergeCell ref="H4:K4"/>
    <mergeCell ref="A12:F12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40"/>
  </cols>
  <sheetData>
    <row r="1" customFormat="false" ht="19.5" hidden="false" customHeight="true" outlineLevel="0" collapsed="false">
      <c r="A1" s="14" t="s">
        <v>32</v>
      </c>
      <c r="B1" s="14"/>
      <c r="C1" s="14"/>
      <c r="D1" s="14"/>
    </row>
    <row r="3" customFormat="false" ht="17.25" hidden="false" customHeight="true" outlineLevel="0" collapsed="false">
      <c r="A3" s="4" t="s">
        <v>33</v>
      </c>
      <c r="B3" s="4"/>
      <c r="C3" s="4"/>
      <c r="D3" s="4"/>
    </row>
    <row r="4" customFormat="false" ht="15" hidden="false" customHeight="true" outlineLevel="0" collapsed="false">
      <c r="A4" s="1" t="s">
        <v>34</v>
      </c>
      <c r="B4" s="10" t="n">
        <v>3100</v>
      </c>
      <c r="C4" s="1" t="s">
        <v>35</v>
      </c>
    </row>
    <row r="5" customFormat="false" ht="15" hidden="false" customHeight="true" outlineLevel="0" collapsed="false">
      <c r="A5" s="1" t="s">
        <v>36</v>
      </c>
      <c r="B5" s="15" t="n">
        <v>0.16</v>
      </c>
      <c r="C5" s="1" t="s">
        <v>37</v>
      </c>
    </row>
    <row r="6" customFormat="false" ht="15" hidden="false" customHeight="true" outlineLevel="0" collapsed="false">
      <c r="A6" s="1" t="s">
        <v>38</v>
      </c>
      <c r="B6" s="15" t="n">
        <v>0.15</v>
      </c>
      <c r="C6" s="1" t="s">
        <v>39</v>
      </c>
    </row>
    <row r="7" customFormat="false" ht="15" hidden="false" customHeight="true" outlineLevel="0" collapsed="false">
      <c r="A7" s="1" t="s">
        <v>40</v>
      </c>
      <c r="B7" s="15" t="n">
        <v>0.14</v>
      </c>
      <c r="C7" s="1" t="s">
        <v>41</v>
      </c>
    </row>
    <row r="8" customFormat="false" ht="15" hidden="false" customHeight="true" outlineLevel="0" collapsed="false">
      <c r="A8" s="1" t="s">
        <v>42</v>
      </c>
      <c r="B8" s="15" t="n">
        <v>0.12</v>
      </c>
      <c r="C8" s="1" t="s">
        <v>43</v>
      </c>
    </row>
    <row r="9" customFormat="false" ht="15" hidden="false" customHeight="true" outlineLevel="0" collapsed="false">
      <c r="A9" s="1" t="s">
        <v>44</v>
      </c>
      <c r="B9" s="15" t="n">
        <v>0.1</v>
      </c>
      <c r="C9" s="1" t="s">
        <v>45</v>
      </c>
    </row>
    <row r="10" customFormat="false" ht="15" hidden="false" customHeight="true" outlineLevel="0" collapsed="false">
      <c r="A10" s="1" t="s">
        <v>46</v>
      </c>
      <c r="B10" s="15" t="n">
        <v>0.025</v>
      </c>
      <c r="C10" s="1" t="s">
        <v>47</v>
      </c>
    </row>
    <row r="12" customFormat="false" ht="17.25" hidden="false" customHeight="true" outlineLevel="0" collapsed="false">
      <c r="A12" s="4" t="s">
        <v>48</v>
      </c>
      <c r="B12" s="4"/>
      <c r="C12" s="4"/>
      <c r="D12" s="4"/>
    </row>
    <row r="13" customFormat="false" ht="15" hidden="false" customHeight="true" outlineLevel="0" collapsed="false">
      <c r="A13" s="1" t="s">
        <v>49</v>
      </c>
      <c r="B13" s="15" t="n">
        <v>0.94</v>
      </c>
      <c r="C13" s="1" t="s">
        <v>50</v>
      </c>
    </row>
    <row r="14" customFormat="false" ht="15" hidden="false" customHeight="true" outlineLevel="0" collapsed="false">
      <c r="A14" s="1" t="s">
        <v>51</v>
      </c>
      <c r="B14" s="15" t="n">
        <v>0.3</v>
      </c>
      <c r="C14" s="1" t="s">
        <v>52</v>
      </c>
    </row>
    <row r="15" customFormat="false" ht="15" hidden="false" customHeight="true" outlineLevel="0" collapsed="false">
      <c r="A15" s="1" t="s">
        <v>53</v>
      </c>
      <c r="B15" s="15" t="n">
        <v>0.4</v>
      </c>
      <c r="C15" s="1" t="s">
        <v>54</v>
      </c>
    </row>
    <row r="16" customFormat="false" ht="15" hidden="false" customHeight="true" outlineLevel="0" collapsed="false">
      <c r="A16" s="1" t="s">
        <v>55</v>
      </c>
      <c r="B16" s="15" t="n">
        <v>0.22</v>
      </c>
      <c r="C16" s="1" t="s">
        <v>56</v>
      </c>
    </row>
    <row r="17" customFormat="false" ht="15" hidden="false" customHeight="true" outlineLevel="0" collapsed="false">
      <c r="A17" s="1" t="s">
        <v>57</v>
      </c>
      <c r="B17" s="15" t="n">
        <v>0.02</v>
      </c>
      <c r="C17" s="1" t="s">
        <v>58</v>
      </c>
    </row>
    <row r="18" customFormat="false" ht="15" hidden="false" customHeight="true" outlineLevel="0" collapsed="false">
      <c r="A18" s="1" t="s">
        <v>59</v>
      </c>
      <c r="B18" s="15" t="n">
        <v>0.015</v>
      </c>
      <c r="C18" s="1" t="s">
        <v>60</v>
      </c>
    </row>
    <row r="19" customFormat="false" ht="15" hidden="false" customHeight="true" outlineLevel="0" collapsed="false">
      <c r="A19" s="1" t="s">
        <v>61</v>
      </c>
      <c r="B19" s="15" t="n">
        <v>0.05</v>
      </c>
      <c r="C19" s="1" t="s">
        <v>62</v>
      </c>
    </row>
    <row r="22" customFormat="false" ht="17.25" hidden="false" customHeight="true" outlineLevel="0" collapsed="false">
      <c r="A22" s="4" t="s">
        <v>63</v>
      </c>
      <c r="B22" s="4"/>
      <c r="C22" s="4"/>
      <c r="D22" s="4"/>
    </row>
    <row r="23" customFormat="false" ht="15" hidden="false" customHeight="true" outlineLevel="0" collapsed="false">
      <c r="A23" s="1" t="s">
        <v>64</v>
      </c>
      <c r="B23" s="16" t="n">
        <v>0.0425</v>
      </c>
      <c r="C23" s="1" t="s">
        <v>65</v>
      </c>
    </row>
    <row r="24" customFormat="false" ht="15" hidden="false" customHeight="true" outlineLevel="0" collapsed="false">
      <c r="A24" s="1" t="s">
        <v>66</v>
      </c>
      <c r="B24" s="16" t="n">
        <v>0.055</v>
      </c>
      <c r="C24" s="1" t="s">
        <v>67</v>
      </c>
    </row>
    <row r="25" customFormat="false" ht="15" hidden="false" customHeight="true" outlineLevel="0" collapsed="false">
      <c r="A25" s="1" t="s">
        <v>68</v>
      </c>
      <c r="B25" s="16" t="n">
        <v>0.79</v>
      </c>
      <c r="C25" s="1" t="s">
        <v>69</v>
      </c>
    </row>
    <row r="26" customFormat="false" ht="15" hidden="false" customHeight="true" outlineLevel="0" collapsed="false">
      <c r="A26" s="1" t="s">
        <v>70</v>
      </c>
      <c r="B26" s="16" t="n">
        <v>0.05</v>
      </c>
      <c r="C26" s="1" t="s">
        <v>71</v>
      </c>
    </row>
    <row r="27" customFormat="false" ht="15" hidden="false" customHeight="true" outlineLevel="0" collapsed="false">
      <c r="A27" s="1" t="s">
        <v>72</v>
      </c>
      <c r="B27" s="16" t="n">
        <v>0.03</v>
      </c>
      <c r="C27" s="1" t="s">
        <v>73</v>
      </c>
    </row>
    <row r="29" customFormat="false" ht="15" hidden="false" customHeight="true" outlineLevel="0" collapsed="false">
      <c r="A29" s="1" t="s">
        <v>74</v>
      </c>
      <c r="B29" s="17" t="n">
        <f aca="false">B23+B25*B24</f>
        <v>0.08595</v>
      </c>
    </row>
    <row r="30" customFormat="false" ht="15" hidden="false" customHeight="true" outlineLevel="0" collapsed="false">
      <c r="A30" s="1" t="s">
        <v>75</v>
      </c>
      <c r="B30" s="17" t="n">
        <f aca="false">B26*(1-B16)</f>
        <v>0.039</v>
      </c>
    </row>
    <row r="31" customFormat="false" ht="15" hidden="false" customHeight="true" outlineLevel="0" collapsed="false">
      <c r="A31" s="1" t="s">
        <v>76</v>
      </c>
      <c r="B31" s="18" t="n">
        <f aca="false">(1-B27)*B29+B27*B30</f>
        <v>0.0845415</v>
      </c>
    </row>
  </sheetData>
  <mergeCells count="4">
    <mergeCell ref="A1:D1"/>
    <mergeCell ref="A3:D3"/>
    <mergeCell ref="A12:D12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8"/>
  </cols>
  <sheetData>
    <row r="1" customFormat="false" ht="19.5" hidden="false" customHeight="true" outlineLevel="0" collapsed="false">
      <c r="A1" s="14" t="s">
        <v>77</v>
      </c>
      <c r="B1" s="14"/>
      <c r="C1" s="14"/>
      <c r="D1" s="14"/>
      <c r="E1" s="14"/>
      <c r="F1" s="14"/>
      <c r="G1" s="14"/>
    </row>
    <row r="3" customFormat="false" ht="17.25" hidden="false" customHeight="true" outlineLevel="0" collapsed="false">
      <c r="A3" s="19" t="s">
        <v>78</v>
      </c>
      <c r="B3" s="19" t="s">
        <v>79</v>
      </c>
      <c r="C3" s="19" t="s">
        <v>80</v>
      </c>
      <c r="D3" s="19" t="s">
        <v>81</v>
      </c>
      <c r="E3" s="19" t="s">
        <v>82</v>
      </c>
      <c r="F3" s="19" t="s">
        <v>83</v>
      </c>
      <c r="G3" s="19" t="s">
        <v>84</v>
      </c>
    </row>
    <row r="4" customFormat="false" ht="15" hidden="false" customHeight="true" outlineLevel="0" collapsed="false">
      <c r="A4" s="6" t="s">
        <v>85</v>
      </c>
      <c r="B4" s="10" t="n">
        <v>2200</v>
      </c>
      <c r="C4" s="10" t="n">
        <v>1350</v>
      </c>
      <c r="D4" s="10" t="n">
        <v>2067</v>
      </c>
      <c r="E4" s="10" t="n">
        <v>2392</v>
      </c>
      <c r="F4" s="10" t="n">
        <v>3121</v>
      </c>
      <c r="G4" s="1" t="s">
        <v>86</v>
      </c>
    </row>
    <row r="5" customFormat="false" ht="15" hidden="false" customHeight="true" outlineLevel="0" collapsed="false">
      <c r="A5" s="6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93</v>
      </c>
    </row>
    <row r="6" customFormat="false" ht="15" hidden="false" customHeight="true" outlineLevel="0" collapsed="false">
      <c r="A6" s="6" t="s">
        <v>94</v>
      </c>
      <c r="B6" s="10" t="n">
        <v>1800</v>
      </c>
      <c r="C6" s="10" t="n">
        <v>1200</v>
      </c>
      <c r="D6" s="10" t="n">
        <v>1700</v>
      </c>
      <c r="E6" s="10" t="n">
        <v>1958</v>
      </c>
      <c r="F6" s="10" t="n">
        <v>2479</v>
      </c>
      <c r="G6" s="1" t="s">
        <v>95</v>
      </c>
    </row>
    <row r="7" customFormat="false" ht="15" hidden="false" customHeight="true" outlineLevel="0" collapsed="false">
      <c r="A7" s="6" t="s">
        <v>96</v>
      </c>
      <c r="B7" s="10" t="n">
        <v>899</v>
      </c>
      <c r="C7" s="10" t="n">
        <v>422</v>
      </c>
      <c r="D7" s="10" t="n">
        <v>895</v>
      </c>
      <c r="E7" s="10" t="n">
        <v>760</v>
      </c>
      <c r="F7" s="10" t="n">
        <v>958</v>
      </c>
      <c r="G7" s="1" t="s">
        <v>97</v>
      </c>
    </row>
    <row r="8" customFormat="false" ht="15" hidden="false" customHeight="true" outlineLevel="0" collapsed="false">
      <c r="A8" s="6" t="s">
        <v>98</v>
      </c>
      <c r="B8" s="1" t="s">
        <v>99</v>
      </c>
      <c r="C8" s="1" t="s">
        <v>100</v>
      </c>
      <c r="D8" s="1" t="s">
        <v>101</v>
      </c>
      <c r="E8" s="1" t="s">
        <v>102</v>
      </c>
      <c r="F8" s="1" t="s">
        <v>103</v>
      </c>
    </row>
    <row r="9" customFormat="false" ht="15" hidden="false" customHeight="true" outlineLevel="0" collapsed="false">
      <c r="A9" s="6" t="s">
        <v>104</v>
      </c>
      <c r="B9" s="10" t="n">
        <v>850</v>
      </c>
      <c r="C9" s="10" t="n">
        <v>500</v>
      </c>
      <c r="D9" s="10" t="n">
        <v>700</v>
      </c>
      <c r="E9" s="10" t="n">
        <v>760</v>
      </c>
      <c r="F9" s="10" t="n">
        <v>1400</v>
      </c>
      <c r="G9" s="1" t="s">
        <v>105</v>
      </c>
    </row>
    <row r="10" customFormat="false" ht="15" hidden="false" customHeight="true" outlineLevel="0" collapsed="false">
      <c r="A10" s="6" t="s">
        <v>106</v>
      </c>
      <c r="B10" s="10" t="n">
        <v>12.9</v>
      </c>
      <c r="C10" s="10" t="n">
        <v>7.6</v>
      </c>
      <c r="D10" s="10" t="n">
        <v>10.6</v>
      </c>
      <c r="E10" s="10" t="n">
        <v>11.5</v>
      </c>
      <c r="F10" s="10" t="n">
        <v>21.4</v>
      </c>
    </row>
    <row r="11" customFormat="false" ht="15" hidden="false" customHeight="true" outlineLevel="0" collapsed="false">
      <c r="A11" s="6" t="s">
        <v>107</v>
      </c>
      <c r="B11" s="10" t="n">
        <v>800</v>
      </c>
      <c r="C11" s="10" t="n">
        <v>350</v>
      </c>
      <c r="D11" s="10" t="n">
        <v>650</v>
      </c>
      <c r="E11" s="10" t="n">
        <v>900</v>
      </c>
      <c r="F11" s="10" t="n">
        <v>1330</v>
      </c>
      <c r="G11" s="1" t="s">
        <v>58</v>
      </c>
    </row>
    <row r="14" customFormat="false" ht="17.25" hidden="false" customHeight="true" outlineLevel="0" collapsed="false">
      <c r="A14" s="4" t="s">
        <v>108</v>
      </c>
      <c r="B14" s="4"/>
      <c r="C14" s="4"/>
      <c r="D14" s="4"/>
      <c r="E14" s="4"/>
      <c r="F14" s="4"/>
      <c r="G14" s="4"/>
    </row>
    <row r="15" customFormat="false" ht="15" hidden="false" customHeight="true" outlineLevel="0" collapsed="false">
      <c r="A15" s="6" t="s">
        <v>109</v>
      </c>
      <c r="B15" s="8" t="n">
        <v>5.8</v>
      </c>
      <c r="C15" s="8" t="n">
        <v>7</v>
      </c>
      <c r="D15" s="8" t="n">
        <v>8</v>
      </c>
      <c r="E15" s="8" t="n">
        <v>9.7</v>
      </c>
      <c r="F15" s="8" t="n">
        <v>11.7</v>
      </c>
      <c r="G15" s="1" t="s">
        <v>110</v>
      </c>
    </row>
    <row r="16" customFormat="false" ht="15" hidden="false" customHeight="true" outlineLevel="0" collapsed="false">
      <c r="A16" s="6" t="s">
        <v>111</v>
      </c>
      <c r="B16" s="8" t="n">
        <v>0.8</v>
      </c>
      <c r="C16" s="8" t="n">
        <v>1.5</v>
      </c>
      <c r="D16" s="8" t="n">
        <v>2</v>
      </c>
      <c r="E16" s="8" t="n">
        <v>2.5</v>
      </c>
      <c r="F16" s="8" t="n">
        <v>3.2</v>
      </c>
      <c r="G16" s="1" t="s">
        <v>112</v>
      </c>
    </row>
    <row r="17" customFormat="false" ht="15" hidden="false" customHeight="true" outlineLevel="0" collapsed="false">
      <c r="A17" s="6" t="s">
        <v>113</v>
      </c>
      <c r="B17" s="8" t="s">
        <v>88</v>
      </c>
      <c r="C17" s="8" t="s">
        <v>88</v>
      </c>
      <c r="D17" s="8" t="s">
        <v>88</v>
      </c>
      <c r="E17" s="8" t="n">
        <v>50</v>
      </c>
      <c r="F17" s="8" t="n">
        <v>281</v>
      </c>
      <c r="G17" s="1" t="s">
        <v>114</v>
      </c>
    </row>
    <row r="18" customFormat="false" ht="15" hidden="false" customHeight="true" outlineLevel="0" collapsed="false">
      <c r="A18" s="6" t="s">
        <v>115</v>
      </c>
      <c r="B18" s="8" t="s">
        <v>88</v>
      </c>
      <c r="C18" s="8" t="s">
        <v>88</v>
      </c>
      <c r="D18" s="8" t="n">
        <v>100</v>
      </c>
      <c r="E18" s="8" t="n">
        <v>150</v>
      </c>
      <c r="F18" s="8" t="n">
        <v>200</v>
      </c>
      <c r="G18" s="1" t="s">
        <v>116</v>
      </c>
    </row>
  </sheetData>
  <mergeCells count="2">
    <mergeCell ref="A1:G1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8" min="2" style="1" width="15"/>
  </cols>
  <sheetData>
    <row r="1" customFormat="false" ht="19.5" hidden="false" customHeight="true" outlineLevel="0" collapsed="false">
      <c r="A1" s="14" t="s">
        <v>117</v>
      </c>
      <c r="B1" s="14"/>
      <c r="C1" s="14"/>
      <c r="D1" s="14"/>
      <c r="E1" s="14"/>
      <c r="F1" s="14"/>
      <c r="G1" s="14"/>
      <c r="H1" s="14"/>
    </row>
    <row r="3" customFormat="false" ht="17.25" hidden="false" customHeight="true" outlineLevel="0" collapsed="false">
      <c r="A3" s="19" t="s">
        <v>78</v>
      </c>
      <c r="B3" s="19" t="s">
        <v>118</v>
      </c>
      <c r="C3" s="19" t="s">
        <v>119</v>
      </c>
      <c r="D3" s="19" t="s">
        <v>120</v>
      </c>
      <c r="E3" s="19" t="s">
        <v>121</v>
      </c>
      <c r="F3" s="19" t="s">
        <v>122</v>
      </c>
      <c r="G3" s="19" t="s">
        <v>123</v>
      </c>
      <c r="H3" s="19" t="s">
        <v>124</v>
      </c>
    </row>
    <row r="4" customFormat="false" ht="15" hidden="false" customHeight="true" outlineLevel="0" collapsed="false">
      <c r="A4" s="1" t="s">
        <v>85</v>
      </c>
      <c r="B4" s="20" t="n">
        <f aca="false">Assumptions!B4</f>
        <v>3100</v>
      </c>
      <c r="C4" s="20" t="n">
        <f aca="false">B4*(1+Assumptions!B5)</f>
        <v>3596</v>
      </c>
      <c r="D4" s="20" t="n">
        <f aca="false">C4*(1+Assumptions!B6)</f>
        <v>4135.4</v>
      </c>
      <c r="E4" s="20" t="n">
        <f aca="false">D4*(1+Assumptions!B7)</f>
        <v>4714.356</v>
      </c>
      <c r="F4" s="20" t="n">
        <f aca="false">E4*(1+Assumptions!B8)</f>
        <v>5280.07872</v>
      </c>
      <c r="G4" s="20" t="n">
        <f aca="false">F4*(1+Assumptions!B9)</f>
        <v>5808.086592</v>
      </c>
    </row>
    <row r="5" customFormat="false" ht="15" hidden="false" customHeight="true" outlineLevel="0" collapsed="false">
      <c r="A5" s="1" t="s">
        <v>125</v>
      </c>
      <c r="B5" s="15" t="n">
        <v>0.305</v>
      </c>
      <c r="C5" s="21" t="n">
        <f aca="false">Assumptions!B5</f>
        <v>0.16</v>
      </c>
      <c r="D5" s="21" t="n">
        <f aca="false">Assumptions!B6</f>
        <v>0.15</v>
      </c>
      <c r="E5" s="21" t="n">
        <f aca="false">Assumptions!B7</f>
        <v>0.14</v>
      </c>
      <c r="F5" s="21" t="n">
        <f aca="false">Assumptions!B8</f>
        <v>0.12</v>
      </c>
      <c r="G5" s="21" t="n">
        <f aca="false">Assumptions!B9</f>
        <v>0.1</v>
      </c>
    </row>
    <row r="7" customFormat="false" ht="15" hidden="false" customHeight="true" outlineLevel="0" collapsed="false">
      <c r="A7" s="1" t="s">
        <v>98</v>
      </c>
      <c r="B7" s="15" t="n">
        <v>0.307</v>
      </c>
      <c r="C7" s="15" t="n">
        <v>0.3</v>
      </c>
      <c r="D7" s="15" t="n">
        <v>0.32</v>
      </c>
      <c r="E7" s="15" t="n">
        <v>0.35</v>
      </c>
      <c r="F7" s="15" t="n">
        <v>0.38</v>
      </c>
      <c r="G7" s="15" t="n">
        <v>0.4</v>
      </c>
    </row>
    <row r="8" customFormat="false" ht="15" hidden="false" customHeight="true" outlineLevel="0" collapsed="false">
      <c r="A8" s="1" t="s">
        <v>126</v>
      </c>
      <c r="B8" s="20" t="n">
        <f aca="false">B4*B7</f>
        <v>951.7</v>
      </c>
      <c r="C8" s="20" t="n">
        <f aca="false">C4*C7</f>
        <v>1078.8</v>
      </c>
      <c r="D8" s="20" t="n">
        <f aca="false">D4*D7</f>
        <v>1323.328</v>
      </c>
      <c r="E8" s="20" t="n">
        <f aca="false">E4*E7</f>
        <v>1650.0246</v>
      </c>
      <c r="F8" s="20" t="n">
        <f aca="false">F4*F7</f>
        <v>2006.4299136</v>
      </c>
      <c r="G8" s="20" t="n">
        <f aca="false">G4*G7</f>
        <v>2323.2346368</v>
      </c>
    </row>
    <row r="9" customFormat="false" ht="15" hidden="false" customHeight="true" outlineLevel="0" collapsed="false">
      <c r="A9" s="1" t="s">
        <v>55</v>
      </c>
      <c r="B9" s="21" t="n">
        <f aca="false">Assumptions!B16</f>
        <v>0.22</v>
      </c>
      <c r="C9" s="21" t="n">
        <f aca="false">Assumptions!B16</f>
        <v>0.22</v>
      </c>
      <c r="D9" s="21" t="n">
        <f aca="false">Assumptions!B16</f>
        <v>0.22</v>
      </c>
      <c r="E9" s="21" t="n">
        <f aca="false">Assumptions!B16</f>
        <v>0.22</v>
      </c>
      <c r="F9" s="21" t="n">
        <f aca="false">Assumptions!B16</f>
        <v>0.22</v>
      </c>
      <c r="G9" s="21" t="n">
        <f aca="false">Assumptions!B16</f>
        <v>0.22</v>
      </c>
    </row>
    <row r="10" customFormat="false" ht="15" hidden="false" customHeight="true" outlineLevel="0" collapsed="false">
      <c r="A10" s="1" t="s">
        <v>127</v>
      </c>
      <c r="B10" s="20" t="n">
        <f aca="false">B8*B9</f>
        <v>209.374</v>
      </c>
      <c r="C10" s="20" t="n">
        <f aca="false">C8*C9</f>
        <v>237.336</v>
      </c>
      <c r="D10" s="20" t="n">
        <f aca="false">D8*D9</f>
        <v>291.13216</v>
      </c>
      <c r="E10" s="20" t="n">
        <f aca="false">E8*E9</f>
        <v>363.005412</v>
      </c>
      <c r="F10" s="20" t="n">
        <f aca="false">F8*F9</f>
        <v>441.414580992</v>
      </c>
      <c r="G10" s="20" t="n">
        <f aca="false">G8*G9</f>
        <v>511.111620096</v>
      </c>
    </row>
    <row r="11" customFormat="false" ht="15" hidden="false" customHeight="true" outlineLevel="0" collapsed="false">
      <c r="A11" s="1" t="s">
        <v>128</v>
      </c>
      <c r="B11" s="20" t="n">
        <f aca="false">B8-B10</f>
        <v>742.326</v>
      </c>
      <c r="C11" s="20" t="n">
        <f aca="false">C8-C10</f>
        <v>841.464</v>
      </c>
      <c r="D11" s="20" t="n">
        <f aca="false">D8-D10</f>
        <v>1032.19584</v>
      </c>
      <c r="E11" s="20" t="n">
        <f aca="false">E8-E10</f>
        <v>1287.019188</v>
      </c>
      <c r="F11" s="20" t="n">
        <f aca="false">F8-F10</f>
        <v>1565.015332608</v>
      </c>
      <c r="G11" s="20" t="n">
        <f aca="false">G8-G10</f>
        <v>1812.123016704</v>
      </c>
    </row>
    <row r="13" customFormat="false" ht="15" hidden="false" customHeight="true" outlineLevel="0" collapsed="false">
      <c r="A13" s="1" t="s">
        <v>129</v>
      </c>
      <c r="B13" s="21" t="n">
        <f aca="false">Assumptions!B17</f>
        <v>0.02</v>
      </c>
      <c r="C13" s="21" t="n">
        <f aca="false">Assumptions!B17</f>
        <v>0.02</v>
      </c>
      <c r="D13" s="21" t="n">
        <f aca="false">Assumptions!B17</f>
        <v>0.02</v>
      </c>
      <c r="E13" s="21" t="n">
        <f aca="false">Assumptions!B17</f>
        <v>0.02</v>
      </c>
      <c r="F13" s="21" t="n">
        <f aca="false">Assumptions!B17</f>
        <v>0.02</v>
      </c>
      <c r="G13" s="21" t="n">
        <f aca="false">Assumptions!B17</f>
        <v>0.02</v>
      </c>
    </row>
    <row r="14" customFormat="false" ht="15" hidden="false" customHeight="true" outlineLevel="0" collapsed="false">
      <c r="A14" s="1" t="s">
        <v>130</v>
      </c>
      <c r="B14" s="20" t="n">
        <f aca="false">B4*B13</f>
        <v>62</v>
      </c>
      <c r="C14" s="20" t="n">
        <f aca="false">C4*C13</f>
        <v>71.92</v>
      </c>
      <c r="D14" s="20" t="n">
        <f aca="false">D4*D13</f>
        <v>82.708</v>
      </c>
      <c r="E14" s="20" t="n">
        <f aca="false">E4*E13</f>
        <v>94.28712</v>
      </c>
      <c r="F14" s="20" t="n">
        <f aca="false">F4*F13</f>
        <v>105.6015744</v>
      </c>
      <c r="G14" s="20" t="n">
        <f aca="false">G4*G13</f>
        <v>116.16173184</v>
      </c>
    </row>
    <row r="15" customFormat="false" ht="15" hidden="false" customHeight="true" outlineLevel="0" collapsed="false">
      <c r="A15" s="1" t="s">
        <v>131</v>
      </c>
      <c r="B15" s="21" t="n">
        <f aca="false">Assumptions!B18</f>
        <v>0.015</v>
      </c>
      <c r="C15" s="21" t="n">
        <f aca="false">Assumptions!B18</f>
        <v>0.015</v>
      </c>
      <c r="D15" s="21" t="n">
        <f aca="false">Assumptions!B18</f>
        <v>0.015</v>
      </c>
      <c r="E15" s="21" t="n">
        <f aca="false">Assumptions!B18</f>
        <v>0.015</v>
      </c>
      <c r="F15" s="21" t="n">
        <f aca="false">Assumptions!B18</f>
        <v>0.015</v>
      </c>
      <c r="G15" s="21" t="n">
        <f aca="false">Assumptions!B18</f>
        <v>0.015</v>
      </c>
    </row>
    <row r="16" customFormat="false" ht="15" hidden="false" customHeight="true" outlineLevel="0" collapsed="false">
      <c r="A16" s="1" t="s">
        <v>132</v>
      </c>
      <c r="B16" s="20" t="n">
        <f aca="false">B4*B15</f>
        <v>46.5</v>
      </c>
      <c r="C16" s="20" t="n">
        <f aca="false">C4*C15</f>
        <v>53.94</v>
      </c>
      <c r="D16" s="20" t="n">
        <f aca="false">D4*D15</f>
        <v>62.031</v>
      </c>
      <c r="E16" s="20" t="n">
        <f aca="false">E4*E15</f>
        <v>70.71534</v>
      </c>
      <c r="F16" s="20" t="n">
        <f aca="false">F4*F15</f>
        <v>79.2011808</v>
      </c>
      <c r="G16" s="20" t="n">
        <f aca="false">G4*G15</f>
        <v>87.12129888</v>
      </c>
    </row>
    <row r="17" customFormat="false" ht="15" hidden="false" customHeight="true" outlineLevel="0" collapsed="false">
      <c r="A17" s="1" t="s">
        <v>133</v>
      </c>
      <c r="B17" s="21" t="n">
        <f aca="false">Assumptions!B19</f>
        <v>0.05</v>
      </c>
      <c r="C17" s="21" t="n">
        <f aca="false">Assumptions!B19</f>
        <v>0.05</v>
      </c>
      <c r="D17" s="21" t="n">
        <f aca="false">Assumptions!B19</f>
        <v>0.05</v>
      </c>
      <c r="E17" s="21" t="n">
        <f aca="false">Assumptions!B19</f>
        <v>0.05</v>
      </c>
      <c r="F17" s="21" t="n">
        <f aca="false">Assumptions!B19</f>
        <v>0.05</v>
      </c>
      <c r="G17" s="21" t="n">
        <f aca="false">Assumptions!B19</f>
        <v>0.05</v>
      </c>
    </row>
    <row r="18" customFormat="false" ht="15" hidden="false" customHeight="true" outlineLevel="0" collapsed="false">
      <c r="A18" s="1" t="s">
        <v>134</v>
      </c>
      <c r="B18" s="20" t="n">
        <v>0</v>
      </c>
      <c r="C18" s="20" t="n">
        <f aca="false">(C4-B4)*C17</f>
        <v>24.8</v>
      </c>
      <c r="D18" s="20" t="n">
        <f aca="false">(D4-C4)*D17</f>
        <v>26.97</v>
      </c>
      <c r="E18" s="20" t="n">
        <f aca="false">(E4-D4)*E17</f>
        <v>28.9478</v>
      </c>
      <c r="F18" s="20" t="n">
        <f aca="false">(F4-E4)*F17</f>
        <v>28.286136</v>
      </c>
      <c r="G18" s="20" t="n">
        <f aca="false">(G4-F4)*G17</f>
        <v>26.4003936</v>
      </c>
    </row>
    <row r="20" customFormat="false" ht="15" hidden="false" customHeight="true" outlineLevel="0" collapsed="false">
      <c r="A20" s="6" t="s">
        <v>135</v>
      </c>
      <c r="B20" s="22" t="n">
        <f aca="false">B11+B14-B16-B18</f>
        <v>757.826</v>
      </c>
      <c r="C20" s="22" t="n">
        <f aca="false">C11+C14-C16-C18</f>
        <v>834.644</v>
      </c>
      <c r="D20" s="22" t="n">
        <f aca="false">D11+D14-D16-D18</f>
        <v>1025.90284</v>
      </c>
      <c r="E20" s="22" t="n">
        <f aca="false">E11+E14-E16-E18</f>
        <v>1281.643168</v>
      </c>
      <c r="F20" s="22" t="n">
        <f aca="false">F11+F14-F16-F18</f>
        <v>1563.129590208</v>
      </c>
      <c r="G20" s="22" t="n">
        <f aca="false">G11+G14-G16-G18</f>
        <v>1814.763056064</v>
      </c>
    </row>
    <row r="22" customFormat="false" ht="17.25" hidden="false" customHeight="true" outlineLevel="0" collapsed="false">
      <c r="A22" s="4" t="s">
        <v>136</v>
      </c>
      <c r="B22" s="4"/>
      <c r="C22" s="4"/>
      <c r="D22" s="4"/>
      <c r="E22" s="4"/>
      <c r="F22" s="4"/>
      <c r="G22" s="4"/>
    </row>
    <row r="23" customFormat="false" ht="15" hidden="false" customHeight="true" outlineLevel="0" collapsed="false">
      <c r="A23" s="1" t="s">
        <v>137</v>
      </c>
      <c r="B23" s="21" t="n">
        <f aca="false">Assumptions!B10</f>
        <v>0.025</v>
      </c>
    </row>
    <row r="24" customFormat="false" ht="15" hidden="false" customHeight="true" outlineLevel="0" collapsed="false">
      <c r="A24" s="1" t="s">
        <v>76</v>
      </c>
      <c r="B24" s="21" t="n">
        <f aca="false">Assumptions!B31</f>
        <v>0.0845415</v>
      </c>
    </row>
    <row r="25" customFormat="false" ht="15" hidden="false" customHeight="true" outlineLevel="0" collapsed="false">
      <c r="A25" s="1" t="s">
        <v>138</v>
      </c>
      <c r="B25" s="20" t="n">
        <f aca="false">G20*(1+B23)</f>
        <v>1860.1321324656</v>
      </c>
    </row>
    <row r="26" customFormat="false" ht="15" hidden="false" customHeight="true" outlineLevel="0" collapsed="false">
      <c r="A26" s="1" t="s">
        <v>139</v>
      </c>
      <c r="B26" s="23" t="n">
        <f aca="false">B25/(B24-B23)</f>
        <v>31240.9350195343</v>
      </c>
    </row>
    <row r="28" customFormat="false" ht="17.25" hidden="false" customHeight="true" outlineLevel="0" collapsed="false">
      <c r="A28" s="4" t="s">
        <v>140</v>
      </c>
      <c r="B28" s="4"/>
      <c r="C28" s="4"/>
      <c r="D28" s="4"/>
      <c r="E28" s="4"/>
      <c r="F28" s="4"/>
      <c r="G28" s="4"/>
    </row>
    <row r="29" customFormat="false" ht="15" hidden="false" customHeight="true" outlineLevel="0" collapsed="false">
      <c r="A29" s="1" t="s">
        <v>141</v>
      </c>
      <c r="C29" s="1" t="n">
        <v>0.5</v>
      </c>
      <c r="D29" s="1" t="n">
        <v>1.5</v>
      </c>
      <c r="E29" s="1" t="n">
        <v>2.5</v>
      </c>
      <c r="F29" s="1" t="n">
        <v>3.5</v>
      </c>
      <c r="G29" s="1" t="n">
        <v>4.5</v>
      </c>
    </row>
    <row r="30" customFormat="false" ht="15" hidden="false" customHeight="true" outlineLevel="0" collapsed="false">
      <c r="A30" s="1" t="s">
        <v>142</v>
      </c>
      <c r="B30" s="21"/>
      <c r="C30" s="21" t="n">
        <f aca="false">1/(1+$B$24)^C29</f>
        <v>0.960233630986956</v>
      </c>
      <c r="D30" s="21" t="n">
        <f aca="false">1/(1+$B$24)^D29</f>
        <v>0.88538210016579</v>
      </c>
      <c r="E30" s="21" t="n">
        <f aca="false">1/(1+$B$24)^E29</f>
        <v>0.816365349012269</v>
      </c>
      <c r="F30" s="21" t="n">
        <f aca="false">1/(1+$B$24)^F29</f>
        <v>0.752728548434771</v>
      </c>
      <c r="G30" s="21" t="n">
        <f aca="false">1/(1+$B$24)^G29</f>
        <v>0.694052323894264</v>
      </c>
    </row>
    <row r="31" customFormat="false" ht="15" hidden="false" customHeight="true" outlineLevel="0" collapsed="false">
      <c r="A31" s="1" t="s">
        <v>143</v>
      </c>
      <c r="B31" s="20"/>
      <c r="C31" s="20" t="n">
        <f aca="false">C20*C30</f>
        <v>801.453238701477</v>
      </c>
      <c r="D31" s="20" t="n">
        <f aca="false">D20*D30</f>
        <v>908.316011045248</v>
      </c>
      <c r="E31" s="20" t="n">
        <f aca="false">E20*E30</f>
        <v>1046.28907215351</v>
      </c>
      <c r="F31" s="20" t="n">
        <f aca="false">F20*F30</f>
        <v>1176.61226745271</v>
      </c>
      <c r="G31" s="20" t="n">
        <f aca="false">G20*G30</f>
        <v>1259.54051637868</v>
      </c>
    </row>
    <row r="32" customFormat="false" ht="15" hidden="false" customHeight="true" outlineLevel="0" collapsed="false">
      <c r="A32" s="1" t="s">
        <v>144</v>
      </c>
      <c r="B32" s="20" t="n">
        <f aca="false">B26*G30</f>
        <v>21682.8435509374</v>
      </c>
    </row>
    <row r="34" customFormat="false" ht="15" hidden="false" customHeight="true" outlineLevel="0" collapsed="false">
      <c r="A34" s="1" t="s">
        <v>145</v>
      </c>
      <c r="B34" s="20" t="n">
        <f aca="false">SUM(C31:G31)</f>
        <v>5192.21110573162</v>
      </c>
    </row>
    <row r="35" customFormat="false" ht="15" hidden="false" customHeight="true" outlineLevel="0" collapsed="false">
      <c r="A35" s="24" t="s">
        <v>146</v>
      </c>
      <c r="B35" s="25" t="n">
        <f aca="false">(B34+B32)/1000</f>
        <v>26.8750546566691</v>
      </c>
      <c r="F35" s="9" t="n">
        <f aca="false">B35</f>
        <v>26.8750546566691</v>
      </c>
    </row>
  </sheetData>
  <mergeCells count="3">
    <mergeCell ref="A1:H1"/>
    <mergeCell ref="A22:G22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8" min="2" style="1" width="12"/>
  </cols>
  <sheetData>
    <row r="1" customFormat="false" ht="19.5" hidden="false" customHeight="true" outlineLevel="0" collapsed="false">
      <c r="A1" s="14" t="s">
        <v>147</v>
      </c>
      <c r="B1" s="14"/>
      <c r="C1" s="14"/>
      <c r="D1" s="14"/>
      <c r="E1" s="14"/>
      <c r="F1" s="14"/>
      <c r="G1" s="14"/>
      <c r="H1" s="14"/>
    </row>
    <row r="3" customFormat="false" ht="15" hidden="false" customHeight="true" outlineLevel="0" collapsed="false">
      <c r="A3" s="24" t="s">
        <v>148</v>
      </c>
    </row>
    <row r="5" customFormat="false" ht="15" hidden="false" customHeight="true" outlineLevel="0" collapsed="false">
      <c r="A5" s="1" t="s">
        <v>149</v>
      </c>
      <c r="B5" s="21" t="n">
        <f aca="false">Assumptions!B31</f>
        <v>0.0845415</v>
      </c>
    </row>
    <row r="6" customFormat="false" ht="15" hidden="false" customHeight="true" outlineLevel="0" collapsed="false">
      <c r="A6" s="1" t="s">
        <v>150</v>
      </c>
      <c r="B6" s="21" t="n">
        <f aca="false">Assumptions!B10</f>
        <v>0.025</v>
      </c>
    </row>
    <row r="8" customFormat="false" ht="15" hidden="false" customHeight="true" outlineLevel="0" collapsed="false">
      <c r="C8" s="26" t="s">
        <v>137</v>
      </c>
      <c r="D8" s="26"/>
      <c r="E8" s="26"/>
      <c r="F8" s="26"/>
      <c r="G8" s="26"/>
      <c r="H8" s="26"/>
    </row>
    <row r="9" customFormat="false" ht="17.25" hidden="false" customHeight="true" outlineLevel="0" collapsed="false">
      <c r="B9" s="19" t="s">
        <v>76</v>
      </c>
      <c r="C9" s="27" t="n">
        <v>0.015</v>
      </c>
      <c r="D9" s="27" t="n">
        <v>0.02</v>
      </c>
      <c r="E9" s="27" t="n">
        <v>0.025</v>
      </c>
      <c r="F9" s="27" t="n">
        <v>0.03</v>
      </c>
      <c r="G9" s="27" t="n">
        <v>0.035</v>
      </c>
    </row>
    <row r="10" customFormat="false" ht="15" hidden="false" customHeight="true" outlineLevel="0" collapsed="false">
      <c r="B10" s="15" t="n">
        <v>0.07</v>
      </c>
      <c r="C10" s="9" t="n">
        <v>54.56</v>
      </c>
      <c r="D10" s="9" t="n">
        <v>59.49</v>
      </c>
      <c r="E10" s="9" t="n">
        <v>65.51</v>
      </c>
      <c r="F10" s="9" t="n">
        <v>73.04</v>
      </c>
      <c r="G10" s="9" t="n">
        <v>82.71</v>
      </c>
    </row>
    <row r="11" customFormat="false" ht="15" hidden="false" customHeight="true" outlineLevel="0" collapsed="false">
      <c r="B11" s="15" t="n">
        <v>0.075</v>
      </c>
      <c r="C11" s="9" t="n">
        <v>50.46</v>
      </c>
      <c r="D11" s="9" t="n">
        <v>54.56</v>
      </c>
      <c r="E11" s="9" t="n">
        <v>59.49</v>
      </c>
      <c r="F11" s="9" t="n">
        <v>65.51</v>
      </c>
      <c r="G11" s="9" t="n">
        <v>73.04</v>
      </c>
    </row>
    <row r="12" customFormat="false" ht="15" hidden="false" customHeight="true" outlineLevel="0" collapsed="false">
      <c r="B12" s="15" t="n">
        <v>0.08</v>
      </c>
      <c r="C12" s="9" t="n">
        <v>46.99</v>
      </c>
      <c r="D12" s="12" t="n">
        <v>50.46</v>
      </c>
      <c r="E12" s="12" t="n">
        <v>54.56</v>
      </c>
      <c r="F12" s="12" t="n">
        <v>59.49</v>
      </c>
      <c r="G12" s="9" t="n">
        <v>65.51</v>
      </c>
    </row>
    <row r="13" customFormat="false" ht="15" hidden="false" customHeight="true" outlineLevel="0" collapsed="false">
      <c r="B13" s="15" t="n">
        <v>0.085</v>
      </c>
      <c r="C13" s="9" t="n">
        <v>44.01</v>
      </c>
      <c r="D13" s="12" t="n">
        <v>46.99</v>
      </c>
      <c r="E13" s="12" t="n">
        <v>50.46</v>
      </c>
      <c r="F13" s="12" t="n">
        <v>54.56</v>
      </c>
      <c r="G13" s="9" t="n">
        <v>59.49</v>
      </c>
    </row>
    <row r="14" customFormat="false" ht="15" hidden="false" customHeight="true" outlineLevel="0" collapsed="false">
      <c r="B14" s="15" t="n">
        <v>0.09</v>
      </c>
      <c r="C14" s="9" t="n">
        <v>41.43</v>
      </c>
      <c r="D14" s="12" t="n">
        <v>44.01</v>
      </c>
      <c r="E14" s="12" t="n">
        <v>46.99</v>
      </c>
      <c r="F14" s="12" t="n">
        <v>50.46</v>
      </c>
      <c r="G14" s="9" t="n">
        <v>54.56</v>
      </c>
    </row>
    <row r="15" customFormat="false" ht="15" hidden="false" customHeight="true" outlineLevel="0" collapsed="false">
      <c r="B15" s="15" t="n">
        <v>0.095</v>
      </c>
      <c r="C15" s="9" t="n">
        <v>39.17</v>
      </c>
      <c r="D15" s="12" t="n">
        <v>41.43</v>
      </c>
      <c r="E15" s="12" t="n">
        <v>44.01</v>
      </c>
      <c r="F15" s="12" t="n">
        <v>46.99</v>
      </c>
      <c r="G15" s="9" t="n">
        <v>50.46</v>
      </c>
    </row>
    <row r="18" customFormat="false" ht="15" hidden="false" customHeight="true" outlineLevel="0" collapsed="false">
      <c r="A18" s="24" t="s">
        <v>151</v>
      </c>
    </row>
    <row r="20" customFormat="false" ht="15" hidden="false" customHeight="true" outlineLevel="0" collapsed="false">
      <c r="C20" s="26" t="s">
        <v>152</v>
      </c>
      <c r="D20" s="26"/>
      <c r="E20" s="26"/>
      <c r="F20" s="26"/>
      <c r="G20" s="26"/>
    </row>
    <row r="21" customFormat="false" ht="17.25" hidden="false" customHeight="true" outlineLevel="0" collapsed="false">
      <c r="B21" s="19" t="s">
        <v>153</v>
      </c>
      <c r="C21" s="27" t="n">
        <v>0.35</v>
      </c>
      <c r="D21" s="27" t="n">
        <v>0.38</v>
      </c>
      <c r="E21" s="27" t="n">
        <v>0.4</v>
      </c>
      <c r="F21" s="27" t="n">
        <v>0.42</v>
      </c>
      <c r="G21" s="27" t="n">
        <v>0.45</v>
      </c>
    </row>
    <row r="22" customFormat="false" ht="15" hidden="false" customHeight="true" outlineLevel="0" collapsed="false">
      <c r="B22" s="15" t="n">
        <v>0.1</v>
      </c>
      <c r="C22" s="9" t="n">
        <v>38.96</v>
      </c>
      <c r="D22" s="9" t="n">
        <v>41.85</v>
      </c>
      <c r="E22" s="9" t="n">
        <v>43.77</v>
      </c>
      <c r="F22" s="9" t="n">
        <v>45.7</v>
      </c>
      <c r="G22" s="9" t="n">
        <v>48.58</v>
      </c>
    </row>
    <row r="23" customFormat="false" ht="15" hidden="false" customHeight="true" outlineLevel="0" collapsed="false">
      <c r="B23" s="15" t="n">
        <v>0.12</v>
      </c>
      <c r="C23" s="9" t="n">
        <v>42.14</v>
      </c>
      <c r="D23" s="9" t="n">
        <v>45.29</v>
      </c>
      <c r="E23" s="9" t="n">
        <v>47.4</v>
      </c>
      <c r="F23" s="9" t="n">
        <v>49.5</v>
      </c>
      <c r="G23" s="9" t="n">
        <v>52.66</v>
      </c>
    </row>
    <row r="24" customFormat="false" ht="15" hidden="false" customHeight="true" outlineLevel="0" collapsed="false">
      <c r="B24" s="15" t="n">
        <v>0.14</v>
      </c>
      <c r="C24" s="9" t="n">
        <v>45.54</v>
      </c>
      <c r="D24" s="9" t="n">
        <v>48.99</v>
      </c>
      <c r="E24" s="12" t="n">
        <v>51.29</v>
      </c>
      <c r="F24" s="12" t="n">
        <v>53.59</v>
      </c>
      <c r="G24" s="9" t="n">
        <v>57.04</v>
      </c>
    </row>
    <row r="25" customFormat="false" ht="15" hidden="false" customHeight="true" outlineLevel="0" collapsed="false">
      <c r="B25" s="15" t="n">
        <v>0.16</v>
      </c>
      <c r="C25" s="9" t="n">
        <v>49.2</v>
      </c>
      <c r="D25" s="9" t="n">
        <v>52.96</v>
      </c>
      <c r="E25" s="12" t="n">
        <v>55.47</v>
      </c>
      <c r="F25" s="12" t="n">
        <v>57.98</v>
      </c>
      <c r="G25" s="9" t="n">
        <v>61.74</v>
      </c>
    </row>
    <row r="26" customFormat="false" ht="15" hidden="false" customHeight="true" outlineLevel="0" collapsed="false">
      <c r="B26" s="15" t="n">
        <v>0.18</v>
      </c>
      <c r="C26" s="9" t="n">
        <v>53.12</v>
      </c>
      <c r="D26" s="9" t="n">
        <v>57.21</v>
      </c>
      <c r="E26" s="9" t="n">
        <v>59.95</v>
      </c>
      <c r="F26" s="9" t="n">
        <v>62.68</v>
      </c>
      <c r="G26" s="9" t="n">
        <v>66.78</v>
      </c>
    </row>
  </sheetData>
  <mergeCells count="3">
    <mergeCell ref="A1:H1"/>
    <mergeCell ref="C8:H8"/>
    <mergeCell ref="C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25"/>
    <col collapsed="false" customWidth="true" hidden="false" outlineLevel="0" max="5" min="5" style="1" width="15"/>
  </cols>
  <sheetData>
    <row r="1" customFormat="false" ht="19.5" hidden="false" customHeight="true" outlineLevel="0" collapsed="false">
      <c r="A1" s="14" t="s">
        <v>154</v>
      </c>
      <c r="B1" s="14"/>
      <c r="C1" s="14"/>
      <c r="D1" s="14"/>
      <c r="E1" s="14"/>
    </row>
    <row r="3" customFormat="false" ht="17.25" hidden="false" customHeight="true" outlineLevel="0" collapsed="false">
      <c r="A3" s="4" t="s">
        <v>155</v>
      </c>
      <c r="B3" s="4"/>
      <c r="C3" s="4"/>
      <c r="D3" s="4"/>
      <c r="E3" s="4"/>
    </row>
    <row r="4" customFormat="false" ht="15" hidden="false" customHeight="true" outlineLevel="0" collapsed="false">
      <c r="A4" s="1" t="s">
        <v>156</v>
      </c>
    </row>
    <row r="5" customFormat="false" ht="15" hidden="false" customHeight="true" outlineLevel="0" collapsed="false">
      <c r="A5" s="1" t="s">
        <v>157</v>
      </c>
    </row>
    <row r="7" customFormat="false" ht="15" hidden="false" customHeight="true" outlineLevel="0" collapsed="false">
      <c r="A7" s="1" t="s">
        <v>158</v>
      </c>
    </row>
    <row r="8" customFormat="false" ht="15" hidden="false" customHeight="true" outlineLevel="0" collapsed="false">
      <c r="A8" s="1" t="s">
        <v>159</v>
      </c>
    </row>
    <row r="9" customFormat="false" ht="15" hidden="false" customHeight="true" outlineLevel="0" collapsed="false">
      <c r="A9" s="1" t="s">
        <v>160</v>
      </c>
    </row>
    <row r="10" customFormat="false" ht="15" hidden="false" customHeight="true" outlineLevel="0" collapsed="false">
      <c r="A10" s="1" t="s">
        <v>161</v>
      </c>
    </row>
    <row r="12" customFormat="false" ht="15" hidden="false" customHeight="true" outlineLevel="0" collapsed="false">
      <c r="A12" s="1" t="s">
        <v>162</v>
      </c>
    </row>
    <row r="13" customFormat="false" ht="15" hidden="false" customHeight="true" outlineLevel="0" collapsed="false">
      <c r="A13" s="1" t="s">
        <v>163</v>
      </c>
    </row>
    <row r="14" customFormat="false" ht="15" hidden="false" customHeight="true" outlineLevel="0" collapsed="false">
      <c r="A14" s="1" t="s">
        <v>164</v>
      </c>
    </row>
    <row r="16" customFormat="false" ht="15" hidden="false" customHeight="true" outlineLevel="0" collapsed="false">
      <c r="A16" s="1" t="s">
        <v>165</v>
      </c>
    </row>
    <row r="17" customFormat="false" ht="15" hidden="false" customHeight="true" outlineLevel="0" collapsed="false">
      <c r="A17" s="1" t="s">
        <v>166</v>
      </c>
    </row>
    <row r="18" customFormat="false" ht="15" hidden="false" customHeight="true" outlineLevel="0" collapsed="false">
      <c r="A18" s="1" t="s">
        <v>167</v>
      </c>
    </row>
    <row r="19" customFormat="false" ht="15" hidden="false" customHeight="true" outlineLevel="0" collapsed="false">
      <c r="A19" s="1" t="s">
        <v>168</v>
      </c>
    </row>
    <row r="20" customFormat="false" ht="15" hidden="false" customHeight="true" outlineLevel="0" collapsed="false">
      <c r="A20" s="1" t="s">
        <v>169</v>
      </c>
    </row>
    <row r="25" customFormat="false" ht="17.25" hidden="false" customHeight="true" outlineLevel="0" collapsed="false">
      <c r="A25" s="4" t="s">
        <v>170</v>
      </c>
      <c r="B25" s="4"/>
      <c r="C25" s="4"/>
      <c r="D25" s="4"/>
      <c r="E25" s="4"/>
    </row>
    <row r="26" customFormat="false" ht="15" hidden="false" customHeight="true" outlineLevel="0" collapsed="false">
      <c r="A26" s="28" t="s">
        <v>171</v>
      </c>
      <c r="B26" s="28" t="s">
        <v>172</v>
      </c>
      <c r="C26" s="28" t="s">
        <v>173</v>
      </c>
      <c r="D26" s="28" t="s">
        <v>174</v>
      </c>
      <c r="E26" s="28" t="s">
        <v>175</v>
      </c>
    </row>
    <row r="27" customFormat="false" ht="15" hidden="false" customHeight="true" outlineLevel="0" collapsed="false">
      <c r="A27" s="1" t="s">
        <v>176</v>
      </c>
      <c r="B27" s="1" t="s">
        <v>177</v>
      </c>
      <c r="C27" s="1" t="s">
        <v>178</v>
      </c>
      <c r="D27" s="1" t="s">
        <v>179</v>
      </c>
      <c r="E27" s="1" t="s">
        <v>180</v>
      </c>
    </row>
    <row r="28" customFormat="false" ht="15" hidden="false" customHeight="true" outlineLevel="0" collapsed="false">
      <c r="A28" s="1" t="s">
        <v>181</v>
      </c>
      <c r="B28" s="1" t="s">
        <v>182</v>
      </c>
      <c r="C28" s="1" t="s">
        <v>183</v>
      </c>
      <c r="D28" s="1" t="s">
        <v>184</v>
      </c>
      <c r="E28" s="1" t="s">
        <v>185</v>
      </c>
    </row>
    <row r="29" customFormat="false" ht="15" hidden="false" customHeight="true" outlineLevel="0" collapsed="false">
      <c r="A29" s="1" t="s">
        <v>186</v>
      </c>
      <c r="B29" s="1" t="s">
        <v>187</v>
      </c>
      <c r="C29" s="1" t="s">
        <v>183</v>
      </c>
      <c r="D29" s="1" t="s">
        <v>188</v>
      </c>
      <c r="E29" s="1" t="s">
        <v>189</v>
      </c>
    </row>
    <row r="30" customFormat="false" ht="15" hidden="false" customHeight="true" outlineLevel="0" collapsed="false">
      <c r="A30" s="1" t="s">
        <v>190</v>
      </c>
      <c r="B30" s="1" t="s">
        <v>191</v>
      </c>
      <c r="C30" s="1" t="s">
        <v>192</v>
      </c>
      <c r="D30" s="1" t="s">
        <v>116</v>
      </c>
      <c r="E30" s="1" t="s">
        <v>193</v>
      </c>
    </row>
    <row r="31" customFormat="false" ht="15" hidden="false" customHeight="true" outlineLevel="0" collapsed="false">
      <c r="A31" s="1" t="s">
        <v>194</v>
      </c>
      <c r="B31" s="1" t="s">
        <v>195</v>
      </c>
      <c r="C31" s="1" t="s">
        <v>196</v>
      </c>
      <c r="D31" s="1" t="s">
        <v>197</v>
      </c>
      <c r="E31" s="1" t="s">
        <v>198</v>
      </c>
    </row>
    <row r="32" customFormat="false" ht="15" hidden="false" customHeight="true" outlineLevel="0" collapsed="false">
      <c r="A32" s="1" t="s">
        <v>199</v>
      </c>
      <c r="B32" s="1" t="s">
        <v>200</v>
      </c>
      <c r="C32" s="1" t="s">
        <v>201</v>
      </c>
      <c r="D32" s="1" t="s">
        <v>202</v>
      </c>
      <c r="E32" s="1" t="s">
        <v>203</v>
      </c>
    </row>
    <row r="35" customFormat="false" ht="17.25" hidden="false" customHeight="true" outlineLevel="0" collapsed="false">
      <c r="A35" s="4" t="s">
        <v>204</v>
      </c>
      <c r="B35" s="4"/>
      <c r="C35" s="4"/>
      <c r="D35" s="4"/>
      <c r="E35" s="4"/>
    </row>
    <row r="36" customFormat="false" ht="15" hidden="false" customHeight="true" outlineLevel="0" collapsed="false">
      <c r="A36" s="1" t="s">
        <v>205</v>
      </c>
    </row>
    <row r="37" customFormat="false" ht="15" hidden="false" customHeight="true" outlineLevel="0" collapsed="false">
      <c r="A37" s="1" t="s">
        <v>206</v>
      </c>
    </row>
    <row r="38" customFormat="false" ht="15" hidden="false" customHeight="true" outlineLevel="0" collapsed="false">
      <c r="A38" s="1" t="s">
        <v>207</v>
      </c>
    </row>
    <row r="39" customFormat="false" ht="15" hidden="false" customHeight="true" outlineLevel="0" collapsed="false">
      <c r="A39" s="1" t="s">
        <v>208</v>
      </c>
    </row>
    <row r="40" customFormat="false" ht="15" hidden="false" customHeight="true" outlineLevel="0" collapsed="false">
      <c r="A40" s="1" t="s">
        <v>209</v>
      </c>
    </row>
    <row r="41" customFormat="false" ht="15" hidden="false" customHeight="true" outlineLevel="0" collapsed="false">
      <c r="A41" s="1" t="s">
        <v>210</v>
      </c>
    </row>
  </sheetData>
  <mergeCells count="4">
    <mergeCell ref="A1:E1"/>
    <mergeCell ref="A3:E3"/>
    <mergeCell ref="A25:E25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29" t="s">
        <v>211</v>
      </c>
      <c r="B1" s="29"/>
      <c r="C1" s="29"/>
      <c r="D1" s="29"/>
      <c r="E1" s="29"/>
    </row>
    <row r="3" customFormat="false" ht="17.35" hidden="false" customHeight="false" outlineLevel="0" collapsed="false">
      <c r="A3" s="30" t="s">
        <v>212</v>
      </c>
      <c r="B3" s="30"/>
      <c r="C3" s="30"/>
    </row>
    <row r="4" customFormat="false" ht="15" hidden="false" customHeight="false" outlineLevel="0" collapsed="false">
      <c r="A4" s="0" t="s">
        <v>213</v>
      </c>
      <c r="B4" s="31" t="n">
        <f aca="false">'Executive Summary'!B22</f>
        <v>48.9367770400472</v>
      </c>
    </row>
    <row r="5" customFormat="false" ht="15" hidden="false" customHeight="false" outlineLevel="0" collapsed="false">
      <c r="A5" s="0" t="s">
        <v>23</v>
      </c>
      <c r="B5" s="31" t="n">
        <f aca="false">'Executive Summary'!B13</f>
        <v>33.9</v>
      </c>
    </row>
    <row r="6" customFormat="false" ht="15" hidden="false" customHeight="false" outlineLevel="0" collapsed="false">
      <c r="A6" s="0" t="s">
        <v>24</v>
      </c>
      <c r="B6" s="0" t="n">
        <f aca="false">'Executive Summary'!B14</f>
        <v>616</v>
      </c>
    </row>
    <row r="8" customFormat="false" ht="17.35" hidden="false" customHeight="false" outlineLevel="0" collapsed="false">
      <c r="A8" s="30" t="s">
        <v>214</v>
      </c>
      <c r="B8" s="30"/>
      <c r="C8" s="30"/>
    </row>
    <row r="9" customFormat="false" ht="15" hidden="false" customHeight="false" outlineLevel="0" collapsed="false">
      <c r="A9" s="0" t="s">
        <v>215</v>
      </c>
      <c r="B9" s="0" t="n">
        <v>2029</v>
      </c>
    </row>
    <row r="10" customFormat="false" ht="15" hidden="false" customHeight="false" outlineLevel="0" collapsed="false">
      <c r="A10" s="0" t="s">
        <v>216</v>
      </c>
      <c r="B10" s="32" t="n">
        <f aca="false">DCF!G4</f>
        <v>5808.086592</v>
      </c>
    </row>
    <row r="11" customFormat="false" ht="15" hidden="false" customHeight="false" outlineLevel="0" collapsed="false">
      <c r="A11" s="0" t="s">
        <v>217</v>
      </c>
      <c r="B11" s="33" t="n">
        <f aca="false">DCF!G7</f>
        <v>0.4</v>
      </c>
    </row>
    <row r="12" customFormat="false" ht="15" hidden="false" customHeight="false" outlineLevel="0" collapsed="false">
      <c r="A12" s="0" t="s">
        <v>218</v>
      </c>
      <c r="B12" s="32" t="n">
        <f aca="false">B10*B11</f>
        <v>2323.2346368</v>
      </c>
    </row>
    <row r="13" customFormat="false" ht="15" hidden="false" customHeight="false" outlineLevel="0" collapsed="false">
      <c r="A13" s="0" t="s">
        <v>219</v>
      </c>
      <c r="B13" s="32" t="n">
        <f aca="false">DCF!G20</f>
        <v>1814.763056064</v>
      </c>
    </row>
    <row r="15" customFormat="false" ht="15" hidden="false" customHeight="false" outlineLevel="0" collapsed="false">
      <c r="A15" s="0" t="s">
        <v>76</v>
      </c>
      <c r="B15" s="34" t="n">
        <f aca="false">Assumptions!B31</f>
        <v>0.0845415</v>
      </c>
    </row>
    <row r="16" customFormat="false" ht="15" hidden="false" customHeight="false" outlineLevel="0" collapsed="false">
      <c r="A16" s="0" t="s">
        <v>137</v>
      </c>
      <c r="B16" s="33" t="n">
        <f aca="false">Assumptions!B10</f>
        <v>0.025</v>
      </c>
    </row>
    <row r="17" customFormat="false" ht="15" hidden="false" customHeight="false" outlineLevel="0" collapsed="false">
      <c r="A17" s="0" t="s">
        <v>220</v>
      </c>
      <c r="B17" s="32" t="n">
        <f aca="false">B13*(1+B16)/(B15-B16)</f>
        <v>31240.9350195343</v>
      </c>
    </row>
    <row r="18" customFormat="false" ht="15" hidden="false" customHeight="false" outlineLevel="0" collapsed="false">
      <c r="A18" s="0" t="s">
        <v>221</v>
      </c>
      <c r="B18" s="32" t="n">
        <f aca="false">B17</f>
        <v>31240.9350195343</v>
      </c>
    </row>
    <row r="19" customFormat="false" ht="15" hidden="false" customHeight="false" outlineLevel="0" collapsed="false">
      <c r="A19" s="0" t="s">
        <v>222</v>
      </c>
      <c r="B19" s="35" t="n">
        <v>5000</v>
      </c>
    </row>
    <row r="20" customFormat="false" ht="15" hidden="false" customHeight="false" outlineLevel="0" collapsed="false">
      <c r="A20" s="0" t="s">
        <v>223</v>
      </c>
      <c r="B20" s="32" t="n">
        <f aca="false">B18+B19</f>
        <v>36240.9350195343</v>
      </c>
    </row>
    <row r="21" customFormat="false" ht="15" hidden="false" customHeight="false" outlineLevel="0" collapsed="false">
      <c r="A21" s="0" t="s">
        <v>224</v>
      </c>
      <c r="B21" s="36" t="n">
        <f aca="false">B20/B6</f>
        <v>58.8326867200232</v>
      </c>
    </row>
    <row r="23" customFormat="false" ht="17.35" hidden="false" customHeight="false" outlineLevel="0" collapsed="false">
      <c r="A23" s="30" t="s">
        <v>225</v>
      </c>
      <c r="B23" s="30"/>
      <c r="C23" s="30"/>
    </row>
    <row r="24" customFormat="false" ht="15" hidden="false" customHeight="false" outlineLevel="0" collapsed="false">
      <c r="A24" s="0" t="s">
        <v>226</v>
      </c>
      <c r="B24" s="37" t="n">
        <v>0.15</v>
      </c>
    </row>
    <row r="25" customFormat="false" ht="15" hidden="false" customHeight="false" outlineLevel="0" collapsed="false">
      <c r="A25" s="0" t="s">
        <v>227</v>
      </c>
      <c r="B25" s="38" t="n">
        <v>5</v>
      </c>
    </row>
    <row r="26" customFormat="false" ht="15" hidden="false" customHeight="false" outlineLevel="0" collapsed="false">
      <c r="A26" s="0" t="s">
        <v>228</v>
      </c>
      <c r="B26" s="39" t="n">
        <f aca="false">B21/((1+B24)^B25)</f>
        <v>29.2502431122882</v>
      </c>
    </row>
    <row r="28" customFormat="false" ht="15" hidden="false" customHeight="false" outlineLevel="0" collapsed="false">
      <c r="A28" s="0" t="s">
        <v>229</v>
      </c>
      <c r="B28" s="33" t="n">
        <f aca="false">(B5-B26)/B5</f>
        <v>0.137160970138992</v>
      </c>
    </row>
    <row r="29" customFormat="false" ht="15" hidden="false" customHeight="false" outlineLevel="0" collapsed="false">
      <c r="A29" s="0" t="s">
        <v>230</v>
      </c>
      <c r="B29" s="33" t="n">
        <f aca="false">(B21-B26)/B26</f>
        <v>1.0113571875</v>
      </c>
    </row>
    <row r="32" customFormat="false" ht="15" hidden="false" customHeight="false" outlineLevel="0" collapsed="false">
      <c r="A32" s="40" t="s">
        <v>231</v>
      </c>
      <c r="B32" s="40"/>
      <c r="C32" s="40"/>
    </row>
    <row r="33" customFormat="false" ht="15" hidden="false" customHeight="false" outlineLevel="0" collapsed="false">
      <c r="A33" s="41" t="s">
        <v>226</v>
      </c>
      <c r="B33" s="41" t="s">
        <v>232</v>
      </c>
      <c r="C33" s="41" t="s">
        <v>233</v>
      </c>
    </row>
    <row r="34" customFormat="false" ht="15" hidden="false" customHeight="false" outlineLevel="0" collapsed="false">
      <c r="A34" s="33" t="n">
        <v>0.1</v>
      </c>
      <c r="B34" s="31" t="n">
        <f aca="false">$B$21/((1+A34)^$B$25)</f>
        <v>36.5304696773216</v>
      </c>
      <c r="C34" s="33" t="n">
        <f aca="false">(B34-$B$5)/$B$5</f>
        <v>0.0775949757321995</v>
      </c>
    </row>
    <row r="35" customFormat="false" ht="15" hidden="false" customHeight="false" outlineLevel="0" collapsed="false">
      <c r="A35" s="33" t="n">
        <v>0.12</v>
      </c>
      <c r="B35" s="31" t="n">
        <f aca="false">$B$21/((1+A35)^$B$25)</f>
        <v>33.3832464390201</v>
      </c>
      <c r="C35" s="33" t="n">
        <f aca="false">(B35-$B$5)/$B$5</f>
        <v>-0.0152434678755122</v>
      </c>
    </row>
    <row r="36" customFormat="false" ht="15" hidden="false" customHeight="false" outlineLevel="0" collapsed="false">
      <c r="A36" s="42" t="n">
        <v>0.15</v>
      </c>
      <c r="B36" s="43" t="n">
        <f aca="false">$B$21/((1+A36)^$B$25)</f>
        <v>29.2502431122882</v>
      </c>
      <c r="C36" s="42" t="n">
        <f aca="false">(B36-$B$5)/$B$5</f>
        <v>-0.137160970138992</v>
      </c>
    </row>
    <row r="37" customFormat="false" ht="15" hidden="false" customHeight="false" outlineLevel="0" collapsed="false">
      <c r="A37" s="33" t="n">
        <v>0.18</v>
      </c>
      <c r="B37" s="31" t="n">
        <f aca="false">$B$21/((1+A37)^$B$25)</f>
        <v>25.7163095809214</v>
      </c>
      <c r="C37" s="33" t="n">
        <f aca="false">(B37-$B$5)/$B$5</f>
        <v>-0.241406797022966</v>
      </c>
    </row>
    <row r="38" customFormat="false" ht="15" hidden="false" customHeight="false" outlineLevel="0" collapsed="false">
      <c r="A38" s="33" t="n">
        <v>0.2</v>
      </c>
      <c r="B38" s="31" t="n">
        <f aca="false">$B$21/((1+A38)^$B$25)</f>
        <v>23.643537294248</v>
      </c>
      <c r="C38" s="33" t="n">
        <f aca="false">(B38-$B$5)/$B$5</f>
        <v>-0.302550522293569</v>
      </c>
    </row>
    <row r="39" customFormat="false" ht="15" hidden="false" customHeight="false" outlineLevel="0" collapsed="false">
      <c r="A39" s="33" t="n">
        <v>0.25</v>
      </c>
      <c r="B39" s="31" t="n">
        <f aca="false">$B$21/((1+A39)^$B$25)</f>
        <v>19.2782947844172</v>
      </c>
      <c r="C39" s="33" t="n">
        <f aca="false">(B39-$B$5)/$B$5</f>
        <v>-0.431318737922797</v>
      </c>
    </row>
    <row r="42" customFormat="false" ht="15" hidden="false" customHeight="false" outlineLevel="0" collapsed="false">
      <c r="A42" s="40" t="s">
        <v>234</v>
      </c>
      <c r="B42" s="40"/>
      <c r="C42" s="40"/>
    </row>
    <row r="43" customFormat="false" ht="15" hidden="false" customHeight="false" outlineLevel="0" collapsed="false">
      <c r="A43" s="41" t="s">
        <v>235</v>
      </c>
      <c r="B43" s="41" t="s">
        <v>232</v>
      </c>
      <c r="C43" s="41" t="s">
        <v>84</v>
      </c>
    </row>
    <row r="44" customFormat="false" ht="15" hidden="false" customHeight="false" outlineLevel="0" collapsed="false">
      <c r="A44" s="0" t="n">
        <v>3</v>
      </c>
      <c r="B44" s="31" t="n">
        <f aca="false">$B$4*(1.1)^3/((1+0.15)^3)</f>
        <v>42.8272213300257</v>
      </c>
      <c r="C44" s="0" t="s">
        <v>236</v>
      </c>
    </row>
    <row r="45" customFormat="false" ht="15" hidden="false" customHeight="false" outlineLevel="0" collapsed="false">
      <c r="A45" s="44" t="n">
        <v>5</v>
      </c>
      <c r="B45" s="43" t="n">
        <f aca="false">$B$21/((1+0.15)^5)</f>
        <v>29.2502431122882</v>
      </c>
      <c r="C45" s="0" t="s">
        <v>237</v>
      </c>
    </row>
    <row r="46" customFormat="false" ht="15" hidden="false" customHeight="false" outlineLevel="0" collapsed="false">
      <c r="A46" s="0" t="n">
        <v>7</v>
      </c>
      <c r="B46" s="31" t="n">
        <f aca="false">$B$4*(1.1)^7/((1+0.15)^7)</f>
        <v>35.8508351524134</v>
      </c>
      <c r="C46" s="0" t="s">
        <v>238</v>
      </c>
    </row>
    <row r="47" customFormat="false" ht="15" hidden="false" customHeight="false" outlineLevel="0" collapsed="false">
      <c r="A47" s="0" t="n">
        <v>10</v>
      </c>
      <c r="B47" s="31" t="n">
        <f aca="false">$B$4*(1.1)^10/((1+0.15)^10)</f>
        <v>31.3750055644693</v>
      </c>
      <c r="C47" s="0" t="s">
        <v>239</v>
      </c>
    </row>
  </sheetData>
  <mergeCells count="6">
    <mergeCell ref="A1:E1"/>
    <mergeCell ref="A3:C3"/>
    <mergeCell ref="A8:C8"/>
    <mergeCell ref="A23:C23"/>
    <mergeCell ref="A32:C32"/>
    <mergeCell ref="A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2026-01-10T03:45:58Z</dcterms:created>
  <dc:creator>openpyxl</dc:creator>
  <dc:description/>
  <dc:language>en-US</dc:language>
  <cp:lastModifiedBy/>
  <dcterms:modified xsi:type="dcterms:W3CDTF">2026-01-10T04:06:27Z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