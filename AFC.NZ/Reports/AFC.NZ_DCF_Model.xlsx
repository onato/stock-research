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enario Valuation" sheetId="1" state="visible" r:id="rId1"/>
    <sheet xmlns:r="http://schemas.openxmlformats.org/officeDocument/2006/relationships" name="Sensitivity" sheetId="2" state="visible" r:id="rId2"/>
    <sheet xmlns:r="http://schemas.openxmlformats.org/officeDocument/2006/relationships" name="Burn Rate Projection" sheetId="3" state="visible" r:id="rId3"/>
    <sheet xmlns:r="http://schemas.openxmlformats.org/officeDocument/2006/relationships" name="Historical" sheetId="4" state="visible" r:id="rId4"/>
    <sheet xmlns:r="http://schemas.openxmlformats.org/officeDocument/2006/relationships" name="FCF Quality" sheetId="5" state="visible" r:id="rId5"/>
    <sheet xmlns:r="http://schemas.openxmlformats.org/officeDocument/2006/relationships" name="Model_Info" sheetId="6" state="visible" r:id="rId6"/>
  </sheets>
  <definedNames/>
  <calcPr calcId="124519" fullCalcOnLoad="1"/>
</workbook>
</file>

<file path=xl/styles.xml><?xml version="1.0" encoding="utf-8"?>
<styleSheet xmlns="http://schemas.openxmlformats.org/spreadsheetml/2006/main">
  <numFmts count="5">
    <numFmt numFmtId="164" formatCode="&quot;$&quot;#,##0.0000000"/>
    <numFmt numFmtId="165" formatCode="#,##0.000"/>
    <numFmt numFmtId="166" formatCode="0.0%"/>
    <numFmt numFmtId="167" formatCode="0.0&quot;x&quot;"/>
    <numFmt numFmtId="168" formatCode="&quot;$&quot;#,##0"/>
  </numFmts>
  <fonts count="6">
    <font>
      <name val="Calibri"/>
      <family val="2"/>
      <color theme="1"/>
      <sz val="11"/>
      <scheme val="minor"/>
    </font>
    <font>
      <b val="1"/>
      <sz val="16"/>
    </font>
    <font>
      <i val="1"/>
      <color rgb="00808080"/>
    </font>
    <font>
      <b val="1"/>
      <sz val="12"/>
      <u val="single"/>
    </font>
    <font>
      <b val="1"/>
      <color rgb="00FFFFFF"/>
    </font>
    <font>
      <b val="1"/>
    </font>
  </fonts>
  <fills count="7">
    <fill>
      <patternFill/>
    </fill>
    <fill>
      <patternFill patternType="gray125"/>
    </fill>
    <fill>
      <patternFill patternType="solid">
        <fgColor rgb="00dfe6e9"/>
        <bgColor rgb="00dfe6e9"/>
      </patternFill>
    </fill>
    <fill>
      <patternFill patternType="solid">
        <fgColor rgb="00d63031"/>
        <bgColor rgb="00d63031"/>
      </patternFill>
    </fill>
    <fill>
      <patternFill patternType="solid">
        <fgColor rgb="0000b894"/>
        <bgColor rgb="0000b894"/>
      </patternFill>
    </fill>
    <fill>
      <patternFill patternType="solid">
        <fgColor rgb="00fdcb6e"/>
        <bgColor rgb="00fdcb6e"/>
      </patternFill>
    </fill>
    <fill>
      <patternFill patternType="solid">
        <fgColor rgb="002d3436"/>
        <bgColor rgb="002d3436"/>
      </patternFill>
    </fill>
  </fills>
  <borders count="2">
    <border>
      <left/>
      <right/>
      <top/>
      <bottom/>
      <diagonal/>
    </border>
    <border>
      <left style="thin">
        <color rgb="00B2BEC3"/>
      </left>
      <right style="thin">
        <color rgb="00B2BEC3"/>
      </right>
      <top style="thin">
        <color rgb="00B2BEC3"/>
      </top>
      <bottom style="thin">
        <color rgb="00B2BEC3"/>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164" fontId="0" fillId="2" borderId="1" pivotButton="0" quotePrefix="0" xfId="0"/>
    <xf numFmtId="165" fontId="0" fillId="2" borderId="1" pivotButton="0" quotePrefix="0" xfId="0"/>
    <xf numFmtId="3" fontId="0" fillId="0" borderId="1" pivotButton="0" quotePrefix="0" xfId="0"/>
    <xf numFmtId="3" fontId="0" fillId="2" borderId="1" pivotButton="0" quotePrefix="0" xfId="0"/>
    <xf numFmtId="164" fontId="4" fillId="3" borderId="1" pivotButton="0" quotePrefix="0" xfId="0"/>
    <xf numFmtId="166" fontId="0" fillId="0" borderId="1" pivotButton="0" quotePrefix="0" xfId="0"/>
    <xf numFmtId="164" fontId="4" fillId="4" borderId="1" pivotButton="0" quotePrefix="0" xfId="0"/>
    <xf numFmtId="166" fontId="0" fillId="2" borderId="1" pivotButton="0" quotePrefix="0" xfId="0"/>
    <xf numFmtId="1" fontId="0" fillId="2" borderId="1" pivotButton="0" quotePrefix="0" xfId="0"/>
    <xf numFmtId="0" fontId="0" fillId="5" borderId="0" pivotButton="0" quotePrefix="0" xfId="0"/>
    <xf numFmtId="167" fontId="0" fillId="0" borderId="1" pivotButton="0" quotePrefix="0" xfId="0"/>
    <xf numFmtId="0" fontId="4" fillId="6" borderId="0" pivotButton="0" quotePrefix="0" xfId="0"/>
    <xf numFmtId="168" fontId="4" fillId="6" borderId="0" pivotButton="0" quotePrefix="0" xfId="0"/>
    <xf numFmtId="166" fontId="4" fillId="6" borderId="0" pivotButton="0" quotePrefix="0" xfId="0"/>
    <xf numFmtId="164" fontId="0" fillId="0" borderId="1" pivotButton="0" quotePrefix="0" xfId="0"/>
    <xf numFmtId="3" fontId="0" fillId="0" borderId="0" pivotButton="0" quotePrefix="0" xfId="0"/>
    <xf numFmtId="166" fontId="0" fillId="0" borderId="0" pivotButton="0" quotePrefix="0" xfId="0"/>
    <xf numFmtId="0" fontId="5"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3"/>
  <sheetViews>
    <sheetView workbookViewId="0">
      <selection activeCell="A1" sqref="A1"/>
    </sheetView>
  </sheetViews>
  <sheetFormatPr baseColWidth="8" defaultRowHeight="15"/>
  <cols>
    <col width="34" customWidth="1" min="1" max="1"/>
    <col width="16" customWidth="1" min="2" max="2"/>
    <col width="16" customWidth="1" min="3" max="3"/>
    <col width="16" customWidth="1" min="4" max="4"/>
    <col width="16" customWidth="1" min="5" max="5"/>
  </cols>
  <sheetData>
    <row r="1">
      <c r="A1" s="1" t="inlineStr">
        <is>
          <t>AFC.NZ - Scenario / Asset Valuation Model</t>
        </is>
      </c>
    </row>
    <row r="2">
      <c r="A2" s="2" t="inlineStr">
        <is>
          <t>NOT a growth DCF. Going-concern shell trading at the NZX minimum tick. Gray cells are inputs.</t>
        </is>
      </c>
    </row>
    <row r="4">
      <c r="A4" s="3" t="inlineStr">
        <is>
          <t>KEY INPUTS</t>
        </is>
      </c>
    </row>
    <row r="5">
      <c r="A5" t="inlineStr">
        <is>
          <t>Current Stock Price (NZ$)</t>
        </is>
      </c>
      <c r="B5" s="4" t="n">
        <v>0.001</v>
      </c>
    </row>
    <row r="6">
      <c r="A6" t="inlineStr">
        <is>
          <t>Shares Outstanding (millions)</t>
        </is>
      </c>
      <c r="B6" s="5" t="n">
        <v>3664.253194</v>
      </c>
    </row>
    <row r="7">
      <c r="A7" t="inlineStr">
        <is>
          <t>Shares Outstanding (absolute)</t>
        </is>
      </c>
      <c r="B7" s="6">
        <f>B6*1000000</f>
        <v/>
      </c>
    </row>
    <row r="8">
      <c r="A8" t="inlineStr">
        <is>
          <t>FY2026 Shareholders' Equity (NZ$)</t>
        </is>
      </c>
      <c r="B8" s="7" t="n">
        <v>206390</v>
      </c>
    </row>
    <row r="9">
      <c r="A9" t="inlineStr">
        <is>
          <t>FY2026 Cash (of which restricted NZ$37,345)</t>
        </is>
      </c>
      <c r="B9" s="7" t="n">
        <v>39437</v>
      </c>
    </row>
    <row r="10">
      <c r="A10" t="inlineStr">
        <is>
          <t>FY2026 Total Debt (NZ$)</t>
        </is>
      </c>
      <c r="B10" s="7" t="n">
        <v>169364</v>
      </c>
    </row>
    <row r="11">
      <c r="A11" t="inlineStr">
        <is>
          <t>Related-Party Payable to NZSG (NZ$)</t>
        </is>
      </c>
      <c r="B11" s="7" t="n">
        <v>1170427</v>
      </c>
    </row>
    <row r="12">
      <c r="A12" s="2" t="inlineStr">
        <is>
          <t>Note: net debt is already embedded in the equity figure above - do not subtract again.</t>
        </is>
      </c>
    </row>
    <row r="13"/>
    <row r="14">
      <c r="A14" s="3" t="inlineStr">
        <is>
          <t>BEAR CASE - Insolvency / Wind-Up</t>
        </is>
      </c>
    </row>
    <row r="15">
      <c r="A15" s="2" t="inlineStr">
        <is>
          <t>Narrative: shareholder support withdrawn; realizable assets &lt; liabilities in a forced wind-up.</t>
        </is>
      </c>
    </row>
    <row r="16">
      <c r="A16" t="inlineStr">
        <is>
          <t>Intrinsic Value / Share (NZ$)</t>
        </is>
      </c>
      <c r="B16" s="8" t="n">
        <v>0</v>
      </c>
    </row>
    <row r="17">
      <c r="A17" t="inlineStr">
        <is>
          <t>Upside/(Downside) vs Current Price</t>
        </is>
      </c>
      <c r="B17" s="9">
        <f>(B16-B5)/B5</f>
        <v/>
      </c>
    </row>
    <row r="18"/>
    <row r="19">
      <c r="A19" s="3" t="inlineStr">
        <is>
          <t>BASE CASE - Shell Persists on Life Support</t>
        </is>
      </c>
    </row>
    <row r="20">
      <c r="A20" s="2" t="inlineStr">
        <is>
          <t>Narrative: NZSG continues discretionary funding/forgiveness; no RTO; sub-scale ops continue.</t>
        </is>
      </c>
    </row>
    <row r="21">
      <c r="A21" t="inlineStr">
        <is>
          <t>Shell Scarcity Value Assumption (NZ$)</t>
        </is>
      </c>
      <c r="B21" s="7" t="n">
        <v>500000</v>
      </c>
    </row>
    <row r="22">
      <c r="A22" t="inlineStr">
        <is>
          <t>Base Case Equity Value (NZ$)</t>
        </is>
      </c>
      <c r="B22" s="6">
        <f>B8+B21</f>
        <v/>
      </c>
    </row>
    <row r="23">
      <c r="A23" t="inlineStr">
        <is>
          <t>Intrinsic Value / Share (NZ$)</t>
        </is>
      </c>
      <c r="B23" s="10">
        <f>B22/B7</f>
        <v/>
      </c>
    </row>
    <row r="24">
      <c r="A24" t="inlineStr">
        <is>
          <t>Upside/(Downside) vs Current Price</t>
        </is>
      </c>
      <c r="B24" s="9">
        <f>(B23-B5)/B5</f>
        <v/>
      </c>
    </row>
    <row r="25"/>
    <row r="26">
      <c r="A26" s="3" t="inlineStr">
        <is>
          <t>BULL CASE - RTO Completes (Speculative Option Value)</t>
        </is>
      </c>
    </row>
    <row r="27">
      <c r="A27" s="2" t="inlineStr">
        <is>
          <t>Narrative: Fast Track Group (or other) RTO completes; existing holders retain minority stake.</t>
        </is>
      </c>
    </row>
    <row r="28">
      <c r="A28" t="inlineStr">
        <is>
          <t>Upper-Precedent Shell Value (NZ$)</t>
        </is>
      </c>
      <c r="B28" s="7" t="n">
        <v>2500000</v>
      </c>
    </row>
    <row r="29">
      <c r="A29" t="inlineStr">
        <is>
          <t>Intrinsic Value / Share (NZ$)</t>
        </is>
      </c>
      <c r="B29" s="10">
        <f>B28/B7</f>
        <v/>
      </c>
    </row>
    <row r="30">
      <c r="A30" t="inlineStr">
        <is>
          <t>Upside/(Downside) vs Current Price</t>
        </is>
      </c>
      <c r="B30" s="9">
        <f>(B29-B5)/B5</f>
        <v/>
      </c>
    </row>
    <row r="31"/>
    <row r="32">
      <c r="A32" s="3" t="inlineStr">
        <is>
          <t>PROBABILITY-WEIGHTED VALUATION</t>
        </is>
      </c>
    </row>
    <row r="33">
      <c r="A33" t="inlineStr">
        <is>
          <t>Weight - Bear</t>
        </is>
      </c>
      <c r="B33" s="11" t="n">
        <v>0.55</v>
      </c>
    </row>
    <row r="34">
      <c r="A34" t="inlineStr">
        <is>
          <t>Weight - Base</t>
        </is>
      </c>
      <c r="B34" s="11" t="n">
        <v>0.35</v>
      </c>
    </row>
    <row r="35">
      <c r="A35" t="inlineStr">
        <is>
          <t>Weight - Bull</t>
        </is>
      </c>
      <c r="B35" s="11" t="n">
        <v>0.1</v>
      </c>
    </row>
    <row r="36">
      <c r="A36" t="inlineStr">
        <is>
          <t>Weights sum check (should = 100%)</t>
        </is>
      </c>
      <c r="B36" s="9">
        <f>B33+B34+B35</f>
        <v/>
      </c>
    </row>
    <row r="37">
      <c r="A37" t="inlineStr">
        <is>
          <t>Weighted Intrinsic Value / Share (NZ$)</t>
        </is>
      </c>
      <c r="B37" s="10">
        <f>B16*B33+B23*B34+B29*B35</f>
        <v/>
      </c>
    </row>
    <row r="38">
      <c r="A38" t="inlineStr">
        <is>
          <t>Weighted Upside/(Downside) vs Current Price</t>
        </is>
      </c>
      <c r="B38" s="9">
        <f>(B37-B5)/B5</f>
        <v/>
      </c>
    </row>
    <row r="39"/>
    <row r="40">
      <c r="A40" s="3" t="inlineStr">
        <is>
          <t>ENTRY PRICE (15% IRR Hurdle, Base Case)</t>
        </is>
      </c>
    </row>
    <row r="41">
      <c r="A41" t="inlineStr">
        <is>
          <t>Hurdle Rate</t>
        </is>
      </c>
      <c r="B41" s="11" t="n">
        <v>0.15</v>
      </c>
    </row>
    <row r="42">
      <c r="A42" t="inlineStr">
        <is>
          <t>Years to Exit</t>
        </is>
      </c>
      <c r="B42" s="12" t="n">
        <v>5</v>
      </c>
    </row>
    <row r="43">
      <c r="A43" t="inlineStr">
        <is>
          <t>Interim Distributions (dividends/buybacks)</t>
        </is>
      </c>
      <c r="B43" s="7" t="n">
        <v>0</v>
      </c>
    </row>
    <row r="44">
      <c r="A44" t="inlineStr">
        <is>
          <t>Exit Equity Value in Year 5 (= Base Case Equity Value)</t>
        </is>
      </c>
      <c r="B44" s="6">
        <f>B22</f>
        <v/>
      </c>
    </row>
    <row r="45">
      <c r="A45" t="inlineStr">
        <is>
          <t>PV of Exit Value at Hurdle Rate</t>
        </is>
      </c>
      <c r="B45" s="6">
        <f>B44/(1+B41)^B42</f>
        <v/>
      </c>
    </row>
    <row r="46">
      <c r="A46" t="inlineStr">
        <is>
          <t>Entry Price / Share (NZ$)</t>
        </is>
      </c>
      <c r="B46" s="10">
        <f>B45/B7</f>
        <v/>
      </c>
    </row>
    <row r="47">
      <c r="A47" t="inlineStr">
        <is>
          <t>Discount of Entry Price to Current Price</t>
        </is>
      </c>
      <c r="B47" s="9">
        <f>(B5-B46)/B5</f>
        <v/>
      </c>
    </row>
    <row r="48">
      <c r="A48" s="13" t="inlineStr">
        <is>
          <t>WARNING: computed entry price is BELOW the NZX minimum tick (NZ$0.001) and is UNTRADEABLE.</t>
        </is>
      </c>
    </row>
    <row r="49"/>
    <row r="50">
      <c r="A50" s="3" t="inlineStr">
        <is>
          <t>SANITY CHECK</t>
        </is>
      </c>
    </row>
    <row r="51">
      <c r="A51" t="inlineStr">
        <is>
          <t>Market Cap at Current Price (NZ$)</t>
        </is>
      </c>
      <c r="B51" s="6">
        <f>B5*B7</f>
        <v/>
      </c>
    </row>
    <row r="52">
      <c r="A52" t="inlineStr">
        <is>
          <t>Implied Price/Book at Current Price</t>
        </is>
      </c>
      <c r="B52" s="14">
        <f>B51/B8</f>
        <v/>
      </c>
    </row>
    <row r="53">
      <c r="A53" s="2" t="inlineStr">
        <is>
          <t>Diagnosis: market price floor / option value, not fundamentals</t>
        </is>
      </c>
    </row>
  </sheetData>
  <mergeCells count="1">
    <mergeCell ref="A48:D4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20" customWidth="1" min="1" max="1"/>
    <col width="14" customWidth="1" min="2" max="2"/>
    <col width="14" customWidth="1" min="3" max="3"/>
    <col width="14" customWidth="1" min="4" max="4"/>
    <col width="14" customWidth="1" min="5" max="5"/>
    <col width="14" customWidth="1" min="6" max="6"/>
  </cols>
  <sheetData>
    <row r="1">
      <c r="A1" s="1" t="inlineStr">
        <is>
          <t>Sensitivity Analysis - Base Case Intrinsic Value</t>
        </is>
      </c>
    </row>
    <row r="2">
      <c r="A2" s="2" t="inlineStr">
        <is>
          <t>Rows: equity haircut (uncertainty on realizability of FY2026 book equity). Columns: shell scarcity value assumption.</t>
        </is>
      </c>
    </row>
    <row r="4">
      <c r="A4" s="15" t="inlineStr">
        <is>
          <t>Haircut \ Shell $</t>
        </is>
      </c>
      <c r="B4" s="16" t="n">
        <v>0</v>
      </c>
      <c r="C4" s="16" t="n">
        <v>250000</v>
      </c>
      <c r="D4" s="16" t="n">
        <v>500000</v>
      </c>
      <c r="E4" s="16" t="n">
        <v>750000</v>
      </c>
      <c r="F4" s="16" t="n">
        <v>1000000</v>
      </c>
    </row>
    <row r="5">
      <c r="A5" s="17" t="n">
        <v>0</v>
      </c>
      <c r="B5" s="18">
        <f>('Scenario Valuation'!$B$8*(1-$A5)+B$4)/'Scenario Valuation'!$B$7</f>
        <v/>
      </c>
      <c r="C5" s="18">
        <f>('Scenario Valuation'!$B$8*(1-$A5)+C$4)/'Scenario Valuation'!$B$7</f>
        <v/>
      </c>
      <c r="D5" s="18">
        <f>('Scenario Valuation'!$B$8*(1-$A5)+D$4)/'Scenario Valuation'!$B$7</f>
        <v/>
      </c>
      <c r="E5" s="18">
        <f>('Scenario Valuation'!$B$8*(1-$A5)+E$4)/'Scenario Valuation'!$B$7</f>
        <v/>
      </c>
      <c r="F5" s="18">
        <f>('Scenario Valuation'!$B$8*(1-$A5)+F$4)/'Scenario Valuation'!$B$7</f>
        <v/>
      </c>
    </row>
    <row r="6">
      <c r="A6" s="17" t="n">
        <v>0.25</v>
      </c>
      <c r="B6" s="18">
        <f>('Scenario Valuation'!$B$8*(1-$A6)+B$4)/'Scenario Valuation'!$B$7</f>
        <v/>
      </c>
      <c r="C6" s="18">
        <f>('Scenario Valuation'!$B$8*(1-$A6)+C$4)/'Scenario Valuation'!$B$7</f>
        <v/>
      </c>
      <c r="D6" s="18">
        <f>('Scenario Valuation'!$B$8*(1-$A6)+D$4)/'Scenario Valuation'!$B$7</f>
        <v/>
      </c>
      <c r="E6" s="18">
        <f>('Scenario Valuation'!$B$8*(1-$A6)+E$4)/'Scenario Valuation'!$B$7</f>
        <v/>
      </c>
      <c r="F6" s="18">
        <f>('Scenario Valuation'!$B$8*(1-$A6)+F$4)/'Scenario Valuation'!$B$7</f>
        <v/>
      </c>
    </row>
    <row r="7">
      <c r="A7" s="17" t="n">
        <v>0.5</v>
      </c>
      <c r="B7" s="18">
        <f>('Scenario Valuation'!$B$8*(1-$A7)+B$4)/'Scenario Valuation'!$B$7</f>
        <v/>
      </c>
      <c r="C7" s="18">
        <f>('Scenario Valuation'!$B$8*(1-$A7)+C$4)/'Scenario Valuation'!$B$7</f>
        <v/>
      </c>
      <c r="D7" s="18">
        <f>('Scenario Valuation'!$B$8*(1-$A7)+D$4)/'Scenario Valuation'!$B$7</f>
        <v/>
      </c>
      <c r="E7" s="18">
        <f>('Scenario Valuation'!$B$8*(1-$A7)+E$4)/'Scenario Valuation'!$B$7</f>
        <v/>
      </c>
      <c r="F7" s="18">
        <f>('Scenario Valuation'!$B$8*(1-$A7)+F$4)/'Scenario Valuation'!$B$7</f>
        <v/>
      </c>
    </row>
    <row r="8">
      <c r="A8" s="17" t="n">
        <v>0.75</v>
      </c>
      <c r="B8" s="18">
        <f>('Scenario Valuation'!$B$8*(1-$A8)+B$4)/'Scenario Valuation'!$B$7</f>
        <v/>
      </c>
      <c r="C8" s="18">
        <f>('Scenario Valuation'!$B$8*(1-$A8)+C$4)/'Scenario Valuation'!$B$7</f>
        <v/>
      </c>
      <c r="D8" s="18">
        <f>('Scenario Valuation'!$B$8*(1-$A8)+D$4)/'Scenario Valuation'!$B$7</f>
        <v/>
      </c>
      <c r="E8" s="18">
        <f>('Scenario Valuation'!$B$8*(1-$A8)+E$4)/'Scenario Valuation'!$B$7</f>
        <v/>
      </c>
      <c r="F8" s="18">
        <f>('Scenario Valuation'!$B$8*(1-$A8)+F$4)/'Scenario Valuation'!$B$7</f>
        <v/>
      </c>
    </row>
    <row r="9">
      <c r="A9" s="17" t="n">
        <v>1</v>
      </c>
      <c r="B9" s="18">
        <f>('Scenario Valuation'!$B$8*(1-$A9)+B$4)/'Scenario Valuation'!$B$7</f>
        <v/>
      </c>
      <c r="C9" s="18">
        <f>('Scenario Valuation'!$B$8*(1-$A9)+C$4)/'Scenario Valuation'!$B$7</f>
        <v/>
      </c>
      <c r="D9" s="18">
        <f>('Scenario Valuation'!$B$8*(1-$A9)+D$4)/'Scenario Valuation'!$B$7</f>
        <v/>
      </c>
      <c r="E9" s="18">
        <f>('Scenario Valuation'!$B$8*(1-$A9)+E$4)/'Scenario Valuation'!$B$7</f>
        <v/>
      </c>
      <c r="F9" s="18">
        <f>('Scenario Valuation'!$B$8*(1-$A9)+F$4)/'Scenario Valuation'!$B$7</f>
        <v/>
      </c>
    </row>
    <row r="11">
      <c r="A11" s="2" t="inlineStr">
        <is>
          <t>Every cell in this grid remains far below the current NZ$0.001 price.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s>
  <sheetData>
    <row r="1">
      <c r="A1" s="1" t="inlineStr">
        <is>
          <t>Cash Burn Projections by Scenario (NZ$)</t>
        </is>
      </c>
    </row>
    <row r="2">
      <c r="A2" s="2" t="inlineStr">
        <is>
          <t>Shown for disclosure/transparency. Base-case burn is assumed funded externally (NZSG loans/forgiveness) and is a wash against the tangible-equity valuation - not subtracted a second time.</t>
        </is>
      </c>
    </row>
    <row r="4">
      <c r="A4" s="15" t="inlineStr">
        <is>
          <t>Scenario</t>
        </is>
      </c>
      <c r="B4" s="15" t="inlineStr">
        <is>
          <t>FY2027</t>
        </is>
      </c>
      <c r="C4" s="15" t="inlineStr">
        <is>
          <t>FY2028</t>
        </is>
      </c>
      <c r="D4" s="15" t="inlineStr">
        <is>
          <t>FY2029</t>
        </is>
      </c>
      <c r="E4" s="15" t="inlineStr">
        <is>
          <t>FY2030</t>
        </is>
      </c>
      <c r="F4" s="15" t="inlineStr">
        <is>
          <t>FY2031</t>
        </is>
      </c>
    </row>
    <row r="5">
      <c r="A5" t="inlineStr">
        <is>
          <t>Base - Operating Cash Burn</t>
        </is>
      </c>
      <c r="B5" s="19" t="n">
        <v>-480000</v>
      </c>
      <c r="C5" s="19" t="n">
        <v>-400000</v>
      </c>
      <c r="D5" s="19" t="n">
        <v>-340000</v>
      </c>
      <c r="E5" s="19" t="n">
        <v>-300000</v>
      </c>
      <c r="F5" s="19" t="n">
        <v>-280000</v>
      </c>
    </row>
    <row r="6">
      <c r="A6" t="inlineStr">
        <is>
          <t>Base - Revenue (de minimis)</t>
        </is>
      </c>
      <c r="B6" s="19" t="n">
        <v>140000</v>
      </c>
      <c r="C6" s="19" t="n">
        <v>125000</v>
      </c>
      <c r="D6" s="19" t="n">
        <v>115000</v>
      </c>
      <c r="E6" s="19" t="n">
        <v>105000</v>
      </c>
      <c r="F6" s="19" t="n">
        <v>100000</v>
      </c>
    </row>
    <row r="7">
      <c r="A7" t="inlineStr">
        <is>
          <t>Bull - FCF (FY27 transaction costs only; post-RTO not modelled)</t>
        </is>
      </c>
      <c r="B7" s="19" t="n">
        <v>-350000</v>
      </c>
      <c r="C7" t="inlineStr">
        <is>
          <t>n/m (post-RTO, undisclosed)</t>
        </is>
      </c>
      <c r="D7" t="inlineStr">
        <is>
          <t>n/m (post-RTO, undisclosed)</t>
        </is>
      </c>
      <c r="E7" t="inlineStr">
        <is>
          <t>n/m (post-RTO, undisclosed)</t>
        </is>
      </c>
      <c r="F7" t="inlineStr">
        <is>
          <t>n/m (post-RTO, undisclosed)</t>
        </is>
      </c>
    </row>
    <row r="8">
      <c r="A8" t="inlineStr">
        <is>
          <t>Bear - FCF (wind-up during/after FY27)</t>
        </is>
      </c>
      <c r="B8" s="19" t="n">
        <v>-650000</v>
      </c>
      <c r="C8" s="19" t="n">
        <v>0</v>
      </c>
      <c r="D8" s="19" t="n">
        <v>0</v>
      </c>
      <c r="E8" s="19" t="n">
        <v>0</v>
      </c>
      <c r="F8" s="19" t="n">
        <v>0</v>
      </c>
    </row>
    <row r="10">
      <c r="A10" s="3" t="inlineStr">
        <is>
          <t>Funding history (context)</t>
        </is>
      </c>
    </row>
    <row r="11">
      <c r="A11" t="inlineStr">
        <is>
          <t>FY2026 debt forgiven by NZSG (NZ$)</t>
        </is>
      </c>
      <c r="B11" s="19" t="n">
        <v>500000</v>
      </c>
    </row>
    <row r="12">
      <c r="A12" t="inlineStr">
        <is>
          <t>FY2026 interest waived by NZSG (NZ$)</t>
        </is>
      </c>
      <c r="B12" s="19" t="n">
        <v>281170</v>
      </c>
    </row>
    <row r="13">
      <c r="A13" t="inlineStr">
        <is>
          <t>Post year-end advances (Apr+May 2026, NZ$)</t>
        </is>
      </c>
      <c r="B13" s="19" t="n">
        <v>200000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6" customWidth="1" min="6" max="6"/>
  </cols>
  <sheetData>
    <row r="1">
      <c r="A1" s="1" t="inlineStr">
        <is>
          <t>Historical Financials (NZD absolute $)</t>
        </is>
      </c>
    </row>
    <row r="3">
      <c r="A3" s="15" t="inlineStr">
        <is>
          <t>Period</t>
        </is>
      </c>
      <c r="B3" s="15" t="inlineStr">
        <is>
          <t>Revenue</t>
        </is>
      </c>
      <c r="C3" s="15" t="inlineStr">
        <is>
          <t>Shareholders Equity</t>
        </is>
      </c>
      <c r="D3" s="15" t="inlineStr">
        <is>
          <t>Free Cash Flow</t>
        </is>
      </c>
    </row>
    <row r="4">
      <c r="A4" t="inlineStr">
        <is>
          <t>FY2019</t>
        </is>
      </c>
      <c r="B4" s="19" t="n">
        <v>2602043</v>
      </c>
      <c r="C4" s="19" t="n">
        <v>3733719</v>
      </c>
      <c r="D4" s="19" t="n">
        <v>-420512</v>
      </c>
    </row>
    <row r="5">
      <c r="A5" t="inlineStr">
        <is>
          <t>FY2020</t>
        </is>
      </c>
      <c r="B5" s="19" t="n">
        <v>1234931</v>
      </c>
      <c r="C5" s="19" t="n">
        <v>2563166</v>
      </c>
      <c r="D5" s="19" t="n">
        <v>-290903</v>
      </c>
    </row>
    <row r="6">
      <c r="A6" t="inlineStr">
        <is>
          <t>FY2021</t>
        </is>
      </c>
      <c r="B6" s="19" t="n">
        <v>646910</v>
      </c>
      <c r="C6" s="19" t="n">
        <v>1291315</v>
      </c>
      <c r="D6" s="19" t="n">
        <v>-380450</v>
      </c>
    </row>
    <row r="7">
      <c r="A7" t="inlineStr">
        <is>
          <t>FY2022</t>
        </is>
      </c>
      <c r="B7" s="19" t="n">
        <v>415023</v>
      </c>
      <c r="C7" s="19" t="n">
        <v>552890</v>
      </c>
      <c r="D7" s="19" t="n">
        <v>-294999</v>
      </c>
    </row>
    <row r="8">
      <c r="A8" t="inlineStr">
        <is>
          <t>FY2023</t>
        </is>
      </c>
      <c r="B8" s="19" t="n">
        <v>1075442</v>
      </c>
      <c r="C8" s="19" t="n">
        <v>374469</v>
      </c>
      <c r="D8" s="19" t="n">
        <v>18709</v>
      </c>
    </row>
    <row r="9">
      <c r="A9" t="inlineStr">
        <is>
          <t>FY2024</t>
        </is>
      </c>
      <c r="B9" s="19" t="n">
        <v>1324402</v>
      </c>
      <c r="C9" s="19" t="n">
        <v>428380</v>
      </c>
      <c r="D9" s="19" t="n">
        <v>-140788</v>
      </c>
    </row>
    <row r="10">
      <c r="A10" t="inlineStr">
        <is>
          <t>FY2025</t>
        </is>
      </c>
      <c r="B10" s="19" t="n">
        <v>741088</v>
      </c>
      <c r="C10" s="19" t="n">
        <v>243574</v>
      </c>
      <c r="D10" s="19" t="n">
        <v>-324569</v>
      </c>
    </row>
    <row r="11">
      <c r="A11" t="inlineStr">
        <is>
          <t>FY2026</t>
        </is>
      </c>
      <c r="B11" s="19" t="n">
        <v>161285</v>
      </c>
      <c r="C11" s="19" t="n">
        <v>206390</v>
      </c>
      <c r="D11" s="19" t="n">
        <v>-631437</v>
      </c>
    </row>
    <row r="13">
      <c r="A13" t="inlineStr">
        <is>
          <t>Revenue 3yr CAGR</t>
        </is>
      </c>
      <c r="B13" s="20" t="n">
        <v>-0.4686999999999999</v>
      </c>
    </row>
    <row r="14">
      <c r="A14" t="inlineStr">
        <is>
          <t>Revenue 5yr CAGR</t>
        </is>
      </c>
      <c r="B14" s="20" t="n">
        <v>-0.2426</v>
      </c>
    </row>
    <row r="15">
      <c r="A15" t="inlineStr">
        <is>
          <t>Equity 3yr CAGR</t>
        </is>
      </c>
      <c r="B15" s="20" t="n">
        <v>-0.1801</v>
      </c>
    </row>
    <row r="16">
      <c r="A16" t="inlineStr">
        <is>
          <t>Equity 5yr CAGR</t>
        </is>
      </c>
      <c r="B16" s="20" t="n">
        <v>-0.307</v>
      </c>
    </row>
    <row r="17">
      <c r="A17" t="inlineStr">
        <is>
          <t>FCF positive years since FY2020</t>
        </is>
      </c>
      <c r="B17" t="inlineStr">
        <is>
          <t>1 of 7 (FY2023, +$18,709, immaterial)</t>
        </is>
      </c>
    </row>
    <row r="19">
      <c r="A19" s="2" t="inlineStr">
        <is>
          <t>Note: both revenue and equity CAGRs are deeply NEGATIVE - this is a shrinking, value-destroying business, not a growth story.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c r="A1" s="1" t="inlineStr">
        <is>
          <t>FCF Quality Reconciliation</t>
        </is>
      </c>
    </row>
    <row r="2">
      <c r="A2" s="2" t="inlineStr">
        <is>
          <t>SBC is NIL throughout AFC's disclosed history - reported FCF = owner FCF. No SBC adjustment required.</t>
        </is>
      </c>
    </row>
    <row r="4">
      <c r="A4" s="15" t="inlineStr">
        <is>
          <t>Period</t>
        </is>
      </c>
      <c r="B4" s="15" t="inlineStr">
        <is>
          <t>FY2020</t>
        </is>
      </c>
      <c r="C4" s="15" t="inlineStr">
        <is>
          <t>FY2021</t>
        </is>
      </c>
      <c r="D4" s="15" t="inlineStr">
        <is>
          <t>FY2022</t>
        </is>
      </c>
      <c r="E4" s="15" t="inlineStr">
        <is>
          <t>FY2023</t>
        </is>
      </c>
      <c r="F4" s="15" t="inlineStr">
        <is>
          <t>FY2024</t>
        </is>
      </c>
      <c r="G4" s="15" t="inlineStr">
        <is>
          <t>FY2025</t>
        </is>
      </c>
      <c r="H4" s="15" t="inlineStr">
        <is>
          <t>FY2026</t>
        </is>
      </c>
    </row>
    <row r="5">
      <c r="A5" t="inlineStr">
        <is>
          <t>Reported FCF (company definition, post IFRS-16 lease principal)</t>
        </is>
      </c>
      <c r="B5" s="19" t="n">
        <v>-290903</v>
      </c>
      <c r="C5" s="19" t="n">
        <v>-380450</v>
      </c>
      <c r="D5" s="19" t="n">
        <v>-294999</v>
      </c>
      <c r="E5" s="19" t="n">
        <v>18709</v>
      </c>
      <c r="F5" s="19" t="n">
        <v>-140788</v>
      </c>
      <c r="G5" s="19" t="n">
        <v>-324569</v>
      </c>
      <c r="H5" s="19" t="n">
        <v>-631437</v>
      </c>
    </row>
    <row r="6">
      <c r="A6" t="inlineStr">
        <is>
          <t>Less: SBC incl. equity-award taxes</t>
        </is>
      </c>
      <c r="B6" s="19" t="n">
        <v>0</v>
      </c>
      <c r="C6" s="19" t="n">
        <v>0</v>
      </c>
      <c r="D6" s="19" t="n">
        <v>0</v>
      </c>
      <c r="E6" s="19" t="n">
        <v>0</v>
      </c>
      <c r="F6" s="19" t="n">
        <v>0</v>
      </c>
      <c r="G6" s="19" t="n">
        <v>0</v>
      </c>
      <c r="H6" s="19" t="n">
        <v>0</v>
      </c>
    </row>
    <row r="7">
      <c r="A7" t="inlineStr">
        <is>
          <t>Less: Interest Income</t>
        </is>
      </c>
      <c r="B7" s="19" t="n">
        <v>0</v>
      </c>
      <c r="C7" s="19" t="n">
        <v>0</v>
      </c>
      <c r="D7" s="19" t="n">
        <v>0</v>
      </c>
      <c r="E7" s="19" t="n">
        <v>0</v>
      </c>
      <c r="F7" s="19" t="n">
        <v>0</v>
      </c>
      <c r="G7" s="19" t="n">
        <v>0</v>
      </c>
      <c r="H7" s="19" t="n">
        <v>0</v>
      </c>
    </row>
    <row r="8">
      <c r="A8">
        <f> Owner FCF</f>
        <v/>
      </c>
      <c r="B8" s="19">
        <f>B5-B6-B7</f>
        <v/>
      </c>
      <c r="C8" s="19">
        <f>C5-C6-C7</f>
        <v/>
      </c>
      <c r="D8" s="19">
        <f>D5-D6-D7</f>
        <v/>
      </c>
      <c r="E8" s="19">
        <f>E5-E6-E7</f>
        <v/>
      </c>
      <c r="F8" s="19">
        <f>F5-F6-F7</f>
        <v/>
      </c>
      <c r="G8" s="19">
        <f>G5-G6-G7</f>
        <v/>
      </c>
      <c r="H8" s="19">
        <f>H5-H6-H7</f>
        <v/>
      </c>
    </row>
    <row r="9">
      <c r="A9" t="inlineStr">
        <is>
          <t>Revenue</t>
        </is>
      </c>
      <c r="B9" s="19" t="n">
        <v>1234931</v>
      </c>
      <c r="C9" s="19" t="n">
        <v>646910</v>
      </c>
      <c r="D9" s="19" t="n">
        <v>415023</v>
      </c>
      <c r="E9" s="19" t="n">
        <v>1075442</v>
      </c>
      <c r="F9" s="19" t="n">
        <v>1324402</v>
      </c>
      <c r="G9" s="19" t="n">
        <v>741088</v>
      </c>
      <c r="H9" s="19" t="n">
        <v>161285</v>
      </c>
    </row>
    <row r="10">
      <c r="A10" t="inlineStr">
        <is>
          <t>Reported FCF Margin</t>
        </is>
      </c>
      <c r="B10" s="20">
        <f>B5/B9</f>
        <v/>
      </c>
      <c r="C10" s="20">
        <f>C5/C9</f>
        <v/>
      </c>
      <c r="D10" s="20">
        <f>D5/D9</f>
        <v/>
      </c>
      <c r="E10" s="20">
        <f>E5/E9</f>
        <v/>
      </c>
      <c r="F10" s="20">
        <f>F5/F9</f>
        <v/>
      </c>
      <c r="G10" s="20">
        <f>G5/G9</f>
        <v/>
      </c>
      <c r="H10" s="20">
        <f>H5/H9</f>
        <v/>
      </c>
    </row>
    <row r="11">
      <c r="A11" t="inlineStr">
        <is>
          <t>Owner FCF Margin</t>
        </is>
      </c>
      <c r="B11" s="20">
        <f>B8/B9</f>
        <v/>
      </c>
      <c r="C11" s="20">
        <f>C8/C9</f>
        <v/>
      </c>
      <c r="D11" s="20">
        <f>D8/D9</f>
        <v/>
      </c>
      <c r="E11" s="20">
        <f>E8/E9</f>
        <v/>
      </c>
      <c r="F11" s="20">
        <f>F8/F9</f>
        <v/>
      </c>
      <c r="G11" s="20">
        <f>G8/G9</f>
        <v/>
      </c>
      <c r="H11" s="20">
        <f>H8/H9</f>
        <v/>
      </c>
    </row>
    <row r="13">
      <c r="A13" t="inlineStr">
        <is>
          <t>Memo: cash tax rate</t>
        </is>
      </c>
      <c r="B13" t="inlineStr">
        <is>
          <t>N/A - company has generated tax losses (NZ$1.7M+ accumulated), no cash tax paid, no DTA recognized.</t>
        </is>
      </c>
    </row>
    <row r="14">
      <c r="A14" t="inlineStr">
        <is>
          <t>Memo: deferred revenue / working capital timing</t>
        </is>
      </c>
      <c r="B14" t="inlineStr">
        <is>
          <t>Not a subscription/prepaid business model - no material deferred revenue balance disclosed.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8" customWidth="1" min="1" max="1"/>
    <col width="80" customWidth="1" min="2" max="2"/>
  </cols>
  <sheetData>
    <row r="1">
      <c r="A1" s="1" t="inlineStr">
        <is>
          <t>Model Provenance &amp; Methodology Notes</t>
        </is>
      </c>
    </row>
    <row r="3" ht="45" customHeight="1">
      <c r="A3" s="21" t="inlineStr">
        <is>
          <t>Ticker</t>
        </is>
      </c>
      <c r="B3" s="22" t="inlineStr">
        <is>
          <t>AFC.NZ (AFC Group Holdings Limited, NZX)</t>
        </is>
      </c>
    </row>
    <row r="4" ht="45" customHeight="1">
      <c r="A4" s="21" t="inlineStr">
        <is>
          <t>Built by</t>
        </is>
      </c>
      <c r="B4" s="22" t="inlineStr">
        <is>
          <t>Claude dcf-analyst agent, per /Users/swilliams/Stocks/Research/.claude/agents/dcf-analyst.md</t>
        </is>
      </c>
    </row>
    <row r="5" ht="45" customHeight="1">
      <c r="A5" s="21" t="inlineStr">
        <is>
          <t>Valuation date</t>
        </is>
      </c>
      <c r="B5" s="22" t="inlineStr">
        <is>
          <t>2026-07-31</t>
        </is>
      </c>
    </row>
    <row r="6" ht="45" customHeight="1">
      <c r="A6" s="21" t="inlineStr">
        <is>
          <t>Data vintage</t>
        </is>
      </c>
      <c r="B6" s="22" t="inlineStr">
        <is>
          <t>FY2026 annual report (year ended 31-Mar-2026), released 30-Jun-2026. Share price fetched live from Yahoo Finance on 2026-07-31 (NZ$0.001, the NZX minimum tick).</t>
        </is>
      </c>
    </row>
    <row r="7" ht="45" customHeight="1">
      <c r="A7" s="21" t="inlineStr">
        <is>
          <t>Model type</t>
        </is>
      </c>
      <c r="B7" s="22" t="inlineStr">
        <is>
          <t>Asset/scenario-based valuation, NOT a growth perpetuity DCF. Selected because: (1) no repeatable positive owner FCF history exists (only 1 of 7 years since FY2020 was FCF-positive, and that by an immaterial working-capital blip), (2) explicit FY2026 going-concern material uncertainty audit paragraph, (3) revenue has collapsed 78% YoY and equity has fallen 94% since FY2019, (4) the company survives on non-binding, discretionary related-party shareholder support.</t>
        </is>
      </c>
    </row>
    <row r="8" ht="45" customHeight="1">
      <c r="A8" s="21" t="inlineStr">
        <is>
          <t>Methodology - Bear</t>
        </is>
      </c>
      <c r="B8" s="22" t="inlineStr">
        <is>
          <t>Direct insolvency/wind-up: intrinsic value set to NZ$0.0000/share on the basis that a forced liquidation would leave realizable assets short of liabilities once related-party loans and liquidation costs are applied.</t>
        </is>
      </c>
    </row>
    <row r="9" ht="45" customHeight="1">
      <c r="A9" s="21" t="inlineStr">
        <is>
          <t>Methodology - Base</t>
        </is>
      </c>
      <c r="B9" s="22" t="inlineStr">
        <is>
          <t>Tangible FY2026 shareholders' equity (NZ$206,390) plus a conservative NZ$500,000 listed-shell scarcity value (low end of a NZ$0.5-1.5M precedent range for NZX shells, discounted for AFC's below-average governance quality), divided by shares outstanding. Projected cash burn (FY2027-31) is disclosed for transparency but NOT subtracted from this valuation a second time, because it is assumed funded by continued shareholder loans/forgiveness (consistent with the FY2020-26 pattern) - a wash against the equity balance, not a further drag on it.</t>
        </is>
      </c>
    </row>
    <row r="10" ht="45" customHeight="1">
      <c r="A10" s="21" t="inlineStr">
        <is>
          <t>Methodology - Bull</t>
        </is>
      </c>
      <c r="B10" s="22" t="inlineStr">
        <is>
          <t>Speculative reverse-takeover (RTO) completion. Shell valued at the upper end of NZX shell-value precedent (NZ$2.5M, within a NZ$2-3M range), divided by CURRENT shares outstanding as an approximation of existing holders' retained economic claim on the shell prior to new RTO consideration shares being issued. This is explicitly option value, not a cash-flow DCF - no specific transaction terms are disclosed beyond a non-binding MOU with 'Fast Track Group'.</t>
        </is>
      </c>
    </row>
    <row r="11" ht="45" customHeight="1">
      <c r="A11" s="21" t="inlineStr">
        <is>
          <t>Probability weights</t>
        </is>
      </c>
      <c r="B11" s="22" t="inlineStr">
        <is>
          <t>Bear 55% / Base 35% / Bull 10% - weighted toward bear given the explicit going-concern audit qualification and the entirely discretionary, non-binding nature of the sole funding source (NZ Silveray Group).</t>
        </is>
      </c>
    </row>
    <row r="12" ht="45" customHeight="1">
      <c r="A12" s="21" t="inlineStr">
        <is>
          <t>WACC / discount rate</t>
        </is>
      </c>
      <c r="B12" s="22" t="inlineStr">
        <is>
          <t>Base case 33% (additive build: 4.5% risk-free + 5.5% NZ equity risk premium + 12% illiquidity/micro-cap premium + 8% going-concern premium + 3% related-party concentration premium). NOT a conventional CAPM WACC - no meaningful beta exists for a stock pinned at the minimum tick for 4+ years. Used only for the entry-price 15%-hurdle comparison; the base/bear/bull scenario valuations themselves do not discount a perpetuity cash-flow stream (there isn't one).</t>
        </is>
      </c>
    </row>
    <row r="13" ht="45" customHeight="1">
      <c r="A13" s="21" t="inlineStr">
        <is>
          <t>SBC treatment</t>
        </is>
      </c>
      <c r="B13" s="22" t="inlineStr">
        <is>
          <t>Nil throughout disclosed history (Metrics.csv StockBasedComp = 0 every period, FY2017-FY2026). No adjustment required; reported FCF = owner FCF.</t>
        </is>
      </c>
    </row>
    <row r="14" ht="45" customHeight="1">
      <c r="A14" s="21" t="inlineStr">
        <is>
          <t>Units</t>
        </is>
      </c>
      <c r="B14" s="22" t="inlineStr">
        <is>
          <t>All dollar figures NZD absolute dollars (NOT thousands or millions) except shares_outstanding, which is in millions per the Metrics.csv convention (3,664.253194 = 3.664 billion shares).</t>
        </is>
      </c>
    </row>
    <row r="15" ht="45" customHeight="1">
      <c r="A15" s="21" t="inlineStr">
        <is>
          <t>Key risk to re-check</t>
        </is>
      </c>
      <c r="B15" s="22" t="inlineStr">
        <is>
          <t>Fast Track Group RTO MOU status - any binding agreement, definitive terms, exchange ratio, or termination should trigger a full rebuild of the bull case (and possibly base case). Also re-check: NZSG support letter renewal/withdrawal, any further debt forgiveness or new advances, NZX suspension/delisting notices, and whether the share price ever moves off the NZ$0.001 floor (which would itself be informative).</t>
        </is>
      </c>
    </row>
    <row r="16" ht="45" customHeight="1">
      <c r="A16" s="21" t="inlineStr">
        <is>
          <t>What to refresh after next filing</t>
        </is>
      </c>
      <c r="B16" s="22" t="inlineStr">
        <is>
          <t>FY2027 interim (H1-2026 equivalent, due ~Nov/Dec 2026) or any NZX continuous disclosure on the RTO. Update Metrics.csv, re-run this model, and re-assess probability weights if the going-concern picture or RTO status changes materially.</t>
        </is>
      </c>
    </row>
    <row r="17" ht="45" customHeight="1">
      <c r="A17" s="21" t="inlineStr">
        <is>
          <t>Cell colour conventions</t>
        </is>
      </c>
      <c r="B17" s="22" t="inlineStr">
        <is>
          <t>Gray fill = input cell (editable). Green fill = key output/result. Red fill = bear-case output (zero). Yellow/orange fill = warning banner.</t>
        </is>
      </c>
    </row>
    <row r="18" ht="45" customHeight="1">
      <c r="A18" s="21" t="inlineStr">
        <is>
          <t>Staleness warning</t>
        </is>
      </c>
      <c r="B18" s="22" t="inlineStr">
        <is>
          <t>This is a going-concern micro-cap shell - facts can change materially within weeks (as evidenced by the 30-Jul-2026 director resignation disclosed the day before this model was built). Do not rely on this file without checking for NZX announcements more recent than the valuation date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2026-07-31T05:22:38Z</dcterms:created>
  <dcterms:modified xmlns:dcterms="http://purl.org/dc/terms/" xmlns:xsi="http://www.w3.org/2001/XMLSchema-instance" xsi:type="dcterms:W3CDTF">2026-07-31T05:22:38Z</dcterms:modified>
</cp:coreProperties>
</file>