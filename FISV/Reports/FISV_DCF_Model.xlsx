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ensitivity" sheetId="2" r:id="rId2"/>
    <sheet name="Historical" sheetId="3" r:id="rId3"/>
    <sheet name="Company Overview" sheetId="4" r:id="rId4"/>
  </sheets>
  <calcPr calcId="124519" fullCalcOnLoad="1"/>
</workbook>
</file>

<file path=xl/sharedStrings.xml><?xml version="1.0" encoding="utf-8"?>
<sst xmlns="http://schemas.openxmlformats.org/spreadsheetml/2006/main" count="101" uniqueCount="95">
  <si>
    <t>FISV DCF Valuation Model</t>
  </si>
  <si>
    <t>Gray cells are INPUTS - adjust to see valuation change</t>
  </si>
  <si>
    <t>Turnaround situation: 2026 transition year with recovery expected 2027+</t>
  </si>
  <si>
    <t>KEY INPUTS</t>
  </si>
  <si>
    <t>Current Stock Price</t>
  </si>
  <si>
    <t>Shares Outstanding (M)</t>
  </si>
  <si>
    <t>Cash &amp; Equivalents (M)</t>
  </si>
  <si>
    <t>Total Debt (M)</t>
  </si>
  <si>
    <t>Net Debt (M)</t>
  </si>
  <si>
    <t>Base Year FCF (M)</t>
  </si>
  <si>
    <t>WACC</t>
  </si>
  <si>
    <t>Terminal Growth Rate</t>
  </si>
  <si>
    <t>GROWTH ASSUMPTIONS</t>
  </si>
  <si>
    <t>FCF Growth Rate</t>
  </si>
  <si>
    <t>Year 1</t>
  </si>
  <si>
    <t>Year 2</t>
  </si>
  <si>
    <t>Year 3</t>
  </si>
  <si>
    <t>Year 4</t>
  </si>
  <si>
    <t>Year 5</t>
  </si>
  <si>
    <t>PROJECTIONS</t>
  </si>
  <si>
    <t>Base</t>
  </si>
  <si>
    <t>Free Cash Flow</t>
  </si>
  <si>
    <t>Discount Factor</t>
  </si>
  <si>
    <t>PV of FCF</t>
  </si>
  <si>
    <t>VALUATION</t>
  </si>
  <si>
    <t>Sum of PV of FCF</t>
  </si>
  <si>
    <t>Terminal FCF (Year 5 * (1+g))</t>
  </si>
  <si>
    <t>Terminal Value</t>
  </si>
  <si>
    <t>PV of Terminal Value</t>
  </si>
  <si>
    <t>Enterprise Value</t>
  </si>
  <si>
    <t>Less: Net Debt</t>
  </si>
  <si>
    <t>Equity Value</t>
  </si>
  <si>
    <t>INTRINSIC VALUE/SHARE</t>
  </si>
  <si>
    <t>ENTRY PRICE (15% CAGR Target)</t>
  </si>
  <si>
    <t>Terminal Value per Share</t>
  </si>
  <si>
    <t>Entry Price (15% CAGR)</t>
  </si>
  <si>
    <t>Upside to IV</t>
  </si>
  <si>
    <t>Discount to Entry Price</t>
  </si>
  <si>
    <t>SCENARIO COMPARISON</t>
  </si>
  <si>
    <t>Base Case</t>
  </si>
  <si>
    <t>Bull Case</t>
  </si>
  <si>
    <t>Bear Case</t>
  </si>
  <si>
    <t>Y1-Y5 Avg Growth</t>
  </si>
  <si>
    <t>Terminal FCF</t>
  </si>
  <si>
    <t>Intrinsic Value</t>
  </si>
  <si>
    <t>Upside/Downside</t>
  </si>
  <si>
    <t>Sensitivity Analysis</t>
  </si>
  <si>
    <t>Intrinsic Value by WACC &amp; Terminal Growth (Base Case)</t>
  </si>
  <si>
    <t>WACC \ Term G</t>
  </si>
  <si>
    <t>Note: Sensitivity matrix uses Base Case growth rates (4%, 3.5%, 5%, 6.5%, 7%) with varying WACC and Terminal Growth</t>
  </si>
  <si>
    <t>Historical Growth Rates</t>
  </si>
  <si>
    <t>Note: FY2019 includes First Data merger</t>
  </si>
  <si>
    <t>Metric</t>
  </si>
  <si>
    <t>3-Year CAGR</t>
  </si>
  <si>
    <t>5-Year CAGR</t>
  </si>
  <si>
    <t>Revenue</t>
  </si>
  <si>
    <t>EPS</t>
  </si>
  <si>
    <t>Equity</t>
  </si>
  <si>
    <t>FCF</t>
  </si>
  <si>
    <t>Selected Growth Rate:</t>
  </si>
  <si>
    <t>Source:</t>
  </si>
  <si>
    <t>revenue_3yr_cagr</t>
  </si>
  <si>
    <t>Key Context:</t>
  </si>
  <si>
    <t>- Equity CAGR negative due to share buybacks &amp; First Data debt</t>
  </si>
  <si>
    <t>- Post-merger revenue CAGR (FY2020-2024): 8.3%</t>
  </si>
  <si>
    <t>- 2025 guidance: 3.5-4% organic growth (down from 10%)</t>
  </si>
  <si>
    <t>- 2026: Transition year with low single-digit growth</t>
  </si>
  <si>
    <t>- 2027+: Targeted return to double-digit EPS growth</t>
  </si>
  <si>
    <t>- Stock down 70% from peak after Oct 2025 guidance cut</t>
  </si>
  <si>
    <t>FISV - Fiserv, Inc.</t>
  </si>
  <si>
    <t>Valuation Date: 2026-02-02</t>
  </si>
  <si>
    <t>Investment Thesis:</t>
  </si>
  <si>
    <t>Fiserv presents a classic turnaround opportunity following a 70% stock decline driven by execution missteps rather than structural business deterioration. The company retains formidable competitive advantages (99% core banking retention, 90B annual transactions, high switching costs) and operates in attractive end markets (digital payments, fintech infrastructure). New leadership team, 2026 reset year positioning, and deeply oversold sentiment create potential for significant returns IF management can execute on operational improvements and restore credibility. However, substantial risk remains given competitive losses, Clover strategy failures, high leverage (Altman Z-Score 1.41), and securities litigation overhang. This is NOT a low-risk value play but rather a turnaround speculation requiring conviction in management's ability to deliver.</t>
  </si>
  <si>
    <t>Recent Developments:</t>
  </si>
  <si>
    <t>- Oct 29, 2025: Stock crashed 44% on earnings miss and guidance cut</t>
  </si>
  <si>
    <t>- 2025 EPS guidance: $8.50-$8.60 (from $10.15-$10.30)</t>
  </si>
  <si>
    <t>- Organic growth: 3.5-4% (from 10%)</t>
  </si>
  <si>
    <t>- New leadership: Co-Presidents, CFO, board members appointed</t>
  </si>
  <si>
    <t>- Clover forced migrations caused 16% attrition</t>
  </si>
  <si>
    <t>- Securities class action lawsuit filed by shareholders</t>
  </si>
  <si>
    <t>- 2026 positioned as "transition year" before recovery</t>
  </si>
  <si>
    <t>Key Financials (FY2024):</t>
  </si>
  <si>
    <t>Revenue:</t>
  </si>
  <si>
    <t>$20,456M</t>
  </si>
  <si>
    <t>Free Cash Flow:</t>
  </si>
  <si>
    <t>$5,062M (24.7% margin)</t>
  </si>
  <si>
    <t>Net Debt:</t>
  </si>
  <si>
    <t>$23,604M</t>
  </si>
  <si>
    <t>Shares Outstanding:</t>
  </si>
  <si>
    <t>582.1M</t>
  </si>
  <si>
    <t>Probability-Weighted IV:</t>
  </si>
  <si>
    <t>Weighted Intrinsic Value:</t>
  </si>
  <si>
    <t>$113.31</t>
  </si>
  <si>
    <t>Weights:</t>
  </si>
  <si>
    <t>Bull 30%, Base 45%, Bear 25%</t>
  </si>
</sst>
</file>

<file path=xl/styles.xml><?xml version="1.0" encoding="utf-8"?>
<styleSheet xmlns="http://schemas.openxmlformats.org/spreadsheetml/2006/main">
  <numFmts count="3">
    <numFmt numFmtId="164" formatCode="#,##0.0"/>
    <numFmt numFmtId="165" formatCode="0.0%"/>
    <numFmt numFmtId="166" formatCode="&quot;$&quot;#,##0.00"/>
  </numFmts>
  <fonts count="6">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1" xfId="0" applyFont="1" applyBorder="1"/>
    <xf numFmtId="164" fontId="0" fillId="2" borderId="2" xfId="0" applyNumberFormat="1" applyFill="1" applyBorder="1"/>
    <xf numFmtId="164" fontId="0" fillId="0" borderId="2" xfId="0" applyNumberFormat="1" applyBorder="1"/>
    <xf numFmtId="165" fontId="0" fillId="2" borderId="2" xfId="0" applyNumberFormat="1" applyFill="1" applyBorder="1"/>
    <xf numFmtId="0" fontId="4" fillId="3" borderId="2" xfId="0" applyFont="1" applyFill="1" applyBorder="1"/>
    <xf numFmtId="0" fontId="5" fillId="0" borderId="0" xfId="0" applyFont="1"/>
    <xf numFmtId="166" fontId="4" fillId="4" borderId="2" xfId="0" applyNumberFormat="1" applyFont="1" applyFill="1" applyBorder="1"/>
    <xf numFmtId="166" fontId="0" fillId="0" borderId="2" xfId="0" applyNumberFormat="1" applyBorder="1"/>
    <xf numFmtId="165" fontId="4" fillId="4" borderId="2" xfId="0" applyNumberFormat="1" applyFont="1" applyFill="1" applyBorder="1"/>
    <xf numFmtId="165" fontId="0" fillId="0" borderId="2" xfId="0" applyNumberFormat="1" applyBorder="1"/>
    <xf numFmtId="165" fontId="4" fillId="3" borderId="2" xfId="0" applyNumberFormat="1" applyFont="1"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8"/>
  <sheetViews>
    <sheetView tabSelected="1" workbookViewId="0"/>
  </sheetViews>
  <sheetFormatPr defaultRowHeight="15"/>
  <cols>
    <col min="1" max="1" width="28.7109375" customWidth="1"/>
    <col min="2" max="8" width="14.7109375" customWidth="1"/>
  </cols>
  <sheetData>
    <row r="1" spans="1:6">
      <c r="A1" s="1" t="s">
        <v>0</v>
      </c>
    </row>
    <row r="2" spans="1:6">
      <c r="A2" s="2" t="s">
        <v>1</v>
      </c>
    </row>
    <row r="3" spans="1:6">
      <c r="A3" s="2" t="s">
        <v>2</v>
      </c>
    </row>
    <row r="5" spans="1:6">
      <c r="A5" s="3" t="s">
        <v>3</v>
      </c>
    </row>
    <row r="6" spans="1:6">
      <c r="A6" t="s">
        <v>4</v>
      </c>
      <c r="B6" s="4">
        <v>115</v>
      </c>
    </row>
    <row r="7" spans="1:6">
      <c r="A7" t="s">
        <v>5</v>
      </c>
      <c r="B7" s="4">
        <v>582.1</v>
      </c>
    </row>
    <row r="8" spans="1:6">
      <c r="A8" t="s">
        <v>6</v>
      </c>
      <c r="B8" s="4">
        <v>1236</v>
      </c>
    </row>
    <row r="9" spans="1:6">
      <c r="A9" t="s">
        <v>7</v>
      </c>
      <c r="B9" s="4">
        <v>24840</v>
      </c>
    </row>
    <row r="10" spans="1:6">
      <c r="A10" t="s">
        <v>8</v>
      </c>
      <c r="B10" s="5">
        <f>B9-B8</f>
        <v>0</v>
      </c>
    </row>
    <row r="11" spans="1:6">
      <c r="A11" t="s">
        <v>9</v>
      </c>
      <c r="B11" s="4">
        <v>5062</v>
      </c>
    </row>
    <row r="13" spans="1:6">
      <c r="A13" t="s">
        <v>10</v>
      </c>
      <c r="B13" s="6">
        <v>0.095</v>
      </c>
    </row>
    <row r="14" spans="1:6">
      <c r="A14" t="s">
        <v>11</v>
      </c>
      <c r="B14" s="6">
        <v>0.03</v>
      </c>
    </row>
    <row r="16" spans="1:6">
      <c r="A16" s="3" t="s">
        <v>12</v>
      </c>
      <c r="B16" s="7" t="s">
        <v>14</v>
      </c>
      <c r="C16" s="7" t="s">
        <v>15</v>
      </c>
      <c r="D16" s="7" t="s">
        <v>16</v>
      </c>
      <c r="E16" s="7" t="s">
        <v>17</v>
      </c>
      <c r="F16" s="7" t="s">
        <v>18</v>
      </c>
    </row>
    <row r="17" spans="1:7">
      <c r="A17" t="s">
        <v>13</v>
      </c>
      <c r="B17" s="6">
        <v>0.04</v>
      </c>
      <c r="C17" s="6">
        <v>0.035</v>
      </c>
      <c r="D17" s="6">
        <v>0.05</v>
      </c>
      <c r="E17" s="6">
        <v>0.065</v>
      </c>
      <c r="F17" s="6">
        <v>0.07000000000000001</v>
      </c>
    </row>
    <row r="19" spans="1:7">
      <c r="A19" s="3" t="s">
        <v>19</v>
      </c>
    </row>
    <row r="20" spans="1:7">
      <c r="A20" s="7"/>
      <c r="B20" s="7" t="s">
        <v>20</v>
      </c>
      <c r="C20" s="7" t="s">
        <v>14</v>
      </c>
      <c r="D20" s="7" t="s">
        <v>15</v>
      </c>
      <c r="E20" s="7" t="s">
        <v>16</v>
      </c>
      <c r="F20" s="7" t="s">
        <v>17</v>
      </c>
      <c r="G20" s="7" t="s">
        <v>18</v>
      </c>
    </row>
    <row r="21" spans="1:7">
      <c r="A21" t="s">
        <v>21</v>
      </c>
      <c r="B21" s="5">
        <f>B11</f>
        <v>0</v>
      </c>
      <c r="C21" s="5">
        <f>B21*(1+B17)</f>
        <v>0</v>
      </c>
      <c r="D21" s="5">
        <f>C21*(1+C17)</f>
        <v>0</v>
      </c>
      <c r="E21" s="5">
        <f>D21*(1+D17)</f>
        <v>0</v>
      </c>
      <c r="F21" s="5">
        <f>E21*(1+E17)</f>
        <v>0</v>
      </c>
      <c r="G21" s="5">
        <f>F21*(1+F17)</f>
        <v>0</v>
      </c>
    </row>
    <row r="22" spans="1:7">
      <c r="A22" t="s">
        <v>22</v>
      </c>
      <c r="C22" s="5">
        <f>1/(1+$B$13)^1</f>
        <v>0</v>
      </c>
      <c r="D22" s="5">
        <f>1/(1+$B$13)^2</f>
        <v>0</v>
      </c>
      <c r="E22" s="5">
        <f>1/(1+$B$13)^3</f>
        <v>0</v>
      </c>
      <c r="F22" s="5">
        <f>1/(1+$B$13)^4</f>
        <v>0</v>
      </c>
      <c r="G22" s="5">
        <f>1/(1+$B$13)^5</f>
        <v>0</v>
      </c>
    </row>
    <row r="23" spans="1:7">
      <c r="A23" t="s">
        <v>23</v>
      </c>
      <c r="C23" s="5">
        <f>C21*C22</f>
        <v>0</v>
      </c>
      <c r="D23" s="5">
        <f>D21*D22</f>
        <v>0</v>
      </c>
      <c r="E23" s="5">
        <f>E21*E22</f>
        <v>0</v>
      </c>
      <c r="F23" s="5">
        <f>F21*F22</f>
        <v>0</v>
      </c>
      <c r="G23" s="5">
        <f>G21*G22</f>
        <v>0</v>
      </c>
    </row>
    <row r="25" spans="1:7">
      <c r="A25" s="3" t="s">
        <v>24</v>
      </c>
    </row>
    <row r="26" spans="1:7">
      <c r="A26" t="s">
        <v>25</v>
      </c>
      <c r="B26" s="5">
        <f>SUM(C23:G23)</f>
        <v>0</v>
      </c>
    </row>
    <row r="27" spans="1:7">
      <c r="A27" t="s">
        <v>26</v>
      </c>
      <c r="B27" s="5">
        <f>G21*(1+$B$14)</f>
        <v>0</v>
      </c>
    </row>
    <row r="28" spans="1:7">
      <c r="A28" t="s">
        <v>27</v>
      </c>
      <c r="B28" s="5">
        <f>B27/($B$13-$B$14)</f>
        <v>0</v>
      </c>
    </row>
    <row r="29" spans="1:7">
      <c r="A29" t="s">
        <v>28</v>
      </c>
      <c r="B29" s="5">
        <f>B28*G22</f>
        <v>0</v>
      </c>
    </row>
    <row r="30" spans="1:7">
      <c r="A30" t="s">
        <v>29</v>
      </c>
      <c r="B30" s="5">
        <f>B26+B29</f>
        <v>0</v>
      </c>
    </row>
    <row r="31" spans="1:7">
      <c r="A31" t="s">
        <v>30</v>
      </c>
      <c r="B31" s="5">
        <f>B10</f>
        <v>0</v>
      </c>
    </row>
    <row r="32" spans="1:7">
      <c r="A32" t="s">
        <v>31</v>
      </c>
      <c r="B32" s="5">
        <f>B30-B31</f>
        <v>0</v>
      </c>
    </row>
    <row r="33" spans="1:4">
      <c r="A33" s="8" t="s">
        <v>32</v>
      </c>
      <c r="B33" s="9">
        <f>B32/B7</f>
        <v>0</v>
      </c>
    </row>
    <row r="35" spans="1:4">
      <c r="A35" s="3" t="s">
        <v>33</v>
      </c>
    </row>
    <row r="36" spans="1:4">
      <c r="A36" t="s">
        <v>34</v>
      </c>
      <c r="B36" s="10">
        <f>B28/B7</f>
        <v>0</v>
      </c>
    </row>
    <row r="37" spans="1:4">
      <c r="A37" t="s">
        <v>35</v>
      </c>
      <c r="B37" s="9">
        <f>B36/(1.15^5)</f>
        <v>0</v>
      </c>
    </row>
    <row r="39" spans="1:4">
      <c r="A39" s="8" t="s">
        <v>36</v>
      </c>
      <c r="B39" s="11">
        <f>(B33-B6)/B6</f>
        <v>0</v>
      </c>
    </row>
    <row r="40" spans="1:4">
      <c r="A40" s="8" t="s">
        <v>37</v>
      </c>
      <c r="B40" s="12">
        <f>(B6-B37)/B37</f>
        <v>0</v>
      </c>
    </row>
    <row r="42" spans="1:4">
      <c r="A42" s="3" t="s">
        <v>38</v>
      </c>
    </row>
    <row r="43" spans="1:4">
      <c r="A43" s="7"/>
      <c r="B43" s="7" t="s">
        <v>39</v>
      </c>
      <c r="C43" s="7" t="s">
        <v>40</v>
      </c>
      <c r="D43" s="7" t="s">
        <v>41</v>
      </c>
    </row>
    <row r="44" spans="1:4">
      <c r="A44" t="s">
        <v>42</v>
      </c>
      <c r="B44" s="12">
        <v>0.052</v>
      </c>
      <c r="C44" s="12">
        <v>0.08599999999999999</v>
      </c>
      <c r="D44" s="12">
        <v>0.025</v>
      </c>
    </row>
    <row r="45" spans="1:4">
      <c r="A45" t="s">
        <v>43</v>
      </c>
      <c r="B45" s="5">
        <v>6513</v>
      </c>
      <c r="C45" s="5">
        <v>8472</v>
      </c>
      <c r="D45" s="5">
        <v>5218</v>
      </c>
    </row>
    <row r="46" spans="1:4">
      <c r="A46" t="s">
        <v>44</v>
      </c>
      <c r="B46" s="9">
        <v>105.57</v>
      </c>
      <c r="C46" s="9">
        <v>199.04</v>
      </c>
      <c r="D46" s="9">
        <v>52.35</v>
      </c>
    </row>
    <row r="47" spans="1:4">
      <c r="A47" t="s">
        <v>45</v>
      </c>
      <c r="B47" s="12">
        <v>-0.08199999999999999</v>
      </c>
      <c r="C47" s="12">
        <v>0.731</v>
      </c>
      <c r="D47" s="12">
        <v>-0.545</v>
      </c>
    </row>
    <row r="48" spans="1:4">
      <c r="A48" t="s">
        <v>35</v>
      </c>
      <c r="B48" s="10">
        <v>85.59</v>
      </c>
      <c r="C48" s="10">
        <v>144.72</v>
      </c>
      <c r="D48" s="10">
        <v>52.43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18.7109375" customWidth="1"/>
    <col min="2" max="7" width="12.7109375" customWidth="1"/>
  </cols>
  <sheetData>
    <row r="1" spans="1:6">
      <c r="A1" s="1" t="s">
        <v>46</v>
      </c>
    </row>
    <row r="2" spans="1:6">
      <c r="A2" s="2" t="s">
        <v>47</v>
      </c>
    </row>
    <row r="4" spans="1:6">
      <c r="A4" s="7" t="s">
        <v>48</v>
      </c>
      <c r="B4" s="13">
        <v>0.02</v>
      </c>
      <c r="C4" s="13">
        <v>0.025</v>
      </c>
      <c r="D4" s="13">
        <v>0.03</v>
      </c>
      <c r="E4" s="13">
        <v>0.035</v>
      </c>
      <c r="F4" s="13">
        <v>0.04</v>
      </c>
    </row>
    <row r="5" spans="1:6">
      <c r="A5" s="13">
        <v>0.075</v>
      </c>
      <c r="B5" s="10">
        <f>(('DCF Model'!B11*1.04/(1+0.075))+('DCF Model'!B11*1.04*1.035/(1+0.075)^2)+('DCF Model'!B11*1.04*1.035*1.05/(1+0.075)^3)+('DCF Model'!B11*1.04*1.035*1.05*1.065/(1+0.075)^4)+('DCF Model'!B11*1.04*1.035*1.05*1.065*1.07/(1+0.075)^5)+(('DCF Model'!B11*1.04*1.035*1.05*1.065*1.07*(1+0.02))/(0.075-0.02))/(1+0.075)^5-'DCF Model'!B10)/'DCF Model'!B7</f>
        <v>0</v>
      </c>
      <c r="C5" s="10">
        <f>(('DCF Model'!B11*1.04/(1+0.075))+('DCF Model'!B11*1.04*1.035/(1+0.075)^2)+('DCF Model'!B11*1.04*1.035*1.05/(1+0.075)^3)+('DCF Model'!B11*1.04*1.035*1.05*1.065/(1+0.075)^4)+('DCF Model'!B11*1.04*1.035*1.05*1.065*1.07/(1+0.075)^5)+(('DCF Model'!B11*1.04*1.035*1.05*1.065*1.07*(1+0.025))/(0.075-0.025))/(1+0.075)^5-'DCF Model'!B10)/'DCF Model'!B7</f>
        <v>0</v>
      </c>
      <c r="D5" s="10">
        <f>(('DCF Model'!B11*1.04/(1+0.075))+('DCF Model'!B11*1.04*1.035/(1+0.075)^2)+('DCF Model'!B11*1.04*1.035*1.05/(1+0.075)^3)+('DCF Model'!B11*1.04*1.035*1.05*1.065/(1+0.075)^4)+('DCF Model'!B11*1.04*1.035*1.05*1.065*1.07/(1+0.075)^5)+(('DCF Model'!B11*1.04*1.035*1.05*1.065*1.07*(1+0.03))/(0.075-0.03))/(1+0.075)^5-'DCF Model'!B10)/'DCF Model'!B7</f>
        <v>0</v>
      </c>
      <c r="E5" s="10">
        <f>(('DCF Model'!B11*1.04/(1+0.075))+('DCF Model'!B11*1.04*1.035/(1+0.075)^2)+('DCF Model'!B11*1.04*1.035*1.05/(1+0.075)^3)+('DCF Model'!B11*1.04*1.035*1.05*1.065/(1+0.075)^4)+('DCF Model'!B11*1.04*1.035*1.05*1.065*1.07/(1+0.075)^5)+(('DCF Model'!B11*1.04*1.035*1.05*1.065*1.07*(1+0.035))/(0.075-0.035))/(1+0.075)^5-'DCF Model'!B10)/'DCF Model'!B7</f>
        <v>0</v>
      </c>
      <c r="F5" s="10">
        <f>(('DCF Model'!B11*1.04/(1+0.075))+('DCF Model'!B11*1.04*1.035/(1+0.075)^2)+('DCF Model'!B11*1.04*1.035*1.05/(1+0.075)^3)+('DCF Model'!B11*1.04*1.035*1.05*1.065/(1+0.075)^4)+('DCF Model'!B11*1.04*1.035*1.05*1.065*1.07/(1+0.075)^5)+(('DCF Model'!B11*1.04*1.035*1.05*1.065*1.07*(1+0.04))/(0.075-0.04))/(1+0.075)^5-'DCF Model'!B10)/'DCF Model'!B7</f>
        <v>0</v>
      </c>
    </row>
    <row r="6" spans="1:6">
      <c r="A6" s="13">
        <v>0.08500000000000001</v>
      </c>
      <c r="B6" s="10">
        <f>(('DCF Model'!B11*1.04/(1+0.085))+('DCF Model'!B11*1.04*1.035/(1+0.085)^2)+('DCF Model'!B11*1.04*1.035*1.05/(1+0.085)^3)+('DCF Model'!B11*1.04*1.035*1.05*1.065/(1+0.085)^4)+('DCF Model'!B11*1.04*1.035*1.05*1.065*1.07/(1+0.085)^5)+(('DCF Model'!B11*1.04*1.035*1.05*1.065*1.07*(1+0.02))/(0.085-0.02))/(1+0.085)^5-'DCF Model'!B10)/'DCF Model'!B7</f>
        <v>0</v>
      </c>
      <c r="C6" s="10">
        <f>(('DCF Model'!B11*1.04/(1+0.085))+('DCF Model'!B11*1.04*1.035/(1+0.085)^2)+('DCF Model'!B11*1.04*1.035*1.05/(1+0.085)^3)+('DCF Model'!B11*1.04*1.035*1.05*1.065/(1+0.085)^4)+('DCF Model'!B11*1.04*1.035*1.05*1.065*1.07/(1+0.085)^5)+(('DCF Model'!B11*1.04*1.035*1.05*1.065*1.07*(1+0.025))/(0.085-0.025))/(1+0.085)^5-'DCF Model'!B10)/'DCF Model'!B7</f>
        <v>0</v>
      </c>
      <c r="D6" s="10">
        <f>(('DCF Model'!B11*1.04/(1+0.085))+('DCF Model'!B11*1.04*1.035/(1+0.085)^2)+('DCF Model'!B11*1.04*1.035*1.05/(1+0.085)^3)+('DCF Model'!B11*1.04*1.035*1.05*1.065/(1+0.085)^4)+('DCF Model'!B11*1.04*1.035*1.05*1.065*1.07/(1+0.085)^5)+(('DCF Model'!B11*1.04*1.035*1.05*1.065*1.07*(1+0.03))/(0.085-0.03))/(1+0.085)^5-'DCF Model'!B10)/'DCF Model'!B7</f>
        <v>0</v>
      </c>
      <c r="E6" s="10">
        <f>(('DCF Model'!B11*1.04/(1+0.085))+('DCF Model'!B11*1.04*1.035/(1+0.085)^2)+('DCF Model'!B11*1.04*1.035*1.05/(1+0.085)^3)+('DCF Model'!B11*1.04*1.035*1.05*1.065/(1+0.085)^4)+('DCF Model'!B11*1.04*1.035*1.05*1.065*1.07/(1+0.085)^5)+(('DCF Model'!B11*1.04*1.035*1.05*1.065*1.07*(1+0.035))/(0.085-0.035))/(1+0.085)^5-'DCF Model'!B10)/'DCF Model'!B7</f>
        <v>0</v>
      </c>
      <c r="F6" s="10">
        <f>(('DCF Model'!B11*1.04/(1+0.085))+('DCF Model'!B11*1.04*1.035/(1+0.085)^2)+('DCF Model'!B11*1.04*1.035*1.05/(1+0.085)^3)+('DCF Model'!B11*1.04*1.035*1.05*1.065/(1+0.085)^4)+('DCF Model'!B11*1.04*1.035*1.05*1.065*1.07/(1+0.085)^5)+(('DCF Model'!B11*1.04*1.035*1.05*1.065*1.07*(1+0.04))/(0.085-0.04))/(1+0.085)^5-'DCF Model'!B10)/'DCF Model'!B7</f>
        <v>0</v>
      </c>
    </row>
    <row r="7" spans="1:6">
      <c r="A7" s="13">
        <v>0.095</v>
      </c>
      <c r="B7" s="10">
        <f>(('DCF Model'!B11*1.04/(1+0.095))+('DCF Model'!B11*1.04*1.035/(1+0.095)^2)+('DCF Model'!B11*1.04*1.035*1.05/(1+0.095)^3)+('DCF Model'!B11*1.04*1.035*1.05*1.065/(1+0.095)^4)+('DCF Model'!B11*1.04*1.035*1.05*1.065*1.07/(1+0.095)^5)+(('DCF Model'!B11*1.04*1.035*1.05*1.065*1.07*(1+0.02))/(0.095-0.02))/(1+0.095)^5-'DCF Model'!B10)/'DCF Model'!B7</f>
        <v>0</v>
      </c>
      <c r="C7" s="10">
        <f>(('DCF Model'!B11*1.04/(1+0.095))+('DCF Model'!B11*1.04*1.035/(1+0.095)^2)+('DCF Model'!B11*1.04*1.035*1.05/(1+0.095)^3)+('DCF Model'!B11*1.04*1.035*1.05*1.065/(1+0.095)^4)+('DCF Model'!B11*1.04*1.035*1.05*1.065*1.07/(1+0.095)^5)+(('DCF Model'!B11*1.04*1.035*1.05*1.065*1.07*(1+0.025))/(0.095-0.025))/(1+0.095)^5-'DCF Model'!B10)/'DCF Model'!B7</f>
        <v>0</v>
      </c>
      <c r="D7" s="10">
        <f>(('DCF Model'!B11*1.04/(1+0.095))+('DCF Model'!B11*1.04*1.035/(1+0.095)^2)+('DCF Model'!B11*1.04*1.035*1.05/(1+0.095)^3)+('DCF Model'!B11*1.04*1.035*1.05*1.065/(1+0.095)^4)+('DCF Model'!B11*1.04*1.035*1.05*1.065*1.07/(1+0.095)^5)+(('DCF Model'!B11*1.04*1.035*1.05*1.065*1.07*(1+0.03))/(0.095-0.03))/(1+0.095)^5-'DCF Model'!B10)/'DCF Model'!B7</f>
        <v>0</v>
      </c>
      <c r="E7" s="10">
        <f>(('DCF Model'!B11*1.04/(1+0.095))+('DCF Model'!B11*1.04*1.035/(1+0.095)^2)+('DCF Model'!B11*1.04*1.035*1.05/(1+0.095)^3)+('DCF Model'!B11*1.04*1.035*1.05*1.065/(1+0.095)^4)+('DCF Model'!B11*1.04*1.035*1.05*1.065*1.07/(1+0.095)^5)+(('DCF Model'!B11*1.04*1.035*1.05*1.065*1.07*(1+0.035))/(0.095-0.035))/(1+0.095)^5-'DCF Model'!B10)/'DCF Model'!B7</f>
        <v>0</v>
      </c>
      <c r="F7" s="10">
        <f>(('DCF Model'!B11*1.04/(1+0.095))+('DCF Model'!B11*1.04*1.035/(1+0.095)^2)+('DCF Model'!B11*1.04*1.035*1.05/(1+0.095)^3)+('DCF Model'!B11*1.04*1.035*1.05*1.065/(1+0.095)^4)+('DCF Model'!B11*1.04*1.035*1.05*1.065*1.07/(1+0.095)^5)+(('DCF Model'!B11*1.04*1.035*1.05*1.065*1.07*(1+0.04))/(0.095-0.04))/(1+0.095)^5-'DCF Model'!B10)/'DCF Model'!B7</f>
        <v>0</v>
      </c>
    </row>
    <row r="8" spans="1:6">
      <c r="A8" s="13">
        <v>0.105</v>
      </c>
      <c r="B8" s="10">
        <f>(('DCF Model'!B11*1.04/(1+0.105))+('DCF Model'!B11*1.04*1.035/(1+0.105)^2)+('DCF Model'!B11*1.04*1.035*1.05/(1+0.105)^3)+('DCF Model'!B11*1.04*1.035*1.05*1.065/(1+0.105)^4)+('DCF Model'!B11*1.04*1.035*1.05*1.065*1.07/(1+0.105)^5)+(('DCF Model'!B11*1.04*1.035*1.05*1.065*1.07*(1+0.02))/(0.105-0.02))/(1+0.105)^5-'DCF Model'!B10)/'DCF Model'!B7</f>
        <v>0</v>
      </c>
      <c r="C8" s="10">
        <f>(('DCF Model'!B11*1.04/(1+0.105))+('DCF Model'!B11*1.04*1.035/(1+0.105)^2)+('DCF Model'!B11*1.04*1.035*1.05/(1+0.105)^3)+('DCF Model'!B11*1.04*1.035*1.05*1.065/(1+0.105)^4)+('DCF Model'!B11*1.04*1.035*1.05*1.065*1.07/(1+0.105)^5)+(('DCF Model'!B11*1.04*1.035*1.05*1.065*1.07*(1+0.025))/(0.105-0.025))/(1+0.105)^5-'DCF Model'!B10)/'DCF Model'!B7</f>
        <v>0</v>
      </c>
      <c r="D8" s="10">
        <f>(('DCF Model'!B11*1.04/(1+0.105))+('DCF Model'!B11*1.04*1.035/(1+0.105)^2)+('DCF Model'!B11*1.04*1.035*1.05/(1+0.105)^3)+('DCF Model'!B11*1.04*1.035*1.05*1.065/(1+0.105)^4)+('DCF Model'!B11*1.04*1.035*1.05*1.065*1.07/(1+0.105)^5)+(('DCF Model'!B11*1.04*1.035*1.05*1.065*1.07*(1+0.03))/(0.105-0.03))/(1+0.105)^5-'DCF Model'!B10)/'DCF Model'!B7</f>
        <v>0</v>
      </c>
      <c r="E8" s="10">
        <f>(('DCF Model'!B11*1.04/(1+0.105))+('DCF Model'!B11*1.04*1.035/(1+0.105)^2)+('DCF Model'!B11*1.04*1.035*1.05/(1+0.105)^3)+('DCF Model'!B11*1.04*1.035*1.05*1.065/(1+0.105)^4)+('DCF Model'!B11*1.04*1.035*1.05*1.065*1.07/(1+0.105)^5)+(('DCF Model'!B11*1.04*1.035*1.05*1.065*1.07*(1+0.035))/(0.105-0.035))/(1+0.105)^5-'DCF Model'!B10)/'DCF Model'!B7</f>
        <v>0</v>
      </c>
      <c r="F8" s="10">
        <f>(('DCF Model'!B11*1.04/(1+0.105))+('DCF Model'!B11*1.04*1.035/(1+0.105)^2)+('DCF Model'!B11*1.04*1.035*1.05/(1+0.105)^3)+('DCF Model'!B11*1.04*1.035*1.05*1.065/(1+0.105)^4)+('DCF Model'!B11*1.04*1.035*1.05*1.065*1.07/(1+0.105)^5)+(('DCF Model'!B11*1.04*1.035*1.05*1.065*1.07*(1+0.04))/(0.105-0.04))/(1+0.105)^5-'DCF Model'!B10)/'DCF Model'!B7</f>
        <v>0</v>
      </c>
    </row>
    <row r="9" spans="1:6">
      <c r="A9" s="13">
        <v>0.115</v>
      </c>
      <c r="B9" s="10">
        <f>(('DCF Model'!B11*1.04/(1+0.115))+('DCF Model'!B11*1.04*1.035/(1+0.115)^2)+('DCF Model'!B11*1.04*1.035*1.05/(1+0.115)^3)+('DCF Model'!B11*1.04*1.035*1.05*1.065/(1+0.115)^4)+('DCF Model'!B11*1.04*1.035*1.05*1.065*1.07/(1+0.115)^5)+(('DCF Model'!B11*1.04*1.035*1.05*1.065*1.07*(1+0.02))/(0.115-0.02))/(1+0.115)^5-'DCF Model'!B10)/'DCF Model'!B7</f>
        <v>0</v>
      </c>
      <c r="C9" s="10">
        <f>(('DCF Model'!B11*1.04/(1+0.115))+('DCF Model'!B11*1.04*1.035/(1+0.115)^2)+('DCF Model'!B11*1.04*1.035*1.05/(1+0.115)^3)+('DCF Model'!B11*1.04*1.035*1.05*1.065/(1+0.115)^4)+('DCF Model'!B11*1.04*1.035*1.05*1.065*1.07/(1+0.115)^5)+(('DCF Model'!B11*1.04*1.035*1.05*1.065*1.07*(1+0.025))/(0.115-0.025))/(1+0.115)^5-'DCF Model'!B10)/'DCF Model'!B7</f>
        <v>0</v>
      </c>
      <c r="D9" s="10">
        <f>(('DCF Model'!B11*1.04/(1+0.115))+('DCF Model'!B11*1.04*1.035/(1+0.115)^2)+('DCF Model'!B11*1.04*1.035*1.05/(1+0.115)^3)+('DCF Model'!B11*1.04*1.035*1.05*1.065/(1+0.115)^4)+('DCF Model'!B11*1.04*1.035*1.05*1.065*1.07/(1+0.115)^5)+(('DCF Model'!B11*1.04*1.035*1.05*1.065*1.07*(1+0.03))/(0.115-0.03))/(1+0.115)^5-'DCF Model'!B10)/'DCF Model'!B7</f>
        <v>0</v>
      </c>
      <c r="E9" s="10">
        <f>(('DCF Model'!B11*1.04/(1+0.115))+('DCF Model'!B11*1.04*1.035/(1+0.115)^2)+('DCF Model'!B11*1.04*1.035*1.05/(1+0.115)^3)+('DCF Model'!B11*1.04*1.035*1.05*1.065/(1+0.115)^4)+('DCF Model'!B11*1.04*1.035*1.05*1.065*1.07/(1+0.115)^5)+(('DCF Model'!B11*1.04*1.035*1.05*1.065*1.07*(1+0.035))/(0.115-0.035))/(1+0.115)^5-'DCF Model'!B10)/'DCF Model'!B7</f>
        <v>0</v>
      </c>
      <c r="F9" s="10">
        <f>(('DCF Model'!B11*1.04/(1+0.115))+('DCF Model'!B11*1.04*1.035/(1+0.115)^2)+('DCF Model'!B11*1.04*1.035*1.05/(1+0.115)^3)+('DCF Model'!B11*1.04*1.035*1.05*1.065/(1+0.115)^4)+('DCF Model'!B11*1.04*1.035*1.05*1.065*1.07/(1+0.115)^5)+(('DCF Model'!B11*1.04*1.035*1.05*1.065*1.07*(1+0.04))/(0.115-0.04))/(1+0.115)^5-'DCF Model'!B10)/'DCF Model'!B7</f>
        <v>0</v>
      </c>
    </row>
    <row r="11" spans="1:6">
      <c r="A11" s="2" t="s">
        <v>49</v>
      </c>
      <c r="B11" s="2"/>
      <c r="C11" s="2"/>
      <c r="D11" s="2"/>
      <c r="E11" s="2"/>
      <c r="F11" s="2"/>
    </row>
  </sheetData>
  <mergeCells count="1">
    <mergeCell ref="A11:F1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25.7109375" customWidth="1"/>
    <col min="2" max="3" width="15.7109375" customWidth="1"/>
  </cols>
  <sheetData>
    <row r="1" spans="1:3">
      <c r="A1" s="1" t="s">
        <v>50</v>
      </c>
    </row>
    <row r="2" spans="1:3">
      <c r="A2" s="2" t="s">
        <v>51</v>
      </c>
    </row>
    <row r="4" spans="1:3">
      <c r="A4" s="7" t="s">
        <v>52</v>
      </c>
      <c r="B4" s="7" t="s">
        <v>53</v>
      </c>
      <c r="C4" s="7" t="s">
        <v>54</v>
      </c>
    </row>
    <row r="5" spans="1:3">
      <c r="A5" t="s">
        <v>55</v>
      </c>
      <c r="B5" s="12">
        <v>0.08</v>
      </c>
      <c r="C5" s="12">
        <v>0.15</v>
      </c>
    </row>
    <row r="6" spans="1:3">
      <c r="A6" t="s">
        <v>56</v>
      </c>
      <c r="B6" s="12">
        <v>0.393</v>
      </c>
      <c r="C6" s="12">
        <v>0.258</v>
      </c>
    </row>
    <row r="7" spans="1:3">
      <c r="A7" t="s">
        <v>57</v>
      </c>
      <c r="B7" s="12">
        <v>-0.044</v>
      </c>
      <c r="C7" s="12">
        <v>-0.039</v>
      </c>
    </row>
    <row r="8" spans="1:3">
      <c r="A8" t="s">
        <v>58</v>
      </c>
      <c r="B8" s="12">
        <v>0.206</v>
      </c>
      <c r="C8" s="12">
        <v>0.196</v>
      </c>
    </row>
    <row r="10" spans="1:3">
      <c r="A10" s="8" t="s">
        <v>59</v>
      </c>
      <c r="B10" s="12">
        <v>0.08</v>
      </c>
    </row>
    <row r="11" spans="1:3">
      <c r="A11" t="s">
        <v>60</v>
      </c>
      <c r="B11" t="s">
        <v>61</v>
      </c>
    </row>
    <row r="13" spans="1:3">
      <c r="A13" s="3" t="s">
        <v>62</v>
      </c>
    </row>
    <row r="14" spans="1:3">
      <c r="A14" t="s">
        <v>63</v>
      </c>
    </row>
    <row r="15" spans="1:3">
      <c r="A15" t="s">
        <v>64</v>
      </c>
    </row>
    <row r="16" spans="1:3">
      <c r="A16" t="s">
        <v>65</v>
      </c>
    </row>
    <row r="17" spans="1:1">
      <c r="A17" t="s">
        <v>66</v>
      </c>
    </row>
    <row r="18" spans="1:1">
      <c r="A18" t="s">
        <v>67</v>
      </c>
    </row>
    <row r="19" spans="1:1">
      <c r="A19"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7"/>
  <sheetViews>
    <sheetView workbookViewId="0"/>
  </sheetViews>
  <sheetFormatPr defaultRowHeight="15"/>
  <cols>
    <col min="1" max="1" width="20.7109375" customWidth="1"/>
    <col min="2" max="2" width="90.7109375" customWidth="1"/>
  </cols>
  <sheetData>
    <row r="1" spans="1:2">
      <c r="A1" s="1" t="s">
        <v>69</v>
      </c>
    </row>
    <row r="2" spans="1:2">
      <c r="A2" s="2" t="s">
        <v>70</v>
      </c>
    </row>
    <row r="4" spans="1:2">
      <c r="A4" s="3" t="s">
        <v>71</v>
      </c>
    </row>
    <row r="5" spans="1:2">
      <c r="A5" s="14" t="s">
        <v>72</v>
      </c>
      <c r="B5" s="14"/>
    </row>
    <row r="6" spans="1:2">
      <c r="A6" s="14"/>
      <c r="B6" s="14"/>
    </row>
    <row r="7" spans="1:2">
      <c r="A7" s="14"/>
      <c r="B7" s="14"/>
    </row>
    <row r="8" spans="1:2">
      <c r="A8" s="14"/>
      <c r="B8" s="14"/>
    </row>
    <row r="10" spans="1:2">
      <c r="A10" s="3" t="s">
        <v>73</v>
      </c>
    </row>
    <row r="11" spans="1:2">
      <c r="A11" t="s">
        <v>74</v>
      </c>
    </row>
    <row r="12" spans="1:2">
      <c r="A12" t="s">
        <v>75</v>
      </c>
    </row>
    <row r="13" spans="1:2">
      <c r="A13" t="s">
        <v>76</v>
      </c>
    </row>
    <row r="14" spans="1:2">
      <c r="A14" t="s">
        <v>77</v>
      </c>
    </row>
    <row r="15" spans="1:2">
      <c r="A15" t="s">
        <v>78</v>
      </c>
    </row>
    <row r="16" spans="1:2">
      <c r="A16" t="s">
        <v>79</v>
      </c>
    </row>
    <row r="17" spans="1:2">
      <c r="A17" t="s">
        <v>80</v>
      </c>
    </row>
    <row r="19" spans="1:2">
      <c r="A19" s="3" t="s">
        <v>81</v>
      </c>
    </row>
    <row r="20" spans="1:2">
      <c r="A20" t="s">
        <v>82</v>
      </c>
      <c r="B20" t="s">
        <v>83</v>
      </c>
    </row>
    <row r="21" spans="1:2">
      <c r="A21" t="s">
        <v>84</v>
      </c>
      <c r="B21" t="s">
        <v>85</v>
      </c>
    </row>
    <row r="22" spans="1:2">
      <c r="A22" t="s">
        <v>86</v>
      </c>
      <c r="B22" t="s">
        <v>87</v>
      </c>
    </row>
    <row r="23" spans="1:2">
      <c r="A23" t="s">
        <v>88</v>
      </c>
      <c r="B23" t="s">
        <v>89</v>
      </c>
    </row>
    <row r="25" spans="1:2">
      <c r="A25" s="3" t="s">
        <v>90</v>
      </c>
    </row>
    <row r="26" spans="1:2">
      <c r="A26" t="s">
        <v>91</v>
      </c>
      <c r="B26" t="s">
        <v>92</v>
      </c>
    </row>
    <row r="27" spans="1:2">
      <c r="A27" t="s">
        <v>93</v>
      </c>
      <c r="B27" t="s">
        <v>94</v>
      </c>
    </row>
  </sheetData>
  <mergeCells count="1">
    <mergeCell ref="A5: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DCF Model</vt:lpstr>
      <vt:lpstr>Sensitivity</vt:lpstr>
      <vt:lpstr>Historical</vt:lpstr>
      <vt:lpstr>Company Overview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2026-02-02T04:40:42Z</dcterms:created>
  <dcterms:modified xsi:type="dcterms:W3CDTF">2026-02-02T04:40:42Z</dcterms:modified>
</cp:coreProperties>
</file>