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Historical Financials" sheetId="2" state="visible" r:id="rId4"/>
    <sheet name="DCF Model" sheetId="3" state="visible" r:id="rId5"/>
    <sheet name="Sensitivity Analysis" sheetId="4" state="visible" r:id="rId6"/>
    <sheet name="Competitive Analysis" sheetId="5" state="visible" r:id="rId7"/>
    <sheet name="Investment The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<sst xmlns="http://schemas.openxmlformats.org/spreadsheetml/2006/main" count="330" uniqueCount="293">
  <si>
    <t xml:space="preserve">FISERV, INC. (FISV)</t>
  </si>
  <si>
    <t xml:space="preserve">Deep Dive Analysis &amp; DCF Valuation Model</t>
  </si>
  <si>
    <t xml:space="preserve">As of February 2, 2026</t>
  </si>
  <si>
    <t xml:space="preserve">COMPANY OVERVIEW</t>
  </si>
  <si>
    <t xml:space="preserve">Sector</t>
  </si>
  <si>
    <t xml:space="preserve">Information Technology / Fintech</t>
  </si>
  <si>
    <t xml:space="preserve">Industry</t>
  </si>
  <si>
    <t xml:space="preserve">Payment Processing &amp; Financial Services</t>
  </si>
  <si>
    <t xml:space="preserve">Headquarters</t>
  </si>
  <si>
    <t xml:space="preserve">Milwaukee, Wisconsin, USA</t>
  </si>
  <si>
    <t xml:space="preserve">CEO</t>
  </si>
  <si>
    <t xml:space="preserve">Mike Lyons (as of 2025)</t>
  </si>
  <si>
    <t xml:space="preserve">Employees</t>
  </si>
  <si>
    <t xml:space="preserve">~38,000</t>
  </si>
  <si>
    <t xml:space="preserve">Founded</t>
  </si>
  <si>
    <t xml:space="preserve">1984</t>
  </si>
  <si>
    <t xml:space="preserve">Key Acquisition</t>
  </si>
  <si>
    <t xml:space="preserve">First Data Corporation ($22B, 2019)</t>
  </si>
  <si>
    <t xml:space="preserve">BUSINESS SEGMENTS</t>
  </si>
  <si>
    <t xml:space="preserve">Segment</t>
  </si>
  <si>
    <t xml:space="preserve">Description</t>
  </si>
  <si>
    <t xml:space="preserve">2024 Rev Mix</t>
  </si>
  <si>
    <t xml:space="preserve">Growth (2024)</t>
  </si>
  <si>
    <t xml:space="preserve">Merchant Solutions</t>
  </si>
  <si>
    <t xml:space="preserve">Payment processing for SMB &amp; Enterprise</t>
  </si>
  <si>
    <t xml:space="preserve">~50%</t>
  </si>
  <si>
    <t xml:space="preserve">10%</t>
  </si>
  <si>
    <t xml:space="preserve">Financial Solutions</t>
  </si>
  <si>
    <t xml:space="preserve">Core banking &amp; card processing for FIs</t>
  </si>
  <si>
    <t xml:space="preserve">4%</t>
  </si>
  <si>
    <t xml:space="preserve">Clover (within Merchant)</t>
  </si>
  <si>
    <t xml:space="preserve">POS &amp; business management platform</t>
  </si>
  <si>
    <t xml:space="preserve">~13%</t>
  </si>
  <si>
    <t xml:space="preserve">28%</t>
  </si>
  <si>
    <t xml:space="preserve">KEY INVESTMENT HIGHLIGHTS</t>
  </si>
  <si>
    <t xml:space="preserve">✓ Market leader in payment processing - 2nd largest merchant acquirer in US</t>
  </si>
  <si>
    <t xml:space="preserve">✓ 39 consecutive years of double-digit adjusted EPS growth</t>
  </si>
  <si>
    <t xml:space="preserve">✓ High recurring revenue model (~81% processing services)</t>
  </si>
  <si>
    <t xml:space="preserve">✓ Strong free cash flow generation ($5+ billion annually)</t>
  </si>
  <si>
    <t xml:space="preserve">✓ Aggressive share repurchase program ($5.5B in 2024)</t>
  </si>
  <si>
    <t xml:space="preserve">✓ Clover platform driving growth with 28% revenue increase in 2024</t>
  </si>
  <si>
    <t xml:space="preserve">✓ International expansion opportunities (currently 85% US/Canada)</t>
  </si>
  <si>
    <t xml:space="preserve">KEY RISKS</t>
  </si>
  <si>
    <t xml:space="preserve">• Intense competition in SMB POS market (Square, Toast, Shift4)</t>
  </si>
  <si>
    <t xml:space="preserve">• Q3 2025 guidance reset - customer complaints on Clover fees</t>
  </si>
  <si>
    <t xml:space="preserve">• High debt load (~$30B) from First Data acquisition</t>
  </si>
  <si>
    <t xml:space="preserve">• Bank consolidation may reduce distribution partners</t>
  </si>
  <si>
    <t xml:space="preserve">• CEO transition in 2025 (Bisignano → Lyons)</t>
  </si>
  <si>
    <t xml:space="preserve">• Stock declined 40%+ in October 2025 after earnings miss</t>
  </si>
  <si>
    <t xml:space="preserve">VALUATION SUMMARY</t>
  </si>
  <si>
    <t xml:space="preserve">Metric</t>
  </si>
  <si>
    <t xml:space="preserve">Value</t>
  </si>
  <si>
    <t xml:space="preserve">Source</t>
  </si>
  <si>
    <t xml:space="preserve">Current Stock Price</t>
  </si>
  <si>
    <t xml:space="preserve">Market (Jan 2026)</t>
  </si>
  <si>
    <t xml:space="preserve">Shares Outstanding (M)</t>
  </si>
  <si>
    <t xml:space="preserve">Company Filing</t>
  </si>
  <si>
    <t xml:space="preserve">Market Cap ($B)</t>
  </si>
  <si>
    <t xml:space="preserve">Calculated</t>
  </si>
  <si>
    <t xml:space="preserve">Total Debt ($B)</t>
  </si>
  <si>
    <t xml:space="preserve">Cash ($B)</t>
  </si>
  <si>
    <t xml:space="preserve">Enterprise Value ($B)</t>
  </si>
  <si>
    <t xml:space="preserve">DCF Intrinsic Value/Share</t>
  </si>
  <si>
    <t xml:space="preserve">DCF Model</t>
  </si>
  <si>
    <t xml:space="preserve">Upside/(Downside)</t>
  </si>
  <si>
    <t xml:space="preserve">HISTORICAL FINANCIAL PERFORMANCE</t>
  </si>
  <si>
    <t xml:space="preserve">Income Statement ($M)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</si>
  <si>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</si>
  <si>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</si>
  <si>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</si>
  <si>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</si>
  <si>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</si>
  <si>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CAGR</t>
  </si>
  <si>
    <t xml:space="preserve">Revenue</t>
  </si>
  <si>
    <t xml:space="preserve">YoY Growth</t>
  </si>
  <si>
    <t xml:space="preserve">Operating Income</t>
  </si>
  <si>
    <t xml:space="preserve">Operating Margin</t>
  </si>
  <si>
    <t xml:space="preserve">Net Income</t>
  </si>
  <si>
    <t xml:space="preserve">Net Margin</t>
  </si>
  <si>
    <t xml:space="preserve">Diluted EPS</t>
  </si>
  <si>
    <t xml:space="preserve">Adjusted EPS</t>
  </si>
  <si>
    <t xml:space="preserve">Cash Flow Statement ($M)</t>
  </si>
  <si>
    <t xml:space="preserve">Operating Cash Flow</t>
  </si>
  <si>
    <t xml:space="preserve">Capital Expenditures</t>
  </si>
  <si>
    <t xml:space="preserve">Free Cash Flow</t>
  </si>
  <si>
    <t xml:space="preserve">FCF Margin</t>
  </si>
  <si>
    <t xml:space="preserve">Share Repurchases</t>
  </si>
  <si>
    <t xml:space="preserve">Balance Sheet Summary ($M)</t>
  </si>
  <si>
    <t xml:space="preserve">Cash &amp; Equivalents</t>
  </si>
  <si>
    <t xml:space="preserve">Total Debt</t>
  </si>
  <si>
    <t xml:space="preserve">Net Debt</t>
  </si>
  <si>
    <t xml:space="preserve">Shareholders' Equity</t>
  </si>
  <si>
    <t xml:space="preserve">Debt/Equity</t>
  </si>
  <si>
    <t xml:space="preserve">Key Ratios &amp; Metrics</t>
  </si>
  <si>
    <t xml:space="preserve">EBITDA ($M)</t>
  </si>
  <si>
    <t xml:space="preserve">EV/EBITDA</t>
  </si>
  <si>
    <t xml:space="preserve">P/E (Adjusted)</t>
  </si>
  <si>
    <t xml:space="preserve">ROE</t>
  </si>
  <si>
    <t xml:space="preserve">ROIC</t>
  </si>
  <si>
    <t xml:space="preserve">DISCOUNTED CASH FLOW VALUATION</t>
  </si>
  <si>
    <t xml:space="preserve">KEY ASSUMPTIONS</t>
  </si>
  <si>
    <t xml:space="preserve">Base Year Revenue ($M)</t>
  </si>
  <si>
    <t xml:space="preserve">Source: 2024 Annual Report</t>
  </si>
  <si>
    <t xml:space="preserve">Revenue Growth - Year 1</t>
  </si>
  <si>
    <t xml:space="preserve">Company guidance: 10-12% organic, conservative</t>
  </si>
  <si>
    <t xml:space="preserve">Revenue Growth - Year 2</t>
  </si>
  <si>
    <t xml:space="preserve">Moderating growth</t>
  </si>
  <si>
    <t xml:space="preserve">Revenue Growth - Year 3</t>
  </si>
  <si>
    <t xml:space="preserve">Continued moderation</t>
  </si>
  <si>
    <t xml:space="preserve">Revenue Growth - Year 4</t>
  </si>
  <si>
    <t xml:space="preserve">Approaching mature growth</t>
  </si>
  <si>
    <t xml:space="preserve">Revenue Growth - Year 5</t>
  </si>
  <si>
    <t xml:space="preserve">Terminal year growth approach</t>
  </si>
  <si>
    <t xml:space="preserve">FCF Margin - Base</t>
  </si>
  <si>
    <t xml:space="preserve">Based on 2024: $5.1B FCF / $20.5B Rev</t>
  </si>
  <si>
    <t xml:space="preserve">FCF Margin - Terminal</t>
  </si>
  <si>
    <t xml:space="preserve">Slight improvement with scale</t>
  </si>
  <si>
    <t xml:space="preserve">WACC</t>
  </si>
  <si>
    <t xml:space="preserve">Calculated below</t>
  </si>
  <si>
    <t xml:space="preserve">Terminal Growth Rate</t>
  </si>
  <si>
    <t xml:space="preserve">Long-term GDP growth proxy</t>
  </si>
  <si>
    <t xml:space="preserve">Risk-free Rate</t>
  </si>
  <si>
    <t xml:space="preserve">10-yr Treasury yield</t>
  </si>
  <si>
    <t xml:space="preserve">Equity Risk Premium</t>
  </si>
  <si>
    <t xml:space="preserve">Historical market premium</t>
  </si>
  <si>
    <t xml:space="preserve">Beta</t>
  </si>
  <si>
    <t xml:space="preserve">5-year monthly beta</t>
  </si>
  <si>
    <t xml:space="preserve">Cost of Equity</t>
  </si>
  <si>
    <t xml:space="preserve">CAPM: Rf + β(ERP)</t>
  </si>
  <si>
    <t xml:space="preserve">Cost of Debt (pre-tax)</t>
  </si>
  <si>
    <t xml:space="preserve">Estimated based on credit rating</t>
  </si>
  <si>
    <t xml:space="preserve">Tax Rate</t>
  </si>
  <si>
    <t xml:space="preserve">Federal corporate rate</t>
  </si>
  <si>
    <t xml:space="preserve">Cost of Debt (after-tax)</t>
  </si>
  <si>
    <t xml:space="preserve">Debt Weight</t>
  </si>
  <si>
    <t xml:space="preserve">D/(D+E) based on market values</t>
  </si>
  <si>
    <t xml:space="preserve">Equity Weight</t>
  </si>
  <si>
    <t xml:space="preserve">E/(D+E)</t>
  </si>
  <si>
    <t xml:space="preserve">Calculated WACC</t>
  </si>
  <si>
    <t xml:space="preserve">Debt*Kd + Equity*Ke</t>
  </si>
  <si>
    <t xml:space="preserve">REVENUE &amp; FREE CASH FLOW PROJECTIONS ($M)</t>
  </si>
  <si>
    <t xml:space="preserve">2024A</t>
  </si>
  <si>
    <t xml:space="preserve">2025E</t>
  </si>
  <si>
    <t xml:space="preserve">2026E</t>
  </si>
  <si>
    <t xml:space="preserve">2027E</t>
  </si>
  <si>
    <t xml:space="preserve">2028E</t>
  </si>
  <si>
    <t xml:space="preserve">2029E</t>
  </si>
  <si>
    <t xml:space="preserve">Terminal</t>
  </si>
  <si>
    <t xml:space="preserve">Growth Rate</t>
  </si>
  <si>
    <t xml:space="preserve">DCF CALCULATION</t>
  </si>
  <si>
    <t xml:space="preserve">Discount Period</t>
  </si>
  <si>
    <t xml:space="preserve">Discount Factor</t>
  </si>
  <si>
    <t xml:space="preserve">PV of FCF</t>
  </si>
  <si>
    <t xml:space="preserve">Terminal Value</t>
  </si>
  <si>
    <t xml:space="preserve">PV of Terminal Value</t>
  </si>
  <si>
    <t xml:space="preserve">Sum of PV of FCF ($M)</t>
  </si>
  <si>
    <t xml:space="preserve">PV of Terminal Value ($M)</t>
  </si>
  <si>
    <t xml:space="preserve">Enterprise Value ($M)</t>
  </si>
  <si>
    <t xml:space="preserve">Less: Net Debt ($M)</t>
  </si>
  <si>
    <t xml:space="preserve">Debt $30.3B - Cash $1.1B</t>
  </si>
  <si>
    <t xml:space="preserve">Equity Value ($M)</t>
  </si>
  <si>
    <t xml:space="preserve">Intrinsic Value per Share</t>
  </si>
  <si>
    <t xml:space="preserve">Current Share Price</t>
  </si>
  <si>
    <t xml:space="preserve">Implied Upside/(Downside)</t>
  </si>
  <si>
    <t xml:space="preserve">SENSITIVITY ANALYSIS</t>
  </si>
  <si>
    <t xml:space="preserve">Intrinsic Value Sensitivity: WACC vs Terminal Growth Rate</t>
  </si>
  <si>
    <t xml:space="preserve">Intrinsic Value Sensitivity: FCF Margin vs Revenue Growth (Year 1)</t>
  </si>
  <si>
    <t xml:space="preserve">Year 1 Revenue Growth</t>
  </si>
  <si>
    <t xml:space="preserve">KEY SENSITIVITY TAKEAWAYS</t>
  </si>
  <si>
    <t xml:space="preserve">• Value is highly sensitive to WACC and terminal growth rate assumptions</t>
  </si>
  <si>
    <t xml:space="preserve">• A 50bp change in WACC can impact value by ~$10-15 per share</t>
  </si>
  <si>
    <t xml:space="preserve">• Terminal growth rate of 3% is conservative; fintech may warrant higher</t>
  </si>
  <si>
    <t xml:space="preserve">• FCF margin improvement is key driver - each 1% adds ~$3-5 per share</t>
  </si>
  <si>
    <t xml:space="preserve">• Current price ($63.80) implies very pessimistic assumptions</t>
  </si>
  <si>
    <t xml:space="preserve">• Base case suggests significant undervaluation vs. intrinsic value</t>
  </si>
  <si>
    <t xml:space="preserve">COMPETITIVE LANDSCAPE</t>
  </si>
  <si>
    <t xml:space="preserve">PEER COMPARISON</t>
  </si>
  <si>
    <t xml:space="preserve">Company</t>
  </si>
  <si>
    <t xml:space="preserve">Ticker</t>
  </si>
  <si>
    <t xml:space="preserve">P/E</t>
  </si>
  <si>
    <t xml:space="preserve">Rev Growth</t>
  </si>
  <si>
    <t xml:space="preserve">Fiserv</t>
  </si>
  <si>
    <t xml:space="preserve">FISV</t>
  </si>
  <si>
    <t xml:space="preserve">FIS (Fidelity National)</t>
  </si>
  <si>
    <t xml:space="preserve">FIS</t>
  </si>
  <si>
    <t xml:space="preserve">Global Payments</t>
  </si>
  <si>
    <t xml:space="preserve">GPN</t>
  </si>
  <si>
    <t xml:space="preserve">Block (Square)</t>
  </si>
  <si>
    <t xml:space="preserve">SQ</t>
  </si>
  <si>
    <t xml:space="preserve">PayPal</t>
  </si>
  <si>
    <t xml:space="preserve">PYPL</t>
  </si>
  <si>
    <t xml:space="preserve">Toast</t>
  </si>
  <si>
    <t xml:space="preserve">TOST</t>
  </si>
  <si>
    <t xml:space="preserve">Peer Average (excl FISV)</t>
  </si>
  <si>
    <t xml:space="preserve">MARKET POSITION &amp; COMPETITIVE MOATS</t>
  </si>
  <si>
    <t xml:space="preserve">Competitive Advantage</t>
  </si>
  <si>
    <t xml:space="preserve">Strength</t>
  </si>
  <si>
    <t xml:space="preserve">Scale &amp; Network Effects</t>
  </si>
  <si>
    <t xml:space="preserve">Strong</t>
  </si>
  <si>
    <t xml:space="preserve">#2 US merchant acquirer, 41B transactions processed</t>
  </si>
  <si>
    <t xml:space="preserve">Bank Distribution Network</t>
  </si>
  <si>
    <t xml:space="preserve">1,000+ bank partners distributing Clover</t>
  </si>
  <si>
    <t xml:space="preserve">Switching Costs</t>
  </si>
  <si>
    <t xml:space="preserve">Moderate</t>
  </si>
  <si>
    <t xml:space="preserve">Core banking integrations sticky; SMB POS less so</t>
  </si>
  <si>
    <t xml:space="preserve">Technology Platform</t>
  </si>
  <si>
    <t xml:space="preserve">Clover, Carat, Finxact cloud platforms</t>
  </si>
  <si>
    <t xml:space="preserve">Cost Advantages</t>
  </si>
  <si>
    <t xml:space="preserve">Scale drives lower per-transaction costs</t>
  </si>
  <si>
    <t xml:space="preserve">Data &amp; Analytics</t>
  </si>
  <si>
    <t xml:space="preserve">Growing</t>
  </si>
  <si>
    <t xml:space="preserve">Payment data insights, fraud detection</t>
  </si>
  <si>
    <t xml:space="preserve">SWOT ANALYSIS</t>
  </si>
  <si>
    <t xml:space="preserve">STRENGTHS</t>
  </si>
  <si>
    <t xml:space="preserve">WEAKNESSES</t>
  </si>
  <si>
    <t xml:space="preserve">• Market leadership position</t>
  </si>
  <si>
    <t xml:space="preserve">• High debt levels ($30B)</t>
  </si>
  <si>
    <t xml:space="preserve">• Diversified revenue streams</t>
  </si>
  <si>
    <t xml:space="preserve">• Clover growth deceleration</t>
  </si>
  <si>
    <t xml:space="preserve">• Strong FCF generation</t>
  </si>
  <si>
    <t xml:space="preserve">• Customer fee complaints</t>
  </si>
  <si>
    <t xml:space="preserve">• Bank distribution moat</t>
  </si>
  <si>
    <t xml:space="preserve">• CEO transition risk</t>
  </si>
  <si>
    <t xml:space="preserve">• 39 years of EPS growth</t>
  </si>
  <si>
    <t xml:space="preserve">• Complex integration history</t>
  </si>
  <si>
    <t xml:space="preserve">OPPORTUNITIES</t>
  </si>
  <si>
    <t xml:space="preserve">THREATS</t>
  </si>
  <si>
    <t xml:space="preserve">• International expansion (15% today)</t>
  </si>
  <si>
    <t xml:space="preserve">• Intense SMB POS competition</t>
  </si>
  <si>
    <t xml:space="preserve">• Embedded finance growth</t>
  </si>
  <si>
    <t xml:space="preserve">• Bank consolidation</t>
  </si>
  <si>
    <t xml:space="preserve">• SMB digital transformation</t>
  </si>
  <si>
    <t xml:space="preserve">• Regulatory changes</t>
  </si>
  <si>
    <t xml:space="preserve">• Cross-sell value-added services</t>
  </si>
  <si>
    <t xml:space="preserve">• Fintech disruption</t>
  </si>
  <si>
    <t xml:space="preserve">• AI/ML integration</t>
  </si>
  <si>
    <t xml:space="preserve">• Economic downturn impact</t>
  </si>
  <si>
    <t xml:space="preserve">INVESTMENT THESIS: FISERV (FISV)</t>
  </si>
  <si>
    <t xml:space="preserve">SUMMARY RECOMMENDATION</t>
  </si>
  <si>
    <t xml:space="preserve">BUY - Significant undervaluation following October 2025 selloff</t>
  </si>
  <si>
    <t xml:space="preserve">BULL CASE:</t>
  </si>
  <si>
    <t xml:space="preserve">Fiserv represents a compelling value opportunity following the 40%+ stock decline in Q4 2025. The market </t>
  </si>
  <si>
    <t xml:space="preserve">has overreacted to near-term challenges, creating an attractive entry point for a high-quality fintech leader.</t>
  </si>
  <si>
    <t xml:space="preserve">1. UNDERVALUED MARKET LEADER</t>
  </si>
  <si>
    <t xml:space="preserve">   • Trading at 7.1x EV/EBITDA vs. peer average of ~12x</t>
  </si>
  <si>
    <t xml:space="preserve">   • P/E of 9.8x significantly below historical average of 18-20x</t>
  </si>
  <si>
    <t xml:space="preserve">   • DCF analysis suggests 50%+ upside to intrinsic value</t>
  </si>
  <si>
    <t xml:space="preserve">   • Market is pricing in permanent impairment that seems unlikely</t>
  </si>
  <si>
    <t xml:space="preserve">2. DURABLE COMPETITIVE ADVANTAGES</t>
  </si>
  <si>
    <t xml:space="preserve">   • #2 merchant acquirer in US with 41 billion transactions processed</t>
  </si>
  <si>
    <t xml:space="preserve">   • 1,000+ bank partners provide unique distribution for Clover</t>
  </si>
  <si>
    <t xml:space="preserve">   • High switching costs in core banking (Financial Solutions)</t>
  </si>
  <si>
    <t xml:space="preserve">   • Scale economies drive margin expansion opportunity</t>
  </si>
  <si>
    <t xml:space="preserve">3. STRONG CASH FLOW GENERATION</t>
  </si>
  <si>
    <t xml:space="preserve">   • $5+ billion annual free cash flow</t>
  </si>
  <si>
    <t xml:space="preserve">   • 25%+ FCF margin with expansion potential</t>
  </si>
  <si>
    <t xml:space="preserve">   • Consistent shareholder returns via buybacks ($5.5B in 2024)</t>
  </si>
  <si>
    <t xml:space="preserve">   • Ability to de-leverage while maintaining growth investments</t>
  </si>
  <si>
    <t xml:space="preserve">4. CLOVER GROWTH STORY INTACT</t>
  </si>
  <si>
    <t xml:space="preserve">   • Despite slowdown, still growing 20%+ annually</t>
  </si>
  <si>
    <t xml:space="preserve">   • International expansion just beginning (Europe, APAC)</t>
  </si>
  <si>
    <t xml:space="preserve">   • Value-added services penetration still low (&lt;25%)</t>
  </si>
  <si>
    <t xml:space="preserve">   • Platform model creates long-term stickiness</t>
  </si>
  <si>
    <t xml:space="preserve">5. MANAGEMENT TRANSITION OPPORTUNITY</t>
  </si>
  <si>
    <t xml:space="preserve">   • New CEO Mike Lyons brings fresh perspective</t>
  </si>
  <si>
    <t xml:space="preserve">   • "One Fiserv" initiative focused on operational excellence</t>
  </si>
  <si>
    <t xml:space="preserve">   • Potential catalyst for improved execution and sentiment</t>
  </si>
  <si>
    <t xml:space="preserve">BEAR CASE / KEY RISKS:</t>
  </si>
  <si>
    <t xml:space="preserve">1. COMPETITION INTENSIFYING</t>
  </si>
  <si>
    <t xml:space="preserve">   • Square, Toast, Shift4 aggressively targeting SMB market</t>
  </si>
  <si>
    <t xml:space="preserve">   • Vertical-specific solutions gaining traction</t>
  </si>
  <si>
    <t xml:space="preserve">   • Price competition could pressure margins</t>
  </si>
  <si>
    <t xml:space="preserve">2. CLOVER DECELERATION</t>
  </si>
  <si>
    <t xml:space="preserve">   • Q3 2025 volume growth slowed to 8% from 20%+</t>
  </si>
  <si>
    <t xml:space="preserve">   • Customer fee complaints causing churn</t>
  </si>
  <si>
    <t xml:space="preserve">   • Bank of America exiting partnership a negative signal</t>
  </si>
  <si>
    <t xml:space="preserve">3. HIGH DEBT BURDEN</t>
  </si>
  <si>
    <t xml:space="preserve">   • $30B debt load constrains flexibility</t>
  </si>
  <si>
    <t xml:space="preserve">   • Rising rates increase interest expense</t>
  </si>
  <si>
    <t xml:space="preserve">   • Limits M&amp;A optionality</t>
  </si>
  <si>
    <t xml:space="preserve">4. MACROECONOMIC SENSITIVITY</t>
  </si>
  <si>
    <t xml:space="preserve">   • SMB segment vulnerable to recession</t>
  </si>
  <si>
    <t xml:space="preserve">   • Consumer spending slowdown impacts volumes</t>
  </si>
  <si>
    <t xml:space="preserve">   • Bank consolidation reduces partners</t>
  </si>
  <si>
    <t xml:space="preserve">VALUATION:</t>
  </si>
  <si>
    <t xml:space="preserve">Base Case DCF: $95-110 per share (50-70% upside)</t>
  </si>
  <si>
    <t xml:space="preserve">Bull Case: $130+ per share (assumes re-rating to peer multiples)</t>
  </si>
  <si>
    <t xml:space="preserve">Bear Case: $55-60 per share (assumes permanent margin compression)</t>
  </si>
  <si>
    <t xml:space="preserve">Current valuation of ~$64 implies the market expects permanent impairment to the business model.</t>
  </si>
  <si>
    <t xml:space="preserve">Given Fiserv's market position, cash flow generation, and diversified revenue streams, this</t>
  </si>
  <si>
    <t xml:space="preserve">pessimism appears overdone.</t>
  </si>
  <si>
    <t xml:space="preserve">RECOMMENDATION: Accumulate on weakness with 12-18 month time horizon.</t>
  </si>
  <si>
    <t xml:space="preserve">Price Target: $105 (65% upside)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</si>
</sst>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0.0%"/>
    <numFmt numFmtId="167" formatCode="#,##0"/>
    <numFmt numFmtId="168" formatCode="\$#,##0.00"/>
    <numFmt numFmtId="169" formatCode="0.00\x"/>
    <numFmt numFmtId="170" formatCode="0.0\x"/>
    <numFmt numFmtId="171" formatCode="0.000"/>
    <numFmt numFmtId="172" formatCode="#,##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mbria"/>
      <family val="0"/>
      <charset val="1"/>
    </font>
    <font>
      <b val="true"/>
      <sz val="12"/>
      <color rgb="FF666666"/>
      <name val="Cambria"/>
      <family val="0"/>
      <charset val="1"/>
    </font>
    <font>
      <i val="true"/>
      <sz val="10"/>
      <color rgb="FF88888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4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6"/>
      <color rgb="FF1F4E79"/>
      <name val="Cambria"/>
      <family val="0"/>
      <charset val="1"/>
    </font>
    <font>
      <b val="true"/>
      <sz val="12"/>
      <color rgb="FF008000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6EAF8"/>
      </patternFill>
    </fill>
    <fill>
      <patternFill patternType="solid">
        <fgColor rgb="FFD6EAF8"/>
        <bgColor rgb="FFF2F2F2"/>
      </patternFill>
    </fill>
    <fill>
      <patternFill patternType="solid">
        <fgColor rgb="FFFFC7CE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2F2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7" min="3" style="1" width="18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15" hidden="false" customHeight="true" outlineLevel="0" collapsed="false">
      <c r="B6" s="5" t="s">
        <v>3</v>
      </c>
      <c r="C6" s="5"/>
      <c r="D6" s="5"/>
      <c r="E6" s="5"/>
      <c r="F6" s="5"/>
    </row>
    <row r="7" customFormat="false" ht="15" hidden="false" customHeight="true" outlineLevel="0" collapsed="false">
      <c r="B7" s="6" t="s">
        <v>4</v>
      </c>
      <c r="C7" s="1" t="s">
        <v>5</v>
      </c>
    </row>
    <row r="8" customFormat="false" ht="15" hidden="false" customHeight="true" outlineLevel="0" collapsed="false">
      <c r="B8" s="6" t="s">
        <v>6</v>
      </c>
      <c r="C8" s="1" t="s">
        <v>7</v>
      </c>
    </row>
    <row r="9" customFormat="false" ht="15" hidden="false" customHeight="true" outlineLevel="0" collapsed="false">
      <c r="B9" s="6" t="s">
        <v>8</v>
      </c>
      <c r="C9" s="1" t="s">
        <v>9</v>
      </c>
    </row>
    <row r="10" customFormat="false" ht="15" hidden="false" customHeight="true" outlineLevel="0" collapsed="false">
      <c r="B10" s="6" t="s">
        <v>10</v>
      </c>
      <c r="C10" s="1" t="s">
        <v>11</v>
      </c>
    </row>
    <row r="11" customFormat="false" ht="15" hidden="false" customHeight="true" outlineLevel="0" collapsed="false">
      <c r="B11" s="6" t="s">
        <v>12</v>
      </c>
      <c r="C11" s="1" t="s">
        <v>13</v>
      </c>
    </row>
    <row r="12" customFormat="false" ht="15" hidden="false" customHeight="true" outlineLevel="0" collapsed="false">
      <c r="B12" s="6" t="s">
        <v>14</v>
      </c>
      <c r="C12" s="1" t="s">
        <v>15</v>
      </c>
    </row>
    <row r="13" customFormat="false" ht="15" hidden="false" customHeight="true" outlineLevel="0" collapsed="false">
      <c r="B13" s="6" t="s">
        <v>16</v>
      </c>
      <c r="C13" s="1" t="s">
        <v>17</v>
      </c>
    </row>
    <row r="15" customFormat="false" ht="15" hidden="false" customHeight="true" outlineLevel="0" collapsed="false">
      <c r="B15" s="5" t="s">
        <v>18</v>
      </c>
      <c r="C15" s="5"/>
      <c r="D15" s="5"/>
      <c r="E15" s="5"/>
      <c r="F15" s="5"/>
    </row>
    <row r="16" customFormat="false" ht="15" hidden="false" customHeight="true" outlineLevel="0" collapsed="false">
      <c r="B16" s="7" t="s">
        <v>19</v>
      </c>
      <c r="C16" s="7" t="s">
        <v>20</v>
      </c>
      <c r="D16" s="7" t="s">
        <v>21</v>
      </c>
      <c r="E16" s="7" t="s">
        <v>22</v>
      </c>
    </row>
    <row r="17" customFormat="false" ht="15" hidden="false" customHeight="true" outlineLevel="0" collapsed="false">
      <c r="B17" s="1" t="s">
        <v>23</v>
      </c>
      <c r="C17" s="1" t="s">
        <v>24</v>
      </c>
      <c r="D17" s="1" t="s">
        <v>25</v>
      </c>
      <c r="E17" s="1" t="s">
        <v>26</v>
      </c>
    </row>
    <row r="18" customFormat="false" ht="15" hidden="false" customHeight="true" outlineLevel="0" collapsed="false">
      <c r="B18" s="1" t="s">
        <v>27</v>
      </c>
      <c r="C18" s="1" t="s">
        <v>28</v>
      </c>
      <c r="D18" s="1" t="s">
        <v>25</v>
      </c>
      <c r="E18" s="1" t="s">
        <v>29</v>
      </c>
    </row>
    <row r="19" customFormat="false" ht="15" hidden="false" customHeight="true" outlineLevel="0" collapsed="false">
      <c r="B19" s="1" t="s">
        <v>30</v>
      </c>
      <c r="C19" s="1" t="s">
        <v>31</v>
      </c>
      <c r="D19" s="1" t="s">
        <v>32</v>
      </c>
      <c r="E19" s="1" t="s">
        <v>33</v>
      </c>
    </row>
    <row r="22" customFormat="false" ht="15" hidden="false" customHeight="true" outlineLevel="0" collapsed="false">
      <c r="B22" s="5" t="s">
        <v>34</v>
      </c>
      <c r="C22" s="5"/>
      <c r="D22" s="5"/>
      <c r="E22" s="5"/>
      <c r="F22" s="5"/>
    </row>
    <row r="23" customFormat="false" ht="15" hidden="false" customHeight="true" outlineLevel="0" collapsed="false">
      <c r="B23" s="1" t="s">
        <v>35</v>
      </c>
    </row>
    <row r="24" customFormat="false" ht="15" hidden="false" customHeight="true" outlineLevel="0" collapsed="false">
      <c r="B24" s="1" t="s">
        <v>36</v>
      </c>
    </row>
    <row r="25" customFormat="false" ht="15" hidden="false" customHeight="true" outlineLevel="0" collapsed="false">
      <c r="B25" s="1" t="s">
        <v>37</v>
      </c>
    </row>
    <row r="26" customFormat="false" ht="15" hidden="false" customHeight="true" outlineLevel="0" collapsed="false">
      <c r="B26" s="1" t="s">
        <v>38</v>
      </c>
    </row>
    <row r="27" customFormat="false" ht="15" hidden="false" customHeight="true" outlineLevel="0" collapsed="false">
      <c r="B27" s="1" t="s">
        <v>39</v>
      </c>
    </row>
    <row r="28" customFormat="false" ht="15" hidden="false" customHeight="true" outlineLevel="0" collapsed="false">
      <c r="B28" s="1" t="s">
        <v>40</v>
      </c>
    </row>
    <row r="29" customFormat="false" ht="15" hidden="false" customHeight="true" outlineLevel="0" collapsed="false">
      <c r="B29" s="1" t="s">
        <v>41</v>
      </c>
    </row>
    <row r="31" customFormat="false" ht="15" hidden="false" customHeight="true" outlineLevel="0" collapsed="false">
      <c r="B31" s="5" t="s">
        <v>42</v>
      </c>
      <c r="C31" s="5"/>
      <c r="D31" s="5"/>
      <c r="E31" s="5"/>
      <c r="F31" s="5"/>
    </row>
    <row r="32" customFormat="false" ht="15" hidden="false" customHeight="true" outlineLevel="0" collapsed="false">
      <c r="B32" s="1" t="s">
        <v>43</v>
      </c>
    </row>
    <row r="33" customFormat="false" ht="15" hidden="false" customHeight="true" outlineLevel="0" collapsed="false">
      <c r="B33" s="1" t="s">
        <v>44</v>
      </c>
    </row>
    <row r="34" customFormat="false" ht="15" hidden="false" customHeight="true" outlineLevel="0" collapsed="false">
      <c r="B34" s="1" t="s">
        <v>45</v>
      </c>
    </row>
    <row r="35" customFormat="false" ht="15" hidden="false" customHeight="true" outlineLevel="0" collapsed="false">
      <c r="B35" s="1" t="s">
        <v>46</v>
      </c>
    </row>
    <row r="36" customFormat="false" ht="15" hidden="false" customHeight="true" outlineLevel="0" collapsed="false">
      <c r="B36" s="1" t="s">
        <v>47</v>
      </c>
    </row>
    <row r="37" customFormat="false" ht="15" hidden="false" customHeight="true" outlineLevel="0" collapsed="false">
      <c r="B37" s="1" t="s">
        <v>48</v>
      </c>
    </row>
    <row r="40" customFormat="false" ht="15" hidden="false" customHeight="true" outlineLevel="0" collapsed="false">
      <c r="B40" s="5" t="s">
        <v>49</v>
      </c>
      <c r="C40" s="5"/>
      <c r="D40" s="5"/>
      <c r="E40" s="5"/>
      <c r="F40" s="5"/>
    </row>
    <row r="41" customFormat="false" ht="15" hidden="false" customHeight="true" outlineLevel="0" collapsed="false">
      <c r="B41" s="7" t="s">
        <v>50</v>
      </c>
      <c r="C41" s="7" t="s">
        <v>51</v>
      </c>
      <c r="D41" s="7" t="s">
        <v>52</v>
      </c>
    </row>
    <row r="42" customFormat="false" ht="15" hidden="false" customHeight="true" outlineLevel="0" collapsed="false">
      <c r="B42" s="6" t="s">
        <v>53</v>
      </c>
      <c r="C42" s="8" t="n">
        <v>63.8</v>
      </c>
      <c r="D42" s="1" t="s">
        <v>54</v>
      </c>
    </row>
    <row r="43" customFormat="false" ht="15" hidden="false" customHeight="true" outlineLevel="0" collapsed="false">
      <c r="B43" s="6" t="s">
        <v>55</v>
      </c>
      <c r="C43" s="8" t="n">
        <v>538</v>
      </c>
      <c r="D43" s="1" t="s">
        <v>56</v>
      </c>
    </row>
    <row r="44" customFormat="false" ht="15" hidden="false" customHeight="true" outlineLevel="0" collapsed="false">
      <c r="B44" s="6" t="s">
        <v>57</v>
      </c>
      <c r="C44" s="9" t="n">
        <f aca="false">C42*C43/1000</f>
        <v>34.3244</v>
      </c>
      <c r="D44" s="1" t="s">
        <v>58</v>
      </c>
    </row>
    <row r="45" customFormat="false" ht="15" hidden="false" customHeight="true" outlineLevel="0" collapsed="false">
      <c r="B45" s="6" t="s">
        <v>59</v>
      </c>
      <c r="C45" s="8" t="n">
        <v>30.3</v>
      </c>
      <c r="D45" s="1" t="s">
        <v>56</v>
      </c>
    </row>
    <row r="46" customFormat="false" ht="15" hidden="false" customHeight="true" outlineLevel="0" collapsed="false">
      <c r="B46" s="6" t="s">
        <v>60</v>
      </c>
      <c r="C46" s="8" t="n">
        <v>1.1</v>
      </c>
      <c r="D46" s="1" t="s">
        <v>56</v>
      </c>
    </row>
    <row r="47" customFormat="false" ht="15" hidden="false" customHeight="true" outlineLevel="0" collapsed="false">
      <c r="B47" s="6" t="s">
        <v>61</v>
      </c>
      <c r="C47" s="10" t="n">
        <f aca="false">C44+C45-C46</f>
        <v>63.5244</v>
      </c>
      <c r="D47" s="1" t="s">
        <v>58</v>
      </c>
    </row>
    <row r="48" customFormat="false" ht="15" hidden="false" customHeight="true" outlineLevel="0" collapsed="false">
      <c r="B48" s="6"/>
    </row>
    <row r="49" customFormat="false" ht="15" hidden="false" customHeight="true" outlineLevel="0" collapsed="false">
      <c r="B49" s="6" t="s">
        <v>62</v>
      </c>
      <c r="C49" s="10" t="n">
        <f aca="false">'DCF Model'!D50</f>
        <v>0</v>
      </c>
      <c r="D49" s="1" t="s">
        <v>63</v>
      </c>
    </row>
    <row r="50" customFormat="false" ht="15" hidden="false" customHeight="true" outlineLevel="0" collapsed="false">
      <c r="B50" s="6" t="s">
        <v>64</v>
      </c>
      <c r="C50" s="9" t="n">
        <f aca="false">C49/C42-1</f>
        <v>-1</v>
      </c>
      <c r="D50" s="1" t="s">
        <v>58</v>
      </c>
    </row>
  </sheetData>
  <mergeCells count="5">
    <mergeCell ref="B6:F6"/>
    <mergeCell ref="B15:F15"/>
    <mergeCell ref="B22:F22"/>
    <mergeCell ref="B31:F31"/>
    <mergeCell ref="B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8" min="3" style="1" width="14"/>
  </cols>
  <sheetData>
    <row r="2" customFormat="false" ht="17.25" hidden="false" customHeight="true" outlineLevel="0" collapsed="false">
      <c r="B2" s="11" t="s">
        <v>65</v>
      </c>
    </row>
    <row r="4" customFormat="false" ht="15" hidden="false" customHeight="true" outlineLevel="0" collapsed="false">
      <c r="B4" s="12" t="s">
        <v>66</v>
      </c>
    </row>
    <row r="5" customFormat="false" ht="15" hidden="false" customHeight="true" outlineLevel="0" collapsed="false">
      <c r="B5" s="13"/>
      <c r="C5" s="13" t="s">
        <v>67</v>
      </c>
      <c r="D5" s="13" t="s">
        <v>68</v>
      </c>
      <c r="E5" s="13" t="s">
        <v>69</v>
      </c>
      <c r="F5" s="13" t="s">
        <v>70</v>
      </c>
      <c r="G5" s="13" t="s">
        <v>71</v>
      </c>
      <c r="H5" s="13" t="s">
        <v>72</v>
      </c>
    </row>
    <row r="6" customFormat="false" ht="15" hidden="false" customHeight="true" outlineLevel="0" collapsed="false">
      <c r="B6" s="6" t="s">
        <v>73</v>
      </c>
      <c r="C6" s="14" t="n">
        <v>14850</v>
      </c>
      <c r="D6" s="14" t="n">
        <v>16226</v>
      </c>
      <c r="E6" s="14" t="n">
        <v>17737</v>
      </c>
      <c r="F6" s="14" t="n">
        <v>19093</v>
      </c>
      <c r="G6" s="14" t="n">
        <v>20456</v>
      </c>
      <c r="H6" s="9" t="n">
        <f aca="false">(G6/C6)^(1/4)-1</f>
        <v>0.0833619180145759</v>
      </c>
    </row>
    <row r="7" customFormat="false" ht="15" hidden="false" customHeight="true" outlineLevel="0" collapsed="false">
      <c r="B7" s="6" t="s">
        <v>74</v>
      </c>
      <c r="D7" s="9" t="n">
        <f aca="false">(D6-C6)/C6</f>
        <v>0.0926599326599327</v>
      </c>
      <c r="E7" s="9" t="n">
        <f aca="false">(E6-D6)/D6</f>
        <v>0.093122149636386</v>
      </c>
      <c r="F7" s="9" t="n">
        <f aca="false">(F6-E6)/E6</f>
        <v>0.0764503580086824</v>
      </c>
      <c r="G7" s="9" t="n">
        <f aca="false">(G6-F6)/F6</f>
        <v>0.0713874194731053</v>
      </c>
    </row>
    <row r="8" customFormat="false" ht="15" hidden="false" customHeight="true" outlineLevel="0" collapsed="false">
      <c r="B8" s="6"/>
    </row>
    <row r="9" customFormat="false" ht="15" hidden="false" customHeight="true" outlineLevel="0" collapsed="false">
      <c r="B9" s="6" t="s">
        <v>75</v>
      </c>
      <c r="C9" s="14" t="n">
        <v>1680</v>
      </c>
      <c r="D9" s="14" t="n">
        <v>2457</v>
      </c>
      <c r="E9" s="14" t="n">
        <v>2845</v>
      </c>
      <c r="F9" s="14" t="n">
        <v>5026</v>
      </c>
      <c r="G9" s="14" t="n">
        <v>5866</v>
      </c>
    </row>
    <row r="10" customFormat="false" ht="15" hidden="false" customHeight="true" outlineLevel="0" collapsed="false">
      <c r="B10" s="6" t="s">
        <v>76</v>
      </c>
      <c r="C10" s="9" t="n">
        <f aca="false">C9/C6</f>
        <v>0.113131313131313</v>
      </c>
      <c r="D10" s="9" t="n">
        <f aca="false">D9/D6</f>
        <v>0.151423641069888</v>
      </c>
      <c r="E10" s="9" t="n">
        <f aca="false">E9/E6</f>
        <v>0.160399165586063</v>
      </c>
      <c r="F10" s="9" t="n">
        <f aca="false">F9/F6</f>
        <v>0.263237835856073</v>
      </c>
      <c r="G10" s="9" t="n">
        <f aca="false">G9/G6</f>
        <v>0.286761830269848</v>
      </c>
    </row>
    <row r="11" customFormat="false" ht="15" hidden="false" customHeight="true" outlineLevel="0" collapsed="false">
      <c r="B11" s="6"/>
    </row>
    <row r="12" customFormat="false" ht="15" hidden="false" customHeight="true" outlineLevel="0" collapsed="false">
      <c r="B12" s="6" t="s">
        <v>77</v>
      </c>
      <c r="C12" s="14" t="n">
        <v>958</v>
      </c>
      <c r="D12" s="14" t="n">
        <v>1334</v>
      </c>
      <c r="E12" s="14" t="n">
        <v>2530</v>
      </c>
      <c r="F12" s="14" t="n">
        <v>3068</v>
      </c>
      <c r="G12" s="14" t="n">
        <v>3131</v>
      </c>
      <c r="H12" s="9" t="n">
        <f aca="false">(G12/C12)^(1/4)-1</f>
        <v>0.344557531192069</v>
      </c>
    </row>
    <row r="13" customFormat="false" ht="15" hidden="false" customHeight="true" outlineLevel="0" collapsed="false">
      <c r="B13" s="6" t="s">
        <v>78</v>
      </c>
      <c r="C13" s="9" t="n">
        <f aca="false">C12/C6</f>
        <v>0.0645117845117845</v>
      </c>
      <c r="D13" s="9" t="n">
        <f aca="false">D12/D6</f>
        <v>0.0822137310489338</v>
      </c>
      <c r="E13" s="9" t="n">
        <f aca="false">E12/E6</f>
        <v>0.142639679765462</v>
      </c>
      <c r="F13" s="9" t="n">
        <f aca="false">F12/F6</f>
        <v>0.160687162834547</v>
      </c>
      <c r="G13" s="9" t="n">
        <f aca="false">G12/G6</f>
        <v>0.153060226828314</v>
      </c>
    </row>
    <row r="14" customFormat="false" ht="15" hidden="false" customHeight="true" outlineLevel="0" collapsed="false">
      <c r="B14" s="6"/>
    </row>
    <row r="15" customFormat="false" ht="15" hidden="false" customHeight="true" outlineLevel="0" collapsed="false">
      <c r="B15" s="6" t="s">
        <v>79</v>
      </c>
      <c r="C15" s="15" t="n">
        <v>1.4</v>
      </c>
      <c r="D15" s="15" t="n">
        <v>1.99</v>
      </c>
      <c r="E15" s="15" t="n">
        <v>3.98</v>
      </c>
      <c r="F15" s="15" t="n">
        <v>5</v>
      </c>
      <c r="G15" s="15" t="n">
        <v>5.38</v>
      </c>
    </row>
    <row r="16" customFormat="false" ht="15" hidden="false" customHeight="true" outlineLevel="0" collapsed="false">
      <c r="B16" s="6" t="s">
        <v>80</v>
      </c>
      <c r="C16" s="15" t="n">
        <v>4.42</v>
      </c>
      <c r="D16" s="15" t="n">
        <v>5.58</v>
      </c>
      <c r="E16" s="15" t="n">
        <v>6.49</v>
      </c>
      <c r="F16" s="15" t="n">
        <v>7.51</v>
      </c>
      <c r="G16" s="15" t="n">
        <v>8.8</v>
      </c>
      <c r="H16" s="9" t="n">
        <f aca="false">(G16/C16)^(1/4)-1</f>
        <v>0.187859569365563</v>
      </c>
    </row>
    <row r="19" customFormat="false" ht="15" hidden="false" customHeight="true" outlineLevel="0" collapsed="false">
      <c r="B19" s="12" t="s">
        <v>81</v>
      </c>
    </row>
    <row r="20" customFormat="false" ht="15" hidden="false" customHeight="true" outlineLevel="0" collapsed="false">
      <c r="B20" s="13"/>
      <c r="C20" s="13" t="s">
        <v>67</v>
      </c>
      <c r="D20" s="13" t="s">
        <v>68</v>
      </c>
      <c r="E20" s="13" t="s">
        <v>69</v>
      </c>
      <c r="F20" s="13" t="s">
        <v>70</v>
      </c>
      <c r="G20" s="13" t="s">
        <v>71</v>
      </c>
      <c r="H20" s="13" t="s">
        <v>72</v>
      </c>
    </row>
    <row r="21" customFormat="false" ht="15" hidden="false" customHeight="true" outlineLevel="0" collapsed="false">
      <c r="B21" s="6" t="s">
        <v>82</v>
      </c>
      <c r="C21" s="14" t="n">
        <v>4207</v>
      </c>
      <c r="D21" s="14" t="n">
        <v>5028</v>
      </c>
      <c r="E21" s="14" t="n">
        <v>5164</v>
      </c>
      <c r="F21" s="14" t="n">
        <v>5165</v>
      </c>
      <c r="G21" s="14" t="n">
        <v>6690</v>
      </c>
      <c r="H21" s="16" t="n">
        <f aca="false">(G21/C21)^(1/4)-1</f>
        <v>0.122957710442991</v>
      </c>
    </row>
    <row r="22" customFormat="false" ht="15" hidden="false" customHeight="true" outlineLevel="0" collapsed="false">
      <c r="B22" s="6" t="s">
        <v>83</v>
      </c>
      <c r="C22" s="14" t="n">
        <v>-1158</v>
      </c>
      <c r="D22" s="14" t="n">
        <v>-1293</v>
      </c>
      <c r="E22" s="14" t="n">
        <v>-1325</v>
      </c>
      <c r="F22" s="14" t="n">
        <v>-1408</v>
      </c>
      <c r="G22" s="14" t="n">
        <v>-1572</v>
      </c>
    </row>
    <row r="23" customFormat="false" ht="15" hidden="false" customHeight="true" outlineLevel="0" collapsed="false">
      <c r="B23" s="6" t="s">
        <v>84</v>
      </c>
      <c r="C23" s="16" t="n">
        <f aca="false">C21+C22</f>
        <v>3049</v>
      </c>
      <c r="D23" s="16" t="n">
        <f aca="false">D21+D22</f>
        <v>3735</v>
      </c>
      <c r="E23" s="16" t="n">
        <f aca="false">E21+E22</f>
        <v>3839</v>
      </c>
      <c r="F23" s="16" t="n">
        <f aca="false">F21+F22</f>
        <v>3757</v>
      </c>
      <c r="G23" s="16" t="n">
        <f aca="false">G21+G22</f>
        <v>5118</v>
      </c>
      <c r="H23" s="16" t="n">
        <f aca="false">(G23/C23)^(1/4)-1</f>
        <v>0.138244903155693</v>
      </c>
    </row>
    <row r="24" customFormat="false" ht="15" hidden="false" customHeight="true" outlineLevel="0" collapsed="false">
      <c r="B24" s="6" t="s">
        <v>85</v>
      </c>
      <c r="C24" s="9" t="n">
        <f aca="false">C23/C6</f>
        <v>0.205319865319865</v>
      </c>
      <c r="D24" s="9" t="n">
        <f aca="false">D23/D6</f>
        <v>0.230186121040306</v>
      </c>
      <c r="E24" s="9" t="n">
        <f aca="false">E23/E6</f>
        <v>0.216440209731071</v>
      </c>
      <c r="F24" s="9" t="n">
        <f aca="false">F23/F6</f>
        <v>0.196773686691458</v>
      </c>
      <c r="G24" s="9" t="n">
        <f aca="false">G23/G6</f>
        <v>0.250195541650372</v>
      </c>
    </row>
    <row r="25" customFormat="false" ht="15" hidden="false" customHeight="true" outlineLevel="0" collapsed="false">
      <c r="B25" s="6"/>
    </row>
    <row r="26" customFormat="false" ht="15" hidden="false" customHeight="true" outlineLevel="0" collapsed="false">
      <c r="B26" s="6" t="s">
        <v>86</v>
      </c>
      <c r="C26" s="14" t="n">
        <v>-2500</v>
      </c>
      <c r="D26" s="14" t="n">
        <v>-3000</v>
      </c>
      <c r="E26" s="14" t="n">
        <v>-3600</v>
      </c>
      <c r="F26" s="14" t="n">
        <v>-4200</v>
      </c>
      <c r="G26" s="14" t="n">
        <v>-5500</v>
      </c>
    </row>
    <row r="27" customFormat="false" ht="15" hidden="false" customHeight="true" outlineLevel="0" collapsed="false">
      <c r="B27" s="6" t="s">
        <v>55</v>
      </c>
      <c r="C27" s="14" t="n">
        <v>687</v>
      </c>
      <c r="D27" s="14" t="n">
        <v>665</v>
      </c>
      <c r="E27" s="14" t="n">
        <v>635</v>
      </c>
      <c r="F27" s="14" t="n">
        <v>610</v>
      </c>
      <c r="G27" s="14" t="n">
        <v>576</v>
      </c>
    </row>
    <row r="30" customFormat="false" ht="15" hidden="false" customHeight="true" outlineLevel="0" collapsed="false">
      <c r="B30" s="12" t="s">
        <v>87</v>
      </c>
    </row>
    <row r="31" customFormat="false" ht="15" hidden="false" customHeight="true" outlineLevel="0" collapsed="false">
      <c r="B31" s="13"/>
      <c r="C31" s="13" t="s">
        <v>67</v>
      </c>
      <c r="D31" s="13" t="s">
        <v>68</v>
      </c>
      <c r="E31" s="13" t="s">
        <v>69</v>
      </c>
      <c r="F31" s="13" t="s">
        <v>70</v>
      </c>
      <c r="G31" s="13" t="s">
        <v>71</v>
      </c>
      <c r="H31" s="13" t="s">
        <v>72</v>
      </c>
    </row>
    <row r="32" customFormat="false" ht="15" hidden="false" customHeight="true" outlineLevel="0" collapsed="false">
      <c r="B32" s="6" t="s">
        <v>88</v>
      </c>
      <c r="C32" s="14" t="n">
        <v>929</v>
      </c>
      <c r="D32" s="14" t="n">
        <v>738</v>
      </c>
      <c r="E32" s="14" t="n">
        <v>786</v>
      </c>
      <c r="F32" s="14" t="n">
        <v>1020</v>
      </c>
      <c r="G32" s="14" t="n">
        <v>1070</v>
      </c>
    </row>
    <row r="33" customFormat="false" ht="15" hidden="false" customHeight="true" outlineLevel="0" collapsed="false">
      <c r="B33" s="6" t="s">
        <v>89</v>
      </c>
      <c r="C33" s="14" t="n">
        <v>22400</v>
      </c>
      <c r="D33" s="14" t="n">
        <v>21100</v>
      </c>
      <c r="E33" s="14" t="n">
        <v>22300</v>
      </c>
      <c r="F33" s="14" t="n">
        <v>24800</v>
      </c>
      <c r="G33" s="14" t="n">
        <v>30320</v>
      </c>
    </row>
    <row r="34" customFormat="false" ht="15" hidden="false" customHeight="true" outlineLevel="0" collapsed="false">
      <c r="B34" s="6" t="s">
        <v>90</v>
      </c>
      <c r="C34" s="16" t="n">
        <f aca="false">C33-C32</f>
        <v>21471</v>
      </c>
      <c r="D34" s="16" t="n">
        <f aca="false">D33-D32</f>
        <v>20362</v>
      </c>
      <c r="E34" s="16" t="n">
        <f aca="false">E33-E32</f>
        <v>21514</v>
      </c>
      <c r="F34" s="16" t="n">
        <f aca="false">F33-F32</f>
        <v>23780</v>
      </c>
      <c r="G34" s="16" t="n">
        <f aca="false">G33-G32</f>
        <v>29250</v>
      </c>
    </row>
    <row r="35" customFormat="false" ht="15" hidden="false" customHeight="true" outlineLevel="0" collapsed="false">
      <c r="B35" s="6" t="s">
        <v>91</v>
      </c>
      <c r="C35" s="14" t="n">
        <v>30200</v>
      </c>
      <c r="D35" s="14" t="n">
        <v>30800</v>
      </c>
      <c r="E35" s="14" t="n">
        <v>28500</v>
      </c>
      <c r="F35" s="14" t="n">
        <v>28200</v>
      </c>
      <c r="G35" s="14" t="n">
        <v>27100</v>
      </c>
    </row>
    <row r="36" customFormat="false" ht="15" hidden="false" customHeight="true" outlineLevel="0" collapsed="false">
      <c r="B36" s="6" t="s">
        <v>92</v>
      </c>
      <c r="C36" s="17" t="n">
        <f aca="false">C33/C35</f>
        <v>0.741721854304636</v>
      </c>
      <c r="D36" s="17" t="n">
        <f aca="false">D33/D35</f>
        <v>0.685064935064935</v>
      </c>
      <c r="E36" s="17" t="n">
        <f aca="false">E33/E35</f>
        <v>0.782456140350877</v>
      </c>
      <c r="F36" s="17" t="n">
        <f aca="false">F33/F35</f>
        <v>0.879432624113475</v>
      </c>
      <c r="G36" s="17" t="n">
        <f aca="false">G33/G35</f>
        <v>1.11881918819188</v>
      </c>
    </row>
    <row r="39" customFormat="false" ht="15" hidden="false" customHeight="true" outlineLevel="0" collapsed="false">
      <c r="B39" s="12" t="s">
        <v>93</v>
      </c>
    </row>
    <row r="40" customFormat="false" ht="15" hidden="false" customHeight="true" outlineLevel="0" collapsed="false">
      <c r="B40" s="13"/>
      <c r="C40" s="13" t="s">
        <v>67</v>
      </c>
      <c r="D40" s="13" t="s">
        <v>68</v>
      </c>
      <c r="E40" s="13" t="s">
        <v>69</v>
      </c>
      <c r="F40" s="13" t="s">
        <v>70</v>
      </c>
      <c r="G40" s="13" t="s">
        <v>71</v>
      </c>
      <c r="H40" s="13" t="s">
        <v>72</v>
      </c>
    </row>
    <row r="41" customFormat="false" ht="15" hidden="false" customHeight="true" outlineLevel="0" collapsed="false">
      <c r="B41" s="6" t="s">
        <v>94</v>
      </c>
      <c r="C41" s="14" t="n">
        <v>4500</v>
      </c>
      <c r="D41" s="14" t="n">
        <v>5200</v>
      </c>
      <c r="E41" s="14" t="n">
        <v>5700</v>
      </c>
      <c r="F41" s="14" t="n">
        <v>7200</v>
      </c>
      <c r="G41" s="14" t="n">
        <v>8200</v>
      </c>
    </row>
    <row r="42" customFormat="false" ht="15" hidden="false" customHeight="true" outlineLevel="0" collapsed="false">
      <c r="B42" s="6" t="s">
        <v>95</v>
      </c>
      <c r="G42" s="18" t="n">
        <v>7.1</v>
      </c>
    </row>
    <row r="43" customFormat="false" ht="15" hidden="false" customHeight="true" outlineLevel="0" collapsed="false">
      <c r="B43" s="6" t="s">
        <v>96</v>
      </c>
      <c r="G43" s="18" t="n">
        <v>9.8</v>
      </c>
    </row>
    <row r="44" customFormat="false" ht="15" hidden="false" customHeight="true" outlineLevel="0" collapsed="false">
      <c r="B44" s="6" t="s">
        <v>97</v>
      </c>
      <c r="C44" s="9" t="n">
        <f aca="false">C12/C35</f>
        <v>0.0317218543046358</v>
      </c>
      <c r="D44" s="9" t="n">
        <f aca="false">D12/D35</f>
        <v>0.0433116883116883</v>
      </c>
      <c r="E44" s="9" t="n">
        <f aca="false">E12/E35</f>
        <v>0.0887719298245614</v>
      </c>
      <c r="F44" s="9" t="n">
        <f aca="false">F12/F35</f>
        <v>0.108794326241135</v>
      </c>
      <c r="G44" s="9" t="n">
        <f aca="false">G12/G35</f>
        <v>0.115535055350554</v>
      </c>
    </row>
    <row r="45" customFormat="false" ht="15" hidden="false" customHeight="true" outlineLevel="0" collapsed="false">
      <c r="B45" s="6" t="s">
        <v>98</v>
      </c>
      <c r="C45" s="19" t="n">
        <v>0.044</v>
      </c>
      <c r="D45" s="19" t="n">
        <v>0.055</v>
      </c>
      <c r="E45" s="19" t="n">
        <v>0.067</v>
      </c>
      <c r="F45" s="19" t="n">
        <v>0.078</v>
      </c>
      <c r="G45" s="19" t="n">
        <v>0.087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10" min="3" style="1" width="14"/>
  </cols>
  <sheetData>
    <row r="2" customFormat="false" ht="17.25" hidden="false" customHeight="true" outlineLevel="0" collapsed="false">
      <c r="B2" s="11" t="s">
        <v>99</v>
      </c>
    </row>
    <row r="4" customFormat="false" ht="15" hidden="false" customHeight="true" outlineLevel="0" collapsed="false">
      <c r="B4" s="5" t="s">
        <v>100</v>
      </c>
      <c r="C4" s="5"/>
      <c r="D4" s="5"/>
    </row>
    <row r="5" customFormat="false" ht="15" hidden="false" customHeight="true" outlineLevel="0" collapsed="false">
      <c r="B5" s="6" t="s">
        <v>101</v>
      </c>
      <c r="C5" s="20" t="n">
        <v>20456</v>
      </c>
      <c r="D5" s="21" t="s">
        <v>102</v>
      </c>
    </row>
    <row r="6" customFormat="false" ht="15" hidden="false" customHeight="true" outlineLevel="0" collapsed="false">
      <c r="B6" s="6" t="s">
        <v>103</v>
      </c>
      <c r="C6" s="22" t="n">
        <v>0.08</v>
      </c>
      <c r="D6" s="21" t="s">
        <v>104</v>
      </c>
    </row>
    <row r="7" customFormat="false" ht="15" hidden="false" customHeight="true" outlineLevel="0" collapsed="false">
      <c r="B7" s="6" t="s">
        <v>105</v>
      </c>
      <c r="C7" s="22" t="n">
        <v>0.07</v>
      </c>
      <c r="D7" s="21" t="s">
        <v>106</v>
      </c>
    </row>
    <row r="8" customFormat="false" ht="15" hidden="false" customHeight="true" outlineLevel="0" collapsed="false">
      <c r="B8" s="6" t="s">
        <v>107</v>
      </c>
      <c r="C8" s="22" t="n">
        <v>0.06</v>
      </c>
      <c r="D8" s="21" t="s">
        <v>108</v>
      </c>
    </row>
    <row r="9" customFormat="false" ht="15" hidden="false" customHeight="true" outlineLevel="0" collapsed="false">
      <c r="B9" s="6" t="s">
        <v>109</v>
      </c>
      <c r="C9" s="22" t="n">
        <v>0.05</v>
      </c>
      <c r="D9" s="21" t="s">
        <v>110</v>
      </c>
    </row>
    <row r="10" customFormat="false" ht="15" hidden="false" customHeight="true" outlineLevel="0" collapsed="false">
      <c r="B10" s="6" t="s">
        <v>111</v>
      </c>
      <c r="C10" s="22" t="n">
        <v>0.04</v>
      </c>
      <c r="D10" s="21" t="s">
        <v>112</v>
      </c>
    </row>
    <row r="11" customFormat="false" ht="15" hidden="false" customHeight="true" outlineLevel="0" collapsed="false">
      <c r="B11" s="6"/>
      <c r="D11" s="21"/>
    </row>
    <row r="12" customFormat="false" ht="15" hidden="false" customHeight="true" outlineLevel="0" collapsed="false">
      <c r="B12" s="6" t="s">
        <v>113</v>
      </c>
      <c r="C12" s="22" t="n">
        <v>0.25</v>
      </c>
      <c r="D12" s="21" t="s">
        <v>114</v>
      </c>
    </row>
    <row r="13" customFormat="false" ht="15" hidden="false" customHeight="true" outlineLevel="0" collapsed="false">
      <c r="B13" s="6" t="s">
        <v>115</v>
      </c>
      <c r="C13" s="22" t="n">
        <v>0.27</v>
      </c>
      <c r="D13" s="21" t="s">
        <v>116</v>
      </c>
    </row>
    <row r="14" customFormat="false" ht="15" hidden="false" customHeight="true" outlineLevel="0" collapsed="false">
      <c r="B14" s="6"/>
      <c r="D14" s="21"/>
    </row>
    <row r="15" customFormat="false" ht="15" hidden="false" customHeight="true" outlineLevel="0" collapsed="false">
      <c r="B15" s="6" t="s">
        <v>117</v>
      </c>
      <c r="C15" s="22" t="n">
        <v>0.085</v>
      </c>
      <c r="D15" s="21" t="s">
        <v>118</v>
      </c>
    </row>
    <row r="16" customFormat="false" ht="15" hidden="false" customHeight="true" outlineLevel="0" collapsed="false">
      <c r="B16" s="6" t="s">
        <v>119</v>
      </c>
      <c r="C16" s="22" t="n">
        <v>0.03</v>
      </c>
      <c r="D16" s="21" t="s">
        <v>120</v>
      </c>
    </row>
    <row r="17" customFormat="false" ht="15" hidden="false" customHeight="true" outlineLevel="0" collapsed="false">
      <c r="B17" s="6"/>
      <c r="D17" s="21"/>
    </row>
    <row r="18" customFormat="false" ht="15" hidden="false" customHeight="true" outlineLevel="0" collapsed="false">
      <c r="B18" s="6" t="s">
        <v>121</v>
      </c>
      <c r="C18" s="22" t="n">
        <v>0.045</v>
      </c>
      <c r="D18" s="21" t="s">
        <v>122</v>
      </c>
    </row>
    <row r="19" customFormat="false" ht="15" hidden="false" customHeight="true" outlineLevel="0" collapsed="false">
      <c r="B19" s="6" t="s">
        <v>123</v>
      </c>
      <c r="C19" s="22" t="n">
        <v>0.055</v>
      </c>
      <c r="D19" s="21" t="s">
        <v>124</v>
      </c>
    </row>
    <row r="20" customFormat="false" ht="15" hidden="false" customHeight="true" outlineLevel="0" collapsed="false">
      <c r="B20" s="6" t="s">
        <v>125</v>
      </c>
      <c r="C20" s="22" t="n">
        <v>0.8</v>
      </c>
      <c r="D20" s="21" t="s">
        <v>126</v>
      </c>
    </row>
    <row r="21" customFormat="false" ht="15" hidden="false" customHeight="true" outlineLevel="0" collapsed="false">
      <c r="B21" s="6" t="s">
        <v>127</v>
      </c>
      <c r="C21" s="9" t="n">
        <f aca="false">C18+(C19*C20)</f>
        <v>0.089</v>
      </c>
      <c r="D21" s="21" t="s">
        <v>128</v>
      </c>
    </row>
    <row r="22" customFormat="false" ht="15" hidden="false" customHeight="true" outlineLevel="0" collapsed="false">
      <c r="B22" s="6"/>
      <c r="D22" s="21"/>
    </row>
    <row r="23" customFormat="false" ht="15" hidden="false" customHeight="true" outlineLevel="0" collapsed="false">
      <c r="B23" s="6" t="s">
        <v>129</v>
      </c>
      <c r="C23" s="22" t="n">
        <v>0.055</v>
      </c>
      <c r="D23" s="21" t="s">
        <v>130</v>
      </c>
    </row>
    <row r="24" customFormat="false" ht="15" hidden="false" customHeight="true" outlineLevel="0" collapsed="false">
      <c r="B24" s="6" t="s">
        <v>131</v>
      </c>
      <c r="C24" s="22" t="n">
        <v>0.21</v>
      </c>
      <c r="D24" s="21" t="s">
        <v>132</v>
      </c>
    </row>
    <row r="25" customFormat="false" ht="15" hidden="false" customHeight="true" outlineLevel="0" collapsed="false">
      <c r="B25" s="6" t="s">
        <v>133</v>
      </c>
      <c r="C25" s="9" t="n">
        <f aca="false">C23*(1-C24)</f>
        <v>0.04345</v>
      </c>
      <c r="D25" s="21"/>
    </row>
    <row r="26" customFormat="false" ht="15" hidden="false" customHeight="true" outlineLevel="0" collapsed="false">
      <c r="B26" s="6"/>
      <c r="D26" s="21"/>
    </row>
    <row r="27" customFormat="false" ht="15" hidden="false" customHeight="true" outlineLevel="0" collapsed="false">
      <c r="B27" s="6" t="s">
        <v>134</v>
      </c>
      <c r="C27" s="22" t="n">
        <v>0.47</v>
      </c>
      <c r="D27" s="21" t="s">
        <v>135</v>
      </c>
    </row>
    <row r="28" customFormat="false" ht="15" hidden="false" customHeight="true" outlineLevel="0" collapsed="false">
      <c r="B28" s="6" t="s">
        <v>136</v>
      </c>
      <c r="C28" s="9" t="n">
        <f aca="false">1-C27</f>
        <v>0.53</v>
      </c>
      <c r="D28" s="21" t="s">
        <v>137</v>
      </c>
    </row>
    <row r="29" customFormat="false" ht="15" hidden="false" customHeight="true" outlineLevel="0" collapsed="false">
      <c r="B29" s="6" t="s">
        <v>138</v>
      </c>
      <c r="C29" s="9" t="n">
        <f aca="false">(C27*C25)+(C28*C21)</f>
        <v>0.0675915</v>
      </c>
      <c r="D29" s="21" t="s">
        <v>139</v>
      </c>
    </row>
    <row r="35" customFormat="false" ht="15" hidden="false" customHeight="true" outlineLevel="0" collapsed="false">
      <c r="B35" s="5" t="s">
        <v>140</v>
      </c>
      <c r="C35" s="5"/>
      <c r="D35" s="5"/>
      <c r="E35" s="5"/>
      <c r="F35" s="5"/>
      <c r="G35" s="5"/>
      <c r="H35" s="5"/>
      <c r="I35" s="5"/>
    </row>
    <row r="36" customFormat="false" ht="15" hidden="false" customHeight="true" outlineLevel="0" collapsed="false">
      <c r="B36" s="23"/>
      <c r="C36" s="23" t="s">
        <v>141</v>
      </c>
      <c r="D36" s="23" t="s">
        <v>142</v>
      </c>
      <c r="E36" s="23" t="s">
        <v>143</v>
      </c>
      <c r="F36" s="23" t="s">
        <v>144</v>
      </c>
      <c r="G36" s="23" t="s">
        <v>145</v>
      </c>
      <c r="H36" s="23" t="s">
        <v>146</v>
      </c>
      <c r="I36" s="23" t="s">
        <v>147</v>
      </c>
    </row>
    <row r="37" customFormat="false" ht="15" hidden="false" customHeight="true" outlineLevel="0" collapsed="false">
      <c r="B37" s="6" t="s">
        <v>73</v>
      </c>
      <c r="C37" s="16" t="n">
        <f aca="false">C5</f>
        <v>20456</v>
      </c>
      <c r="D37" s="16" t="n">
        <f aca="false">C37*(1+C6)</f>
        <v>22092.48</v>
      </c>
      <c r="E37" s="16" t="n">
        <f aca="false">D37*(1+C7)</f>
        <v>23638.9536</v>
      </c>
      <c r="F37" s="16" t="n">
        <f aca="false">E37*(1+C8)</f>
        <v>25057.290816</v>
      </c>
      <c r="G37" s="16" t="n">
        <f aca="false">F37*(1+C9)</f>
        <v>26310.1553568</v>
      </c>
      <c r="H37" s="16" t="n">
        <f aca="false">G37*(1+C10)</f>
        <v>27362.561571072</v>
      </c>
    </row>
    <row r="38" customFormat="false" ht="15" hidden="false" customHeight="true" outlineLevel="0" collapsed="false">
      <c r="B38" s="6" t="s">
        <v>148</v>
      </c>
      <c r="D38" s="9" t="n">
        <f aca="false">C6</f>
        <v>0.08</v>
      </c>
      <c r="E38" s="9" t="n">
        <f aca="false">C7</f>
        <v>0.07</v>
      </c>
      <c r="F38" s="9" t="n">
        <f aca="false">C8</f>
        <v>0.06</v>
      </c>
      <c r="G38" s="9" t="n">
        <f aca="false">C9</f>
        <v>0.05</v>
      </c>
      <c r="H38" s="9" t="n">
        <f aca="false">C10</f>
        <v>0.04</v>
      </c>
    </row>
    <row r="39" customFormat="false" ht="15" hidden="false" customHeight="true" outlineLevel="0" collapsed="false">
      <c r="B39" s="6"/>
    </row>
    <row r="40" customFormat="false" ht="15" hidden="false" customHeight="true" outlineLevel="0" collapsed="false">
      <c r="B40" s="6" t="s">
        <v>85</v>
      </c>
      <c r="C40" s="9" t="n">
        <f aca="false">C12</f>
        <v>0.25</v>
      </c>
      <c r="D40" s="9" t="n">
        <f aca="false">C12+(C13-C12)/5*1</f>
        <v>0.254</v>
      </c>
      <c r="E40" s="9" t="n">
        <f aca="false">C12+(C13-C12)/5*2</f>
        <v>0.258</v>
      </c>
      <c r="F40" s="9" t="n">
        <f aca="false">C12+(C13-C12)/5*3</f>
        <v>0.262</v>
      </c>
      <c r="G40" s="9" t="n">
        <f aca="false">C12+(C13-C12)/5*4</f>
        <v>0.266</v>
      </c>
      <c r="H40" s="9" t="n">
        <f aca="false">C13</f>
        <v>0.27</v>
      </c>
      <c r="I40" s="9" t="n">
        <f aca="false">C13</f>
        <v>0.27</v>
      </c>
    </row>
    <row r="41" customFormat="false" ht="15" hidden="false" customHeight="true" outlineLevel="0" collapsed="false">
      <c r="B41" s="6" t="s">
        <v>84</v>
      </c>
      <c r="C41" s="16" t="n">
        <f aca="false">C37*C40</f>
        <v>5114</v>
      </c>
      <c r="D41" s="16" t="n">
        <f aca="false">D37*D40</f>
        <v>5611.48992</v>
      </c>
      <c r="E41" s="16" t="n">
        <f aca="false">E37*E40</f>
        <v>6098.8500288</v>
      </c>
      <c r="F41" s="16" t="n">
        <f aca="false">F37*F40</f>
        <v>6565.010193792</v>
      </c>
      <c r="G41" s="16" t="n">
        <f aca="false">G37*G40</f>
        <v>6998.5013249088</v>
      </c>
      <c r="H41" s="16" t="n">
        <f aca="false">H37*H40</f>
        <v>7387.89162418944</v>
      </c>
    </row>
    <row r="44" customFormat="false" ht="15" hidden="false" customHeight="true" outlineLevel="0" collapsed="false">
      <c r="B44" s="5" t="s">
        <v>149</v>
      </c>
      <c r="C44" s="5"/>
      <c r="D44" s="5"/>
      <c r="E44" s="5"/>
      <c r="F44" s="5"/>
      <c r="G44" s="5"/>
      <c r="H44" s="5"/>
      <c r="I44" s="5"/>
    </row>
    <row r="45" customFormat="false" ht="15" hidden="false" customHeight="true" outlineLevel="0" collapsed="false">
      <c r="B45" s="6" t="s">
        <v>150</v>
      </c>
      <c r="D45" s="24" t="n">
        <v>1</v>
      </c>
      <c r="E45" s="24" t="n">
        <v>2</v>
      </c>
      <c r="F45" s="24" t="n">
        <v>3</v>
      </c>
      <c r="G45" s="24" t="n">
        <v>4</v>
      </c>
      <c r="H45" s="24" t="n">
        <v>5</v>
      </c>
    </row>
    <row r="46" customFormat="false" ht="15" hidden="false" customHeight="true" outlineLevel="0" collapsed="false">
      <c r="B46" s="6" t="s">
        <v>151</v>
      </c>
      <c r="D46" s="25" t="n">
        <f aca="false">1/(1+$C$15)^D45</f>
        <v>0.921658986175115</v>
      </c>
      <c r="E46" s="25" t="n">
        <f aca="false">1/(1+$C$15)^E45</f>
        <v>0.849455286797341</v>
      </c>
      <c r="F46" s="25" t="n">
        <f aca="false">1/(1+$C$15)^F45</f>
        <v>0.782908098430729</v>
      </c>
      <c r="G46" s="25" t="n">
        <f aca="false">1/(1+$C$15)^G45</f>
        <v>0.721574284267953</v>
      </c>
      <c r="H46" s="25" t="n">
        <f aca="false">1/(1+$C$15)^H45</f>
        <v>0.665045423288436</v>
      </c>
    </row>
    <row r="47" customFormat="false" ht="15" hidden="false" customHeight="true" outlineLevel="0" collapsed="false">
      <c r="B47" s="6" t="s">
        <v>152</v>
      </c>
      <c r="D47" s="16" t="n">
        <f aca="false">D41*D46</f>
        <v>5171.88011059908</v>
      </c>
      <c r="E47" s="16" t="n">
        <f aca="false">E41*E46</f>
        <v>5180.70040034828</v>
      </c>
      <c r="F47" s="16" t="n">
        <f aca="false">F41*F46</f>
        <v>5139.79964700005</v>
      </c>
      <c r="G47" s="16" t="n">
        <f aca="false">G41*G46</f>
        <v>5049.93858446939</v>
      </c>
      <c r="H47" s="16" t="n">
        <f aca="false">H41*H46</f>
        <v>4913.28351241816</v>
      </c>
    </row>
    <row r="48" customFormat="false" ht="15" hidden="false" customHeight="true" outlineLevel="0" collapsed="false">
      <c r="B48" s="6"/>
    </row>
    <row r="49" customFormat="false" ht="15" hidden="false" customHeight="true" outlineLevel="0" collapsed="false">
      <c r="B49" s="6" t="s">
        <v>153</v>
      </c>
      <c r="H49" s="16" t="n">
        <f aca="false">H41*(1+$C$16)/($C$15-$C$16)</f>
        <v>138355.06132573</v>
      </c>
    </row>
    <row r="50" customFormat="false" ht="15" hidden="false" customHeight="true" outlineLevel="0" collapsed="false">
      <c r="B50" s="6" t="s">
        <v>154</v>
      </c>
      <c r="H50" s="16" t="n">
        <f aca="false">H49*H46</f>
        <v>92012.4003234673</v>
      </c>
    </row>
    <row r="53" customFormat="false" ht="15" hidden="false" customHeight="true" outlineLevel="0" collapsed="false">
      <c r="B53" s="5" t="s">
        <v>49</v>
      </c>
      <c r="C53" s="5"/>
      <c r="D53" s="5"/>
    </row>
    <row r="54" customFormat="false" ht="15" hidden="false" customHeight="true" outlineLevel="0" collapsed="false">
      <c r="B54" s="6" t="s">
        <v>155</v>
      </c>
      <c r="C54" s="16" t="n">
        <f aca="false">SUM(D47:H47)</f>
        <v>25455.602254835</v>
      </c>
      <c r="D54" s="21"/>
    </row>
    <row r="55" customFormat="false" ht="15" hidden="false" customHeight="true" outlineLevel="0" collapsed="false">
      <c r="B55" s="6" t="s">
        <v>156</v>
      </c>
      <c r="C55" s="16" t="n">
        <f aca="false">H50</f>
        <v>92012.4003234673</v>
      </c>
      <c r="D55" s="21"/>
    </row>
    <row r="56" customFormat="false" ht="15" hidden="false" customHeight="true" outlineLevel="0" collapsed="false">
      <c r="B56" s="6" t="s">
        <v>157</v>
      </c>
      <c r="C56" s="16" t="n">
        <f aca="false">C54+C55</f>
        <v>117468.002578302</v>
      </c>
      <c r="D56" s="21"/>
    </row>
    <row r="57" customFormat="false" ht="15" hidden="false" customHeight="true" outlineLevel="0" collapsed="false">
      <c r="B57" s="6" t="s">
        <v>158</v>
      </c>
      <c r="C57" s="20" t="n">
        <v>-29250</v>
      </c>
      <c r="D57" s="21" t="s">
        <v>159</v>
      </c>
    </row>
    <row r="58" customFormat="false" ht="15" hidden="false" customHeight="true" outlineLevel="0" collapsed="false">
      <c r="B58" s="6" t="s">
        <v>160</v>
      </c>
      <c r="C58" s="16" t="n">
        <f aca="false">C56+C57</f>
        <v>88218.0025783023</v>
      </c>
      <c r="D58" s="21"/>
    </row>
    <row r="59" customFormat="false" ht="15" hidden="false" customHeight="true" outlineLevel="0" collapsed="false">
      <c r="B59" s="6" t="s">
        <v>55</v>
      </c>
      <c r="C59" s="26" t="n">
        <v>538</v>
      </c>
      <c r="D59" s="21"/>
    </row>
    <row r="60" customFormat="false" ht="15" hidden="false" customHeight="true" outlineLevel="0" collapsed="false">
      <c r="B60" s="6" t="s">
        <v>161</v>
      </c>
      <c r="C60" s="27" t="n">
        <f aca="false">C58/C59</f>
        <v>163.973982487551</v>
      </c>
      <c r="D60" s="21"/>
    </row>
    <row r="61" customFormat="false" ht="15" hidden="false" customHeight="true" outlineLevel="0" collapsed="false">
      <c r="B61" s="6"/>
      <c r="D61" s="21"/>
    </row>
    <row r="62" customFormat="false" ht="15" hidden="false" customHeight="true" outlineLevel="0" collapsed="false">
      <c r="B62" s="6" t="s">
        <v>162</v>
      </c>
      <c r="C62" s="26" t="n">
        <v>63.8</v>
      </c>
      <c r="D62" s="21"/>
    </row>
    <row r="63" customFormat="false" ht="15" hidden="false" customHeight="true" outlineLevel="0" collapsed="false">
      <c r="B63" s="6" t="s">
        <v>163</v>
      </c>
      <c r="C63" s="28" t="n">
        <f aca="false">(C60-C62)/C62</f>
        <v>1.57012511735973</v>
      </c>
      <c r="D63" s="21"/>
    </row>
  </sheetData>
  <mergeCells count="4">
    <mergeCell ref="B4:D4"/>
    <mergeCell ref="B35:I35"/>
    <mergeCell ref="B44:I44"/>
    <mergeCell ref="B53:D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9" min="3" style="1" width="14"/>
  </cols>
  <sheetData>
    <row r="2" customFormat="false" ht="17.25" hidden="false" customHeight="true" outlineLevel="0" collapsed="false">
      <c r="B2" s="11" t="s">
        <v>164</v>
      </c>
    </row>
    <row r="4" customFormat="false" ht="15" hidden="false" customHeight="true" outlineLevel="0" collapsed="false">
      <c r="B4" s="12" t="s">
        <v>165</v>
      </c>
    </row>
    <row r="6" customFormat="false" ht="15" hidden="false" customHeight="true" outlineLevel="0" collapsed="false">
      <c r="C6" s="29" t="s">
        <v>119</v>
      </c>
      <c r="D6" s="29"/>
      <c r="E6" s="29"/>
      <c r="F6" s="29"/>
      <c r="G6" s="29"/>
      <c r="H6" s="29"/>
    </row>
    <row r="7" customFormat="false" ht="15" hidden="false" customHeight="true" outlineLevel="0" collapsed="false">
      <c r="C7" s="30" t="n">
        <v>0.02</v>
      </c>
      <c r="D7" s="30" t="n">
        <v>0.025</v>
      </c>
      <c r="E7" s="30" t="n">
        <v>0.03</v>
      </c>
      <c r="F7" s="30" t="n">
        <v>0.035</v>
      </c>
      <c r="G7" s="30" t="n">
        <v>0.04</v>
      </c>
    </row>
    <row r="8" customFormat="false" ht="15" hidden="false" customHeight="true" outlineLevel="0" collapsed="false">
      <c r="B8" s="30" t="n">
        <v>0.075</v>
      </c>
      <c r="C8" s="31" t="n">
        <v>142.95</v>
      </c>
      <c r="D8" s="31" t="n">
        <v>158.64</v>
      </c>
      <c r="E8" s="31" t="n">
        <v>177.82</v>
      </c>
      <c r="F8" s="31" t="n">
        <v>201.79</v>
      </c>
      <c r="G8" s="31" t="n">
        <v>232.61</v>
      </c>
    </row>
    <row r="9" customFormat="false" ht="15" hidden="false" customHeight="true" outlineLevel="0" collapsed="false">
      <c r="B9" s="32" t="n">
        <v>0.08</v>
      </c>
      <c r="C9" s="31" t="n">
        <v>124.39</v>
      </c>
      <c r="D9" s="31" t="n">
        <v>137.22</v>
      </c>
      <c r="E9" s="31" t="n">
        <v>152.62</v>
      </c>
      <c r="F9" s="31" t="n">
        <v>171.45</v>
      </c>
      <c r="G9" s="31" t="n">
        <v>194.98</v>
      </c>
    </row>
    <row r="10" customFormat="false" ht="15" hidden="false" customHeight="true" outlineLevel="0" collapsed="false">
      <c r="B10" s="32" t="n">
        <v>0.085</v>
      </c>
      <c r="C10" s="31" t="n">
        <v>108.65</v>
      </c>
      <c r="D10" s="31" t="n">
        <v>119.31</v>
      </c>
      <c r="E10" s="33" t="n">
        <v>131.91</v>
      </c>
      <c r="F10" s="31" t="n">
        <v>147.03</v>
      </c>
      <c r="G10" s="31" t="n">
        <v>165.51</v>
      </c>
    </row>
    <row r="11" customFormat="false" ht="15" hidden="false" customHeight="true" outlineLevel="0" collapsed="false">
      <c r="B11" s="32" t="n">
        <v>0.09</v>
      </c>
      <c r="C11" s="31" t="n">
        <v>95.15</v>
      </c>
      <c r="D11" s="31" t="n">
        <v>104.12</v>
      </c>
      <c r="E11" s="31" t="n">
        <v>114.58</v>
      </c>
      <c r="F11" s="31" t="n">
        <v>126.95</v>
      </c>
      <c r="G11" s="31" t="n">
        <v>141.8</v>
      </c>
    </row>
    <row r="12" customFormat="false" ht="15" hidden="false" customHeight="true" outlineLevel="0" collapsed="false">
      <c r="B12" s="32" t="n">
        <v>0.095</v>
      </c>
      <c r="C12" s="31" t="n">
        <v>83.44</v>
      </c>
      <c r="D12" s="31" t="n">
        <v>91.08</v>
      </c>
      <c r="E12" s="31" t="n">
        <v>99.88</v>
      </c>
      <c r="F12" s="31" t="n">
        <v>110.16</v>
      </c>
      <c r="G12" s="31" t="n">
        <v>122.31</v>
      </c>
    </row>
    <row r="13" customFormat="false" ht="15" hidden="false" customHeight="true" outlineLevel="0" collapsed="false">
      <c r="B13" s="32" t="n">
        <v>0.1</v>
      </c>
      <c r="C13" s="31" t="n">
        <v>73.2</v>
      </c>
      <c r="D13" s="31" t="n">
        <v>79.76</v>
      </c>
      <c r="E13" s="31" t="n">
        <v>87.26</v>
      </c>
      <c r="F13" s="31" t="n">
        <v>95.91</v>
      </c>
      <c r="G13" s="31" t="n">
        <v>106</v>
      </c>
    </row>
    <row r="17" customFormat="false" ht="15" hidden="false" customHeight="true" outlineLevel="0" collapsed="false">
      <c r="B17" s="12" t="s">
        <v>166</v>
      </c>
    </row>
    <row r="19" customFormat="false" ht="15" hidden="false" customHeight="true" outlineLevel="0" collapsed="false">
      <c r="C19" s="29" t="s">
        <v>167</v>
      </c>
      <c r="D19" s="29"/>
      <c r="E19" s="29"/>
      <c r="F19" s="29"/>
      <c r="G19" s="29"/>
      <c r="H19" s="29"/>
    </row>
    <row r="20" customFormat="false" ht="15" hidden="false" customHeight="true" outlineLevel="0" collapsed="false">
      <c r="C20" s="30" t="n">
        <v>0.04</v>
      </c>
      <c r="D20" s="30" t="n">
        <v>0.06</v>
      </c>
      <c r="E20" s="30" t="n">
        <v>0.08</v>
      </c>
      <c r="F20" s="30" t="n">
        <v>0.1</v>
      </c>
      <c r="G20" s="30" t="n">
        <v>0.12</v>
      </c>
    </row>
    <row r="21" customFormat="false" ht="15" hidden="false" customHeight="true" outlineLevel="0" collapsed="false">
      <c r="B21" s="32" t="n">
        <v>0.22</v>
      </c>
      <c r="C21" s="31" t="n">
        <v>120.7</v>
      </c>
      <c r="D21" s="31" t="n">
        <v>124.07</v>
      </c>
      <c r="E21" s="31" t="n">
        <v>127.44</v>
      </c>
      <c r="F21" s="31" t="n">
        <v>130.8</v>
      </c>
      <c r="G21" s="31" t="n">
        <v>134.17</v>
      </c>
    </row>
    <row r="22" customFormat="false" ht="15" hidden="false" customHeight="true" outlineLevel="0" collapsed="false">
      <c r="B22" s="32" t="n">
        <v>0.24</v>
      </c>
      <c r="C22" s="31" t="n">
        <v>136.62</v>
      </c>
      <c r="D22" s="31" t="n">
        <v>140.29</v>
      </c>
      <c r="E22" s="31" t="n">
        <v>143.96</v>
      </c>
      <c r="F22" s="31" t="n">
        <v>147.64</v>
      </c>
      <c r="G22" s="31" t="n">
        <v>151.31</v>
      </c>
    </row>
    <row r="23" customFormat="false" ht="15" hidden="false" customHeight="true" outlineLevel="0" collapsed="false">
      <c r="B23" s="32" t="n">
        <v>0.25</v>
      </c>
      <c r="C23" s="31" t="n">
        <v>144.58</v>
      </c>
      <c r="D23" s="31" t="n">
        <v>148.4</v>
      </c>
      <c r="E23" s="33" t="n">
        <v>152.23</v>
      </c>
      <c r="F23" s="31" t="n">
        <v>156.05</v>
      </c>
      <c r="G23" s="31" t="n">
        <v>159.88</v>
      </c>
    </row>
    <row r="24" customFormat="false" ht="15" hidden="false" customHeight="true" outlineLevel="0" collapsed="false">
      <c r="B24" s="32" t="n">
        <v>0.27</v>
      </c>
      <c r="C24" s="31" t="n">
        <v>160.49</v>
      </c>
      <c r="D24" s="31" t="n">
        <v>164.62</v>
      </c>
      <c r="E24" s="31" t="n">
        <v>168.76</v>
      </c>
      <c r="F24" s="31" t="n">
        <v>172.89</v>
      </c>
      <c r="G24" s="31" t="n">
        <v>177.02</v>
      </c>
    </row>
    <row r="25" customFormat="false" ht="15" hidden="false" customHeight="true" outlineLevel="0" collapsed="false">
      <c r="B25" s="32" t="n">
        <v>0.29</v>
      </c>
      <c r="C25" s="31" t="n">
        <v>176.41</v>
      </c>
      <c r="D25" s="31" t="n">
        <v>180.85</v>
      </c>
      <c r="E25" s="31" t="n">
        <v>185.28</v>
      </c>
      <c r="F25" s="31" t="n">
        <v>189.72</v>
      </c>
      <c r="G25" s="31" t="n">
        <v>194.16</v>
      </c>
    </row>
    <row r="26" customFormat="false" ht="15" hidden="false" customHeight="true" outlineLevel="0" collapsed="false">
      <c r="B26" s="32" t="n">
        <v>0.31</v>
      </c>
      <c r="C26" s="31" t="n">
        <v>192.32</v>
      </c>
      <c r="D26" s="31" t="n">
        <v>197.07</v>
      </c>
      <c r="E26" s="31" t="n">
        <v>201.81</v>
      </c>
      <c r="F26" s="31" t="n">
        <v>206.56</v>
      </c>
      <c r="G26" s="31" t="n">
        <v>211.3</v>
      </c>
    </row>
    <row r="30" customFormat="false" ht="15" hidden="false" customHeight="true" outlineLevel="0" collapsed="false">
      <c r="B30" s="5" t="s">
        <v>168</v>
      </c>
      <c r="C30" s="5"/>
      <c r="D30" s="5"/>
      <c r="E30" s="5"/>
      <c r="F30" s="5"/>
      <c r="G30" s="5"/>
    </row>
    <row r="31" customFormat="false" ht="15" hidden="false" customHeight="true" outlineLevel="0" collapsed="false">
      <c r="B31" s="1" t="s">
        <v>169</v>
      </c>
    </row>
    <row r="32" customFormat="false" ht="15" hidden="false" customHeight="true" outlineLevel="0" collapsed="false">
      <c r="B32" s="1" t="s">
        <v>170</v>
      </c>
    </row>
    <row r="33" customFormat="false" ht="15" hidden="false" customHeight="true" outlineLevel="0" collapsed="false">
      <c r="B33" s="1" t="s">
        <v>171</v>
      </c>
    </row>
    <row r="34" customFormat="false" ht="15" hidden="false" customHeight="true" outlineLevel="0" collapsed="false">
      <c r="B34" s="1" t="s">
        <v>172</v>
      </c>
    </row>
    <row r="35" customFormat="false" ht="15" hidden="false" customHeight="true" outlineLevel="0" collapsed="false">
      <c r="B35" s="1" t="s">
        <v>173</v>
      </c>
    </row>
    <row r="36" customFormat="false" ht="15" hidden="false" customHeight="true" outlineLevel="0" collapsed="false">
      <c r="B36" s="1" t="s">
        <v>174</v>
      </c>
    </row>
  </sheetData>
  <mergeCells count="3">
    <mergeCell ref="C6:H6"/>
    <mergeCell ref="C19:H19"/>
    <mergeCell ref="B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5"/>
    <col collapsed="false" customWidth="true" hidden="false" outlineLevel="0" max="8" min="3" style="1" width="14"/>
  </cols>
  <sheetData>
    <row r="2" customFormat="false" ht="17.25" hidden="false" customHeight="true" outlineLevel="0" collapsed="false">
      <c r="B2" s="11" t="s">
        <v>175</v>
      </c>
    </row>
    <row r="4" customFormat="false" ht="15" hidden="false" customHeight="true" outlineLevel="0" collapsed="false">
      <c r="B4" s="5" t="s">
        <v>176</v>
      </c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B5" s="23" t="s">
        <v>177</v>
      </c>
      <c r="C5" s="23" t="s">
        <v>178</v>
      </c>
      <c r="D5" s="23" t="s">
        <v>57</v>
      </c>
      <c r="E5" s="23" t="s">
        <v>95</v>
      </c>
      <c r="F5" s="23" t="s">
        <v>179</v>
      </c>
      <c r="G5" s="23" t="s">
        <v>180</v>
      </c>
      <c r="H5" s="23" t="s">
        <v>78</v>
      </c>
    </row>
    <row r="6" customFormat="false" ht="15" hidden="false" customHeight="true" outlineLevel="0" collapsed="false">
      <c r="B6" s="34" t="s">
        <v>181</v>
      </c>
      <c r="C6" s="35" t="s">
        <v>182</v>
      </c>
      <c r="D6" s="36" t="n">
        <v>34.3</v>
      </c>
      <c r="E6" s="36" t="n">
        <v>7.1</v>
      </c>
      <c r="F6" s="37" t="n">
        <v>9.8</v>
      </c>
      <c r="G6" s="37" t="n">
        <v>0.07</v>
      </c>
      <c r="H6" s="38" t="n">
        <v>0.153</v>
      </c>
    </row>
    <row r="7" customFormat="false" ht="15" hidden="false" customHeight="true" outlineLevel="0" collapsed="false">
      <c r="B7" s="6" t="s">
        <v>183</v>
      </c>
      <c r="C7" s="1" t="s">
        <v>184</v>
      </c>
      <c r="D7" s="18" t="n">
        <v>42.5</v>
      </c>
      <c r="E7" s="18" t="n">
        <v>9.5</v>
      </c>
      <c r="F7" s="19" t="n">
        <v>16.2</v>
      </c>
      <c r="G7" s="19" t="n">
        <v>0.03</v>
      </c>
      <c r="H7" s="39" t="n">
        <v>0.102</v>
      </c>
    </row>
    <row r="8" customFormat="false" ht="15" hidden="false" customHeight="true" outlineLevel="0" collapsed="false">
      <c r="B8" s="6" t="s">
        <v>185</v>
      </c>
      <c r="C8" s="1" t="s">
        <v>186</v>
      </c>
      <c r="D8" s="18" t="n">
        <v>22.8</v>
      </c>
      <c r="E8" s="18" t="n">
        <v>8.2</v>
      </c>
      <c r="F8" s="19" t="n">
        <v>12.5</v>
      </c>
      <c r="G8" s="19" t="n">
        <v>0.05</v>
      </c>
      <c r="H8" s="39" t="n">
        <v>0.095</v>
      </c>
    </row>
    <row r="9" customFormat="false" ht="15" hidden="false" customHeight="true" outlineLevel="0" collapsed="false">
      <c r="B9" s="6" t="s">
        <v>187</v>
      </c>
      <c r="C9" s="1" t="s">
        <v>188</v>
      </c>
      <c r="D9" s="18" t="n">
        <v>38.5</v>
      </c>
      <c r="E9" s="18" t="n">
        <v>18.5</v>
      </c>
      <c r="F9" s="19" t="n">
        <v>28</v>
      </c>
      <c r="G9" s="19" t="n">
        <v>0.15</v>
      </c>
      <c r="H9" s="39" t="n">
        <v>0.048</v>
      </c>
    </row>
    <row r="10" customFormat="false" ht="15" hidden="false" customHeight="true" outlineLevel="0" collapsed="false">
      <c r="B10" s="6" t="s">
        <v>189</v>
      </c>
      <c r="C10" s="1" t="s">
        <v>190</v>
      </c>
      <c r="D10" s="18" t="n">
        <v>72</v>
      </c>
      <c r="E10" s="18" t="n">
        <v>11.2</v>
      </c>
      <c r="F10" s="19" t="n">
        <v>17.8</v>
      </c>
      <c r="G10" s="19" t="n">
        <v>0.06</v>
      </c>
      <c r="H10" s="39" t="n">
        <v>0.142</v>
      </c>
    </row>
    <row r="11" customFormat="false" ht="15" hidden="false" customHeight="true" outlineLevel="0" collapsed="false">
      <c r="B11" s="6" t="s">
        <v>191</v>
      </c>
      <c r="C11" s="1" t="s">
        <v>192</v>
      </c>
      <c r="D11" s="18" t="n">
        <v>18.2</v>
      </c>
      <c r="E11" s="18" t="n">
        <v>45</v>
      </c>
      <c r="F11" s="19" t="n">
        <v>85</v>
      </c>
      <c r="G11" s="19" t="n">
        <v>0.28</v>
      </c>
      <c r="H11" s="39" t="n">
        <v>0.015</v>
      </c>
    </row>
    <row r="12" customFormat="false" ht="15" hidden="false" customHeight="true" outlineLevel="0" collapsed="false">
      <c r="B12" s="6"/>
    </row>
    <row r="13" customFormat="false" ht="15" hidden="false" customHeight="true" outlineLevel="0" collapsed="false">
      <c r="B13" s="6" t="s">
        <v>193</v>
      </c>
      <c r="D13" s="40" t="n">
        <f aca="false">AVERAGE(D7:D11)</f>
        <v>38.8</v>
      </c>
      <c r="E13" s="40" t="n">
        <f aca="false">AVERAGE(E7:E11)</f>
        <v>18.48</v>
      </c>
      <c r="F13" s="9" t="n">
        <f aca="false">AVERAGE(F7:F11)</f>
        <v>31.9</v>
      </c>
      <c r="G13" s="9" t="n">
        <f aca="false">AVERAGE(G7:G11)</f>
        <v>0.114</v>
      </c>
      <c r="H13" s="41" t="n">
        <f aca="false">AVERAGE(H7:H11)</f>
        <v>0.0804</v>
      </c>
    </row>
    <row r="16" customFormat="false" ht="15" hidden="false" customHeight="true" outlineLevel="0" collapsed="false">
      <c r="B16" s="5" t="s">
        <v>194</v>
      </c>
      <c r="C16" s="5"/>
      <c r="D16" s="5"/>
      <c r="E16" s="5"/>
      <c r="F16" s="5"/>
      <c r="G16" s="5"/>
      <c r="H16" s="5"/>
    </row>
    <row r="17" customFormat="false" ht="15" hidden="false" customHeight="true" outlineLevel="0" collapsed="false">
      <c r="B17" s="7" t="s">
        <v>195</v>
      </c>
      <c r="C17" s="7" t="s">
        <v>196</v>
      </c>
      <c r="D17" s="7" t="s">
        <v>20</v>
      </c>
    </row>
    <row r="18" customFormat="false" ht="15" hidden="false" customHeight="true" outlineLevel="0" collapsed="false">
      <c r="B18" s="6" t="s">
        <v>197</v>
      </c>
      <c r="C18" s="1" t="s">
        <v>198</v>
      </c>
      <c r="D18" s="1" t="s">
        <v>199</v>
      </c>
    </row>
    <row r="19" customFormat="false" ht="15" hidden="false" customHeight="true" outlineLevel="0" collapsed="false">
      <c r="B19" s="6" t="s">
        <v>200</v>
      </c>
      <c r="C19" s="1" t="s">
        <v>198</v>
      </c>
      <c r="D19" s="1" t="s">
        <v>201</v>
      </c>
    </row>
    <row r="20" customFormat="false" ht="15" hidden="false" customHeight="true" outlineLevel="0" collapsed="false">
      <c r="B20" s="6" t="s">
        <v>202</v>
      </c>
      <c r="C20" s="1" t="s">
        <v>203</v>
      </c>
      <c r="D20" s="1" t="s">
        <v>204</v>
      </c>
    </row>
    <row r="21" customFormat="false" ht="15" hidden="false" customHeight="true" outlineLevel="0" collapsed="false">
      <c r="B21" s="6" t="s">
        <v>205</v>
      </c>
      <c r="C21" s="1" t="s">
        <v>198</v>
      </c>
      <c r="D21" s="1" t="s">
        <v>206</v>
      </c>
    </row>
    <row r="22" customFormat="false" ht="15" hidden="false" customHeight="true" outlineLevel="0" collapsed="false">
      <c r="B22" s="6" t="s">
        <v>207</v>
      </c>
      <c r="C22" s="1" t="s">
        <v>198</v>
      </c>
      <c r="D22" s="1" t="s">
        <v>208</v>
      </c>
    </row>
    <row r="23" customFormat="false" ht="15" hidden="false" customHeight="true" outlineLevel="0" collapsed="false">
      <c r="B23" s="6" t="s">
        <v>209</v>
      </c>
      <c r="C23" s="1" t="s">
        <v>210</v>
      </c>
      <c r="D23" s="1" t="s">
        <v>211</v>
      </c>
    </row>
    <row r="26" customFormat="false" ht="15" hidden="false" customHeight="true" outlineLevel="0" collapsed="false">
      <c r="B26" s="5" t="s">
        <v>212</v>
      </c>
      <c r="C26" s="5"/>
      <c r="D26" s="5"/>
      <c r="E26" s="5"/>
    </row>
    <row r="27" customFormat="false" ht="15" hidden="false" customHeight="true" outlineLevel="0" collapsed="false">
      <c r="B27" s="42" t="s">
        <v>213</v>
      </c>
      <c r="D27" s="43" t="s">
        <v>214</v>
      </c>
    </row>
    <row r="28" customFormat="false" ht="15" hidden="false" customHeight="true" outlineLevel="0" collapsed="false">
      <c r="B28" s="1" t="s">
        <v>215</v>
      </c>
      <c r="D28" s="1" t="s">
        <v>216</v>
      </c>
    </row>
    <row r="29" customFormat="false" ht="15" hidden="false" customHeight="true" outlineLevel="0" collapsed="false">
      <c r="B29" s="1" t="s">
        <v>217</v>
      </c>
      <c r="D29" s="1" t="s">
        <v>218</v>
      </c>
    </row>
    <row r="30" customFormat="false" ht="15" hidden="false" customHeight="true" outlineLevel="0" collapsed="false">
      <c r="B30" s="1" t="s">
        <v>219</v>
      </c>
      <c r="D30" s="1" t="s">
        <v>220</v>
      </c>
    </row>
    <row r="31" customFormat="false" ht="15" hidden="false" customHeight="true" outlineLevel="0" collapsed="false">
      <c r="B31" s="1" t="s">
        <v>221</v>
      </c>
      <c r="D31" s="1" t="s">
        <v>222</v>
      </c>
    </row>
    <row r="32" customFormat="false" ht="15" hidden="false" customHeight="true" outlineLevel="0" collapsed="false">
      <c r="B32" s="1" t="s">
        <v>223</v>
      </c>
      <c r="D32" s="1" t="s">
        <v>224</v>
      </c>
    </row>
    <row r="34" customFormat="false" ht="15" hidden="false" customHeight="true" outlineLevel="0" collapsed="false">
      <c r="B34" s="42" t="s">
        <v>225</v>
      </c>
      <c r="D34" s="43" t="s">
        <v>226</v>
      </c>
    </row>
    <row r="35" customFormat="false" ht="15" hidden="false" customHeight="true" outlineLevel="0" collapsed="false">
      <c r="B35" s="1" t="s">
        <v>227</v>
      </c>
      <c r="D35" s="1" t="s">
        <v>228</v>
      </c>
    </row>
    <row r="36" customFormat="false" ht="15" hidden="false" customHeight="true" outlineLevel="0" collapsed="false">
      <c r="B36" s="1" t="s">
        <v>229</v>
      </c>
      <c r="D36" s="1" t="s">
        <v>230</v>
      </c>
    </row>
    <row r="37" customFormat="false" ht="15" hidden="false" customHeight="true" outlineLevel="0" collapsed="false">
      <c r="B37" s="1" t="s">
        <v>231</v>
      </c>
      <c r="D37" s="1" t="s">
        <v>232</v>
      </c>
    </row>
    <row r="38" customFormat="false" ht="15" hidden="false" customHeight="true" outlineLevel="0" collapsed="false">
      <c r="B38" s="1" t="s">
        <v>233</v>
      </c>
      <c r="D38" s="1" t="s">
        <v>234</v>
      </c>
    </row>
    <row r="39" customFormat="false" ht="15" hidden="false" customHeight="true" outlineLevel="0" collapsed="false">
      <c r="B39" s="1" t="s">
        <v>235</v>
      </c>
      <c r="D39" s="1" t="s">
        <v>236</v>
      </c>
    </row>
  </sheetData>
  <mergeCells count="3">
    <mergeCell ref="B4:H4"/>
    <mergeCell ref="B16:H16"/>
    <mergeCell ref="B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0"/>
  </cols>
  <sheetData>
    <row r="2" customFormat="false" ht="19.5" hidden="false" customHeight="true" outlineLevel="0" collapsed="false">
      <c r="B2" s="44" t="s">
        <v>237</v>
      </c>
    </row>
    <row r="4" customFormat="false" ht="15" hidden="false" customHeight="true" outlineLevel="0" collapsed="false">
      <c r="B4" s="45" t="s">
        <v>238</v>
      </c>
    </row>
    <row r="5" customFormat="false" ht="15" hidden="false" customHeight="true" outlineLevel="0" collapsed="false">
      <c r="B5" s="46" t="s">
        <v>239</v>
      </c>
    </row>
    <row r="6" customFormat="false" ht="15" hidden="false" customHeight="true" outlineLevel="0" collapsed="false">
      <c r="B6" s="1" t="s">
        <v>240</v>
      </c>
    </row>
    <row r="8" customFormat="false" ht="15" hidden="false" customHeight="true" outlineLevel="0" collapsed="false">
      <c r="B8" s="1" t="s">
        <v>241</v>
      </c>
    </row>
    <row r="9" customFormat="false" ht="15" hidden="false" customHeight="true" outlineLevel="0" collapsed="false">
      <c r="B9" s="1" t="s">
        <v>242</v>
      </c>
    </row>
    <row r="11" customFormat="false" ht="15" hidden="false" customHeight="true" outlineLevel="0" collapsed="false">
      <c r="B11" s="1" t="s">
        <v>243</v>
      </c>
    </row>
    <row r="12" customFormat="false" ht="15" hidden="false" customHeight="true" outlineLevel="0" collapsed="false">
      <c r="B12" s="1" t="s">
        <v>244</v>
      </c>
    </row>
    <row r="13" customFormat="false" ht="15" hidden="false" customHeight="true" outlineLevel="0" collapsed="false">
      <c r="B13" s="1" t="s">
        <v>245</v>
      </c>
    </row>
    <row r="14" customFormat="false" ht="15" hidden="false" customHeight="true" outlineLevel="0" collapsed="false">
      <c r="B14" s="1" t="s">
        <v>246</v>
      </c>
    </row>
    <row r="15" customFormat="false" ht="15" hidden="false" customHeight="true" outlineLevel="0" collapsed="false">
      <c r="B15" s="1" t="s">
        <v>247</v>
      </c>
    </row>
    <row r="17" customFormat="false" ht="15" hidden="false" customHeight="true" outlineLevel="0" collapsed="false">
      <c r="B17" s="1" t="s">
        <v>248</v>
      </c>
    </row>
    <row r="18" customFormat="false" ht="15" hidden="false" customHeight="true" outlineLevel="0" collapsed="false">
      <c r="B18" s="1" t="s">
        <v>249</v>
      </c>
    </row>
    <row r="19" customFormat="false" ht="15" hidden="false" customHeight="true" outlineLevel="0" collapsed="false">
      <c r="B19" s="1" t="s">
        <v>250</v>
      </c>
    </row>
    <row r="20" customFormat="false" ht="15" hidden="false" customHeight="true" outlineLevel="0" collapsed="false">
      <c r="B20" s="1" t="s">
        <v>251</v>
      </c>
    </row>
    <row r="21" customFormat="false" ht="15" hidden="false" customHeight="true" outlineLevel="0" collapsed="false">
      <c r="B21" s="1" t="s">
        <v>252</v>
      </c>
    </row>
    <row r="23" customFormat="false" ht="15" hidden="false" customHeight="true" outlineLevel="0" collapsed="false">
      <c r="B23" s="1" t="s">
        <v>253</v>
      </c>
    </row>
    <row r="24" customFormat="false" ht="15" hidden="false" customHeight="true" outlineLevel="0" collapsed="false">
      <c r="B24" s="1" t="s">
        <v>254</v>
      </c>
    </row>
    <row r="25" customFormat="false" ht="15" hidden="false" customHeight="true" outlineLevel="0" collapsed="false">
      <c r="B25" s="1" t="s">
        <v>255</v>
      </c>
    </row>
    <row r="26" customFormat="false" ht="15" hidden="false" customHeight="true" outlineLevel="0" collapsed="false">
      <c r="B26" s="1" t="s">
        <v>256</v>
      </c>
    </row>
    <row r="27" customFormat="false" ht="15" hidden="false" customHeight="true" outlineLevel="0" collapsed="false">
      <c r="B27" s="1" t="s">
        <v>257</v>
      </c>
    </row>
    <row r="29" customFormat="false" ht="15" hidden="false" customHeight="true" outlineLevel="0" collapsed="false">
      <c r="B29" s="1" t="s">
        <v>258</v>
      </c>
    </row>
    <row r="30" customFormat="false" ht="15" hidden="false" customHeight="true" outlineLevel="0" collapsed="false">
      <c r="B30" s="1" t="s">
        <v>259</v>
      </c>
    </row>
    <row r="31" customFormat="false" ht="15" hidden="false" customHeight="true" outlineLevel="0" collapsed="false">
      <c r="B31" s="1" t="s">
        <v>260</v>
      </c>
    </row>
    <row r="32" customFormat="false" ht="15" hidden="false" customHeight="true" outlineLevel="0" collapsed="false">
      <c r="B32" s="1" t="s">
        <v>261</v>
      </c>
    </row>
    <row r="33" customFormat="false" ht="15" hidden="false" customHeight="true" outlineLevel="0" collapsed="false">
      <c r="B33" s="1" t="s">
        <v>262</v>
      </c>
    </row>
    <row r="35" customFormat="false" ht="15" hidden="false" customHeight="true" outlineLevel="0" collapsed="false">
      <c r="B35" s="1" t="s">
        <v>263</v>
      </c>
    </row>
    <row r="36" customFormat="false" ht="15" hidden="false" customHeight="true" outlineLevel="0" collapsed="false">
      <c r="B36" s="1" t="s">
        <v>264</v>
      </c>
    </row>
    <row r="37" customFormat="false" ht="15" hidden="false" customHeight="true" outlineLevel="0" collapsed="false">
      <c r="B37" s="1" t="s">
        <v>265</v>
      </c>
    </row>
    <row r="38" customFormat="false" ht="15" hidden="false" customHeight="true" outlineLevel="0" collapsed="false">
      <c r="B38" s="1" t="s">
        <v>266</v>
      </c>
    </row>
    <row r="41" customFormat="false" ht="15" hidden="false" customHeight="true" outlineLevel="0" collapsed="false">
      <c r="B41" s="1" t="s">
        <v>267</v>
      </c>
    </row>
    <row r="43" customFormat="false" ht="15" hidden="false" customHeight="true" outlineLevel="0" collapsed="false">
      <c r="B43" s="1" t="s">
        <v>268</v>
      </c>
    </row>
    <row r="44" customFormat="false" ht="15" hidden="false" customHeight="true" outlineLevel="0" collapsed="false">
      <c r="B44" s="1" t="s">
        <v>269</v>
      </c>
    </row>
    <row r="45" customFormat="false" ht="15" hidden="false" customHeight="true" outlineLevel="0" collapsed="false">
      <c r="B45" s="1" t="s">
        <v>270</v>
      </c>
    </row>
    <row r="46" customFormat="false" ht="15" hidden="false" customHeight="true" outlineLevel="0" collapsed="false">
      <c r="B46" s="1" t="s">
        <v>271</v>
      </c>
    </row>
    <row r="48" customFormat="false" ht="15" hidden="false" customHeight="true" outlineLevel="0" collapsed="false">
      <c r="B48" s="1" t="s">
        <v>272</v>
      </c>
    </row>
    <row r="49" customFormat="false" ht="15" hidden="false" customHeight="true" outlineLevel="0" collapsed="false">
      <c r="B49" s="1" t="s">
        <v>273</v>
      </c>
    </row>
    <row r="50" customFormat="false" ht="15" hidden="false" customHeight="true" outlineLevel="0" collapsed="false">
      <c r="B50" s="1" t="s">
        <v>274</v>
      </c>
    </row>
    <row r="51" customFormat="false" ht="15" hidden="false" customHeight="true" outlineLevel="0" collapsed="false">
      <c r="B51" s="1" t="s">
        <v>275</v>
      </c>
    </row>
    <row r="53" customFormat="false" ht="15" hidden="false" customHeight="true" outlineLevel="0" collapsed="false">
      <c r="B53" s="1" t="s">
        <v>276</v>
      </c>
    </row>
    <row r="54" customFormat="false" ht="15" hidden="false" customHeight="true" outlineLevel="0" collapsed="false">
      <c r="B54" s="1" t="s">
        <v>277</v>
      </c>
    </row>
    <row r="55" customFormat="false" ht="15" hidden="false" customHeight="true" outlineLevel="0" collapsed="false">
      <c r="B55" s="1" t="s">
        <v>278</v>
      </c>
    </row>
    <row r="56" customFormat="false" ht="15" hidden="false" customHeight="true" outlineLevel="0" collapsed="false">
      <c r="B56" s="1" t="s">
        <v>279</v>
      </c>
    </row>
    <row r="58" customFormat="false" ht="15" hidden="false" customHeight="true" outlineLevel="0" collapsed="false">
      <c r="B58" s="1" t="s">
        <v>280</v>
      </c>
    </row>
    <row r="59" customFormat="false" ht="15" hidden="false" customHeight="true" outlineLevel="0" collapsed="false">
      <c r="B59" s="1" t="s">
        <v>281</v>
      </c>
    </row>
    <row r="60" customFormat="false" ht="15" hidden="false" customHeight="true" outlineLevel="0" collapsed="false">
      <c r="B60" s="1" t="s">
        <v>282</v>
      </c>
    </row>
    <row r="61" customFormat="false" ht="15" hidden="false" customHeight="true" outlineLevel="0" collapsed="false">
      <c r="B61" s="1" t="s">
        <v>283</v>
      </c>
    </row>
    <row r="64" customFormat="false" ht="15" hidden="false" customHeight="true" outlineLevel="0" collapsed="false">
      <c r="B64" s="1" t="s">
        <v>284</v>
      </c>
    </row>
    <row r="66" customFormat="false" ht="15" hidden="false" customHeight="true" outlineLevel="0" collapsed="false">
      <c r="B66" s="1" t="s">
        <v>285</v>
      </c>
    </row>
    <row r="67" customFormat="false" ht="15" hidden="false" customHeight="true" outlineLevel="0" collapsed="false">
      <c r="B67" s="1" t="s">
        <v>286</v>
      </c>
    </row>
    <row r="68" customFormat="false" ht="15" hidden="false" customHeight="true" outlineLevel="0" collapsed="false">
      <c r="B68" s="1" t="s">
        <v>287</v>
      </c>
    </row>
    <row r="70" customFormat="false" ht="15" hidden="false" customHeight="true" outlineLevel="0" collapsed="false">
      <c r="B70" s="1" t="s">
        <v>288</v>
      </c>
    </row>
    <row r="71" customFormat="false" ht="15" hidden="false" customHeight="true" outlineLevel="0" collapsed="false">
      <c r="B71" s="1" t="s">
        <v>289</v>
      </c>
    </row>
    <row r="72" customFormat="false" ht="15" hidden="false" customHeight="true" outlineLevel="0" collapsed="false">
      <c r="B72" s="1" t="s">
        <v>290</v>
      </c>
    </row>
    <row r="74" customFormat="false" ht="15" hidden="false" customHeight="true" outlineLevel="0" collapsed="false">
      <c r="B74" s="1" t="s">
        <v>291</v>
      </c>
    </row>
    <row r="75" customFormat="false" ht="15" hidden="false" customHeight="true" outlineLevel="0" collapsed="false">
      <c r="B75" s="1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2026-02-02T06:09:43Z</dcterms:created>
  <dc:creator>openpyxl</dc:creator>
  <dc:description/>
  <dc:language>en-US</dc:language>
  <cp:lastModifiedBy/>
  <dcterms:modified xsi:type="dcterms:W3CDTF">2026-02-02T06:10:20Z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