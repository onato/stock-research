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CF Model" sheetId="1" r:id="rId1"/>
    <sheet name="Scenarios" sheetId="2" r:id="rId2"/>
    <sheet name="Sensitivity" sheetId="3" r:id="rId3"/>
    <sheet name="Historical" sheetId="4" r:id="rId4"/>
    <sheet name="Investment Memo" sheetId="5" r:id="rId5"/>
  </sheets>
  <calcPr calcId="124519" fullCalcOnLoad="1"/>
</workbook>
</file>

<file path=xl/sharedStrings.xml><?xml version="1.0" encoding="utf-8"?>
<sst xmlns="http://schemas.openxmlformats.org/spreadsheetml/2006/main" count="151" uniqueCount="141">
  <si>
    <t>RKLB DCF Valuation Model</t>
  </si>
  <si>
    <t>Gray cells are INPUTS - adjust to see valuation change</t>
  </si>
  <si>
    <t>PRE-PROFIT COMPANY: Projections based on revenue growth + FCF margin assumptions</t>
  </si>
  <si>
    <t>KEY INPUTS</t>
  </si>
  <si>
    <t>Current Stock Price</t>
  </si>
  <si>
    <t>Shares Outstanding (M)</t>
  </si>
  <si>
    <t>Cash &amp; Equivalents (M)</t>
  </si>
  <si>
    <t>Total Debt (M)</t>
  </si>
  <si>
    <t>Net Debt (M)</t>
  </si>
  <si>
    <t>Base Year Revenue (M)</t>
  </si>
  <si>
    <t>WACC</t>
  </si>
  <si>
    <t>Terminal Growth Rate</t>
  </si>
  <si>
    <t>GROWTH ASSUMPTIONS</t>
  </si>
  <si>
    <t>Revenue Growth Rate</t>
  </si>
  <si>
    <t>Year 1</t>
  </si>
  <si>
    <t>Year 2</t>
  </si>
  <si>
    <t>Year 3</t>
  </si>
  <si>
    <t>Year 4</t>
  </si>
  <si>
    <t>Year 5</t>
  </si>
  <si>
    <t>FCF Margin</t>
  </si>
  <si>
    <t>PROJECTIONS</t>
  </si>
  <si>
    <t>Base</t>
  </si>
  <si>
    <t>Revenue</t>
  </si>
  <si>
    <t>Free Cash Flow</t>
  </si>
  <si>
    <t>Discount Factor</t>
  </si>
  <si>
    <t>PV of FCF</t>
  </si>
  <si>
    <t>VALUATION</t>
  </si>
  <si>
    <t>Sum of PV of FCF</t>
  </si>
  <si>
    <t>Terminal FCF (Year 5 * (1+g))</t>
  </si>
  <si>
    <t>Terminal Value</t>
  </si>
  <si>
    <t>PV of Terminal Value</t>
  </si>
  <si>
    <t>Enterprise Value</t>
  </si>
  <si>
    <t>Less: Net Debt</t>
  </si>
  <si>
    <t>Equity Value</t>
  </si>
  <si>
    <t>INTRINSIC VALUE/SHARE</t>
  </si>
  <si>
    <t>ENTRY PRICE (15% CAGR Target)</t>
  </si>
  <si>
    <t>Terminal Value per Share</t>
  </si>
  <si>
    <t>Entry Price (15% CAGR)</t>
  </si>
  <si>
    <t>Upside to IV</t>
  </si>
  <si>
    <t>Upside to Entry Price</t>
  </si>
  <si>
    <t>VALUATION METRICS</t>
  </si>
  <si>
    <t>Market Cap (Current)</t>
  </si>
  <si>
    <t>EV/Revenue (TTM)</t>
  </si>
  <si>
    <t>Price/Sales (Current)</t>
  </si>
  <si>
    <t>Scenario Analysis</t>
  </si>
  <si>
    <t>Comparing Base, Bull, and Bear Cases</t>
  </si>
  <si>
    <t>Assumption</t>
  </si>
  <si>
    <t>Base Case</t>
  </si>
  <si>
    <t>Bull Case</t>
  </si>
  <si>
    <t>Bear Case</t>
  </si>
  <si>
    <t>GROWTH RATES</t>
  </si>
  <si>
    <t>Y1 Revenue Growth</t>
  </si>
  <si>
    <t>Y2 Revenue Growth</t>
  </si>
  <si>
    <t>Y3 Revenue Growth</t>
  </si>
  <si>
    <t>Y4 Revenue Growth</t>
  </si>
  <si>
    <t>Y5 Revenue Growth</t>
  </si>
  <si>
    <t>FCF MARGINS</t>
  </si>
  <si>
    <t>Y1 FCF Margin</t>
  </si>
  <si>
    <t>Y2 FCF Margin</t>
  </si>
  <si>
    <t>Y3 FCF Margin</t>
  </si>
  <si>
    <t>Y4 FCF Margin</t>
  </si>
  <si>
    <t>Y5 FCF Margin</t>
  </si>
  <si>
    <t>OTHER ASSUMPTIONS</t>
  </si>
  <si>
    <t>Terminal Growth</t>
  </si>
  <si>
    <t>VALUATION RESULTS</t>
  </si>
  <si>
    <t>Intrinsic Value/Share</t>
  </si>
  <si>
    <t>Upside/Downside</t>
  </si>
  <si>
    <t>Probability Weights</t>
  </si>
  <si>
    <t>PROBABILITY-WEIGHTED</t>
  </si>
  <si>
    <t>Weighted IV</t>
  </si>
  <si>
    <t>Weighted Upside</t>
  </si>
  <si>
    <t>SCENARIO NOTES</t>
  </si>
  <si>
    <t>Base case assumes Neutron launches successfully in late 2026, company turns FCF positive in Year 2 (2027) with modest 2% margin as Space Systems scales and launch cadence increases. FCF margin expands to 12% by Year 5 as Neutron reaches operational efficiency and Space Systems defense contracts deliver. Revenue decelerates from 35% to 15% as company matures.</t>
  </si>
  <si>
    <t>Bull case: Neutron launches Q2 2026 with immediate commercial success, capturing 20%+ of Falcon 9 addressable market. SDA contract expands to $1B+ with additional defense wins. Space Systems margins approach software-like levels (18%) due to vertical integration and scale. Revenue sustains 25%+ growth through 2030 driven by constellation boom.</t>
  </si>
  <si>
    <t>Bear case: Neutron delayed to 2027+ or experiences launch failure. SpaceX pricing pressure crushes margins. Company burns through cash, requires dilutive financing. FCF doesn't turn positive until Year 3. Growth decelerates sharply as market share erodes to competitors (Relativity, Firefly). Terminal margin only 5% due to commoditization.</t>
  </si>
  <si>
    <t>Sensitivity Analysis</t>
  </si>
  <si>
    <t>Intrinsic Value by WACC &amp; Terminal Growth (Base Case)</t>
  </si>
  <si>
    <t>WACC \ Term G</t>
  </si>
  <si>
    <t>Current Assumptions:</t>
  </si>
  <si>
    <t>WACC: 12%</t>
  </si>
  <si>
    <t>Terminal Growth: 3%</t>
  </si>
  <si>
    <t>Current IV: $9.04</t>
  </si>
  <si>
    <t>Historical Growth Rates</t>
  </si>
  <si>
    <t>Pre-Profit Company: Only Revenue Growth is Meaningful</t>
  </si>
  <si>
    <t>Metric</t>
  </si>
  <si>
    <t>3-Year CAGR</t>
  </si>
  <si>
    <t>Status</t>
  </si>
  <si>
    <t>Revenue (FY21-FY24)</t>
  </si>
  <si>
    <t>Hyper-growth phase</t>
  </si>
  <si>
    <t>Shareholders Equity</t>
  </si>
  <si>
    <t>Declined (losses)</t>
  </si>
  <si>
    <t>EPS</t>
  </si>
  <si>
    <t>N/A</t>
  </si>
  <si>
    <t>Negative</t>
  </si>
  <si>
    <t>Selected Growth Rate:</t>
  </si>
  <si>
    <t>Source:</t>
  </si>
  <si>
    <t>revenue_3yr_cagr_adjusted_for_maturity</t>
  </si>
  <si>
    <t>Note:</t>
  </si>
  <si>
    <t>Pre-profit company: EPS, Equity, and FCF CAGRs not applicable due to negative values. Revenue CAGR FY2021-FY2024: 90.7%. Selected growth rate of 35% reflects deceleration from hyper-growth phase as company scales and approaches profitability. Equity declined from $698M (FY2021) to $383M (FY2024) due to accumulated losses.</t>
  </si>
  <si>
    <t>HISTORICAL FINANCIALS (in millions)</t>
  </si>
  <si>
    <t>Period</t>
  </si>
  <si>
    <t>FCF</t>
  </si>
  <si>
    <t>Equity</t>
  </si>
  <si>
    <t>FY2021</t>
  </si>
  <si>
    <t>FY2022</t>
  </si>
  <si>
    <t>FY2023</t>
  </si>
  <si>
    <t>FY2024</t>
  </si>
  <si>
    <t>Q3 2025 TTM</t>
  </si>
  <si>
    <t>RKLB Investment Memo</t>
  </si>
  <si>
    <t>Valuation Date: 2026-02-06</t>
  </si>
  <si>
    <t>Current Price: $31.00</t>
  </si>
  <si>
    <t>Intrinsic Value (Base): $9.04</t>
  </si>
  <si>
    <t>Probability-Weighted IV: $8.93</t>
  </si>
  <si>
    <t>SUMMARY</t>
  </si>
  <si>
    <t>RKLB trades at $31.00, implying a market cap of ~$16.4B against TTM revenue of ~$567M (29x P/S). Our DCF analysis suggests the stock is significantly overvalued across all probability-weighted scenarios, with base case intrinsic value of $9.04 (-70.8% from current) and weighted IV of $8.93 (-71.2%). The market is pricing in aggressive bull case outcomes that require flawless Neutron execution, sustained hyper-growth, and 15%+ FCF margins by 2030.</t>
  </si>
  <si>
    <t>KEY ASSUMPTIONS</t>
  </si>
  <si>
    <t>• Revenue growth: Base case 35% Y1 decelerating to 15% Y5 (vs historical 90.7% CAGR FY21-FY24)</t>
  </si>
  <si>
    <t>• FCF inflection: Base case assumes FCF positive in Y2 (2027) with 2% margin, expanding to 12% by Y5</t>
  </si>
  <si>
    <t>• WACC: 12% base (higher than typical mature companies due to pre-profit status, execution risk, competitive intensity)</t>
  </si>
  <si>
    <t>• Terminal growth: 3% base (above GDP, reflecting long-term space industry growth)</t>
  </si>
  <si>
    <t>• Neutron timeline: Base case assumes late 2026 first flight, commercial operations 2027</t>
  </si>
  <si>
    <t>RISKS TO VALUATION</t>
  </si>
  <si>
    <t>• Neutron delays/failure: January 2026 tank rupture demonstrates technical challenges. Further delays or launch anomalies would devastate valuation.</t>
  </si>
  <si>
    <t>• Cash burn: Q3 2025 OCF -$101M. Company will likely need to raise capital before profitability, risking dilution at high valuations.</t>
  </si>
  <si>
    <t>• SpaceX competition: Falcon 9 superior economics may prevent Neutron from achieving critical mass, limiting revenue and margin assumptions.</t>
  </si>
  <si>
    <t>• Valuation multiple compression: Trading at 29x P/S vs mature aerospace/defense at 2-4x. Any growth disappointment could trigger sharp multiple contraction.</t>
  </si>
  <si>
    <t>• Execution on SDA contract: $816M contract is largest in company history. Schedule/technical failures would damage defense prime credibility.</t>
  </si>
  <si>
    <t>BULL CASE CATALYSTS</t>
  </si>
  <si>
    <t>• Successful Neutron first flight Q2-Q3 2026 with immediate commercial contract wins</t>
  </si>
  <si>
    <t>• SDA contract expansion beyond $816M to $1B+ total program value</t>
  </si>
  <si>
    <t>• Additional large defense prime wins validating Space Systems as sustainable growth engine</t>
  </si>
  <si>
    <t>• FCF positive earlier than expected (2026 vs 2027) due to Space Systems margin expansion</t>
  </si>
  <si>
    <t>• Sustained 30%+ revenue growth through 2028+ driven by constellation deployments</t>
  </si>
  <si>
    <t>BEAR CASE TRIGGERS</t>
  </si>
  <si>
    <t>• Neutron first flight delayed beyond 2026 or experiences anomaly</t>
  </si>
  <si>
    <t>• SpaceX announces further Falcon 9 pricing cuts or Starship operational success</t>
  </si>
  <si>
    <t>• Cash burn accelerates, forcing dilutive equity raise at depressed valuation</t>
  </si>
  <si>
    <t>• Launch Services segment continues to decline, offsetting Space Systems growth</t>
  </si>
  <si>
    <t>• Broader market rotation away from unprofitable growth stocks</t>
  </si>
  <si>
    <t>RECOMMENDATION</t>
  </si>
  <si>
    <t>HOLD/UNDERWEIGHT. While Rocket Lab has impressive operational execution (80+ launches, 100% 2025 success rate) and strategic positioning (only credible SpaceX alternative + defense prime transition), the current valuation of $31/share ($16.4B market cap) embeds unrealistic expectations for a pre-profit hardware company. Our base case DCF of $9.04 suggests 71% downside risk. Even our bull case ($24.45) requires flawless execution and market share gains that may not materialize given SpaceX's dominance. The risk/reward is unfavorable at current levels. More attractive entry would be $10-15 range (closer to base/bull case midpoint) where 15% CAGR becomes achievable. For existing holders, consider trimming exposure and waiting for Neutron flight validation and clearer path to profitability.</t>
  </si>
</sst>
</file>

<file path=xl/styles.xml><?xml version="1.0" encoding="utf-8"?>
<styleSheet xmlns="http://schemas.openxmlformats.org/spreadsheetml/2006/main">
  <numFmts count="3">
    <numFmt numFmtId="164" formatCode="#,##0.0"/>
    <numFmt numFmtId="165" formatCode="0.0%"/>
    <numFmt numFmtId="166" formatCode="&quot;$&quot;#,##0.00"/>
  </numFmts>
  <fonts count="8">
    <font>
      <sz val="11"/>
      <color theme="1"/>
      <name val="Calibri"/>
      <family val="2"/>
      <scheme val="minor"/>
    </font>
    <font>
      <b/>
      <sz val="16"/>
      <color theme="1"/>
      <name val="Calibri"/>
      <family val="2"/>
      <scheme val="minor"/>
    </font>
    <font>
      <i/>
      <sz val="11"/>
      <color rgb="FF808080"/>
      <name val="Calibri"/>
      <family val="2"/>
      <scheme val="minor"/>
    </font>
    <font>
      <b/>
      <i/>
      <sz val="11"/>
      <color rgb="FFFF0000"/>
      <name val="Calibri"/>
      <family val="2"/>
      <scheme val="minor"/>
    </font>
    <font>
      <b/>
      <sz val="12"/>
      <color theme="1"/>
      <name val="Calibri"/>
      <family val="2"/>
      <scheme val="minor"/>
    </font>
    <font>
      <b/>
      <sz val="11"/>
      <color rgb="FFFFFFFF"/>
      <name val="Calibri"/>
      <family val="2"/>
      <scheme val="minor"/>
    </font>
    <font>
      <b/>
      <sz val="11"/>
      <color theme="1"/>
      <name val="Calibri"/>
      <family val="2"/>
      <scheme val="minor"/>
    </font>
    <font>
      <i/>
      <sz val="11"/>
      <color rgb="FFFF0000"/>
      <name val="Calibri"/>
      <family val="2"/>
      <scheme val="minor"/>
    </font>
  </fonts>
  <fills count="5">
    <fill>
      <patternFill patternType="none"/>
    </fill>
    <fill>
      <patternFill patternType="gray125"/>
    </fill>
    <fill>
      <patternFill patternType="solid">
        <fgColor rgb="FFDFE6E9"/>
        <bgColor indexed="64"/>
      </patternFill>
    </fill>
    <fill>
      <patternFill patternType="solid">
        <fgColor rgb="FF2D3436"/>
        <bgColor indexed="64"/>
      </patternFill>
    </fill>
    <fill>
      <patternFill patternType="solid">
        <fgColor rgb="FF00B894"/>
        <bgColor indexed="64"/>
      </patternFill>
    </fill>
  </fills>
  <borders count="3">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1" fillId="0" borderId="0" xfId="0" applyFont="1"/>
    <xf numFmtId="0" fontId="2" fillId="0" borderId="0" xfId="0" applyFont="1"/>
    <xf numFmtId="0" fontId="3" fillId="0" borderId="0" xfId="0" applyFont="1"/>
    <xf numFmtId="0" fontId="4" fillId="0" borderId="1" xfId="0" applyFont="1" applyBorder="1"/>
    <xf numFmtId="164" fontId="0" fillId="2" borderId="2" xfId="0" applyNumberFormat="1" applyFill="1" applyBorder="1"/>
    <xf numFmtId="164" fontId="0" fillId="0" borderId="2" xfId="0" applyNumberFormat="1" applyBorder="1"/>
    <xf numFmtId="165" fontId="0" fillId="2" borderId="2" xfId="0" applyNumberFormat="1" applyFill="1" applyBorder="1"/>
    <xf numFmtId="0" fontId="5" fillId="3" borderId="2" xfId="0" applyFont="1" applyFill="1" applyBorder="1"/>
    <xf numFmtId="0" fontId="6" fillId="0" borderId="0" xfId="0" applyFont="1"/>
    <xf numFmtId="166" fontId="5" fillId="4" borderId="2" xfId="0" applyNumberFormat="1" applyFont="1" applyFill="1" applyBorder="1"/>
    <xf numFmtId="166" fontId="0" fillId="0" borderId="2" xfId="0" applyNumberFormat="1" applyBorder="1"/>
    <xf numFmtId="165" fontId="0" fillId="0" borderId="2" xfId="0" applyNumberFormat="1" applyBorder="1"/>
    <xf numFmtId="0" fontId="2" fillId="0" borderId="0" xfId="0" applyFont="1" applyAlignment="1">
      <alignment wrapText="1"/>
    </xf>
    <xf numFmtId="165" fontId="5" fillId="3" borderId="0" xfId="0" applyNumberFormat="1" applyFont="1" applyFill="1"/>
    <xf numFmtId="0" fontId="7" fillId="0" borderId="0" xfId="0"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G47"/>
  <sheetViews>
    <sheetView tabSelected="1" workbookViewId="0"/>
  </sheetViews>
  <sheetFormatPr defaultRowHeight="15"/>
  <cols>
    <col min="1" max="1" width="28.7109375" customWidth="1"/>
    <col min="2" max="8" width="14.7109375" customWidth="1"/>
  </cols>
  <sheetData>
    <row r="1" spans="1:6">
      <c r="A1" s="1" t="s">
        <v>0</v>
      </c>
    </row>
    <row r="2" spans="1:6">
      <c r="A2" s="2" t="s">
        <v>1</v>
      </c>
    </row>
    <row r="3" spans="1:6">
      <c r="A3" s="3" t="s">
        <v>2</v>
      </c>
    </row>
    <row r="5" spans="1:6">
      <c r="A5" s="4" t="s">
        <v>3</v>
      </c>
    </row>
    <row r="6" spans="1:6">
      <c r="A6" t="s">
        <v>4</v>
      </c>
      <c r="B6" s="5">
        <v>31</v>
      </c>
    </row>
    <row r="7" spans="1:6">
      <c r="A7" t="s">
        <v>5</v>
      </c>
      <c r="B7" s="5">
        <v>528.7</v>
      </c>
    </row>
    <row r="8" spans="1:6">
      <c r="A8" t="s">
        <v>6</v>
      </c>
      <c r="B8" s="5">
        <v>976.7</v>
      </c>
    </row>
    <row r="9" spans="1:6">
      <c r="A9" t="s">
        <v>7</v>
      </c>
      <c r="B9" s="5">
        <v>425</v>
      </c>
    </row>
    <row r="10" spans="1:6">
      <c r="A10" t="s">
        <v>8</v>
      </c>
      <c r="B10" s="6">
        <f>B9-B8</f>
        <v>0</v>
      </c>
    </row>
    <row r="11" spans="1:6">
      <c r="A11" t="s">
        <v>9</v>
      </c>
      <c r="B11" s="5">
        <v>567</v>
      </c>
    </row>
    <row r="13" spans="1:6">
      <c r="A13" t="s">
        <v>10</v>
      </c>
      <c r="B13" s="7">
        <v>0.12</v>
      </c>
    </row>
    <row r="14" spans="1:6">
      <c r="A14" t="s">
        <v>11</v>
      </c>
      <c r="B14" s="7">
        <v>0.03</v>
      </c>
    </row>
    <row r="16" spans="1:6">
      <c r="A16" s="4" t="s">
        <v>12</v>
      </c>
      <c r="B16" s="8" t="s">
        <v>14</v>
      </c>
      <c r="C16" s="8" t="s">
        <v>15</v>
      </c>
      <c r="D16" s="8" t="s">
        <v>16</v>
      </c>
      <c r="E16" s="8" t="s">
        <v>17</v>
      </c>
      <c r="F16" s="8" t="s">
        <v>18</v>
      </c>
    </row>
    <row r="17" spans="1:7">
      <c r="A17" t="s">
        <v>13</v>
      </c>
      <c r="B17" s="7">
        <v>0.35</v>
      </c>
      <c r="C17" s="7">
        <v>0.3</v>
      </c>
      <c r="D17" s="7">
        <v>0.25</v>
      </c>
      <c r="E17" s="7">
        <v>0.2</v>
      </c>
      <c r="F17" s="7">
        <v>0.15</v>
      </c>
    </row>
    <row r="18" spans="1:7">
      <c r="A18" t="s">
        <v>19</v>
      </c>
      <c r="B18" s="7">
        <v>0</v>
      </c>
      <c r="C18" s="7">
        <v>0.02</v>
      </c>
      <c r="D18" s="7">
        <v>0.05</v>
      </c>
      <c r="E18" s="7">
        <v>0.08</v>
      </c>
      <c r="F18" s="7">
        <v>0.12</v>
      </c>
    </row>
    <row r="20" spans="1:7">
      <c r="A20" s="4" t="s">
        <v>20</v>
      </c>
    </row>
    <row r="21" spans="1:7">
      <c r="A21" s="8"/>
      <c r="B21" s="8" t="s">
        <v>21</v>
      </c>
      <c r="C21" s="8" t="s">
        <v>14</v>
      </c>
      <c r="D21" s="8" t="s">
        <v>15</v>
      </c>
      <c r="E21" s="8" t="s">
        <v>16</v>
      </c>
      <c r="F21" s="8" t="s">
        <v>17</v>
      </c>
      <c r="G21" s="8" t="s">
        <v>18</v>
      </c>
    </row>
    <row r="22" spans="1:7">
      <c r="A22" t="s">
        <v>22</v>
      </c>
      <c r="B22" s="6">
        <f>B11</f>
        <v>0</v>
      </c>
      <c r="C22" s="6">
        <f>B22*(1+B17)</f>
        <v>0</v>
      </c>
      <c r="D22" s="6">
        <f>C22*(1+C17)</f>
        <v>0</v>
      </c>
      <c r="E22" s="6">
        <f>D22*(1+D17)</f>
        <v>0</v>
      </c>
      <c r="F22" s="6">
        <f>E22*(1+E17)</f>
        <v>0</v>
      </c>
      <c r="G22" s="6">
        <f>F22*(1+F17)</f>
        <v>0</v>
      </c>
    </row>
    <row r="23" spans="1:7">
      <c r="A23" t="s">
        <v>23</v>
      </c>
      <c r="B23" s="6">
        <f>0</f>
        <v>0</v>
      </c>
      <c r="C23" s="6">
        <f>C22*B18</f>
        <v>0</v>
      </c>
      <c r="D23" s="6">
        <f>D22*C18</f>
        <v>0</v>
      </c>
      <c r="E23" s="6">
        <f>E22*D18</f>
        <v>0</v>
      </c>
      <c r="F23" s="6">
        <f>F22*E18</f>
        <v>0</v>
      </c>
      <c r="G23" s="6">
        <f>G22*F18</f>
        <v>0</v>
      </c>
    </row>
    <row r="24" spans="1:7">
      <c r="A24" t="s">
        <v>24</v>
      </c>
      <c r="C24" s="6">
        <f>1/(1+$B$13)^1</f>
        <v>0</v>
      </c>
      <c r="D24" s="6">
        <f>1/(1+$B$13)^2</f>
        <v>0</v>
      </c>
      <c r="E24" s="6">
        <f>1/(1+$B$13)^3</f>
        <v>0</v>
      </c>
      <c r="F24" s="6">
        <f>1/(1+$B$13)^4</f>
        <v>0</v>
      </c>
      <c r="G24" s="6">
        <f>1/(1+$B$13)^5</f>
        <v>0</v>
      </c>
    </row>
    <row r="25" spans="1:7">
      <c r="A25" t="s">
        <v>25</v>
      </c>
      <c r="C25" s="6">
        <f>C23*C24</f>
        <v>0</v>
      </c>
      <c r="D25" s="6">
        <f>D23*D24</f>
        <v>0</v>
      </c>
      <c r="E25" s="6">
        <f>E23*E24</f>
        <v>0</v>
      </c>
      <c r="F25" s="6">
        <f>F23*F24</f>
        <v>0</v>
      </c>
      <c r="G25" s="6">
        <f>G23*G24</f>
        <v>0</v>
      </c>
    </row>
    <row r="27" spans="1:7">
      <c r="A27" s="4" t="s">
        <v>26</v>
      </c>
    </row>
    <row r="28" spans="1:7">
      <c r="A28" t="s">
        <v>27</v>
      </c>
      <c r="B28" s="6">
        <f>SUM(C25:G25)</f>
        <v>0</v>
      </c>
    </row>
    <row r="29" spans="1:7">
      <c r="A29" t="s">
        <v>28</v>
      </c>
      <c r="B29" s="6">
        <f>G23*(1+$B$14)</f>
        <v>0</v>
      </c>
    </row>
    <row r="30" spans="1:7">
      <c r="A30" t="s">
        <v>29</v>
      </c>
      <c r="B30" s="6">
        <f>B29/($B$13-$B$14)</f>
        <v>0</v>
      </c>
    </row>
    <row r="31" spans="1:7">
      <c r="A31" t="s">
        <v>30</v>
      </c>
      <c r="B31" s="6">
        <f>B30*G24</f>
        <v>0</v>
      </c>
    </row>
    <row r="32" spans="1:7">
      <c r="A32" t="s">
        <v>31</v>
      </c>
      <c r="B32" s="6">
        <f>B28+B31</f>
        <v>0</v>
      </c>
    </row>
    <row r="33" spans="1:2">
      <c r="A33" t="s">
        <v>32</v>
      </c>
      <c r="B33" s="6">
        <f>B10</f>
        <v>0</v>
      </c>
    </row>
    <row r="34" spans="1:2">
      <c r="A34" t="s">
        <v>33</v>
      </c>
      <c r="B34" s="6">
        <f>B32-B33</f>
        <v>0</v>
      </c>
    </row>
    <row r="35" spans="1:2">
      <c r="A35" s="9" t="s">
        <v>34</v>
      </c>
      <c r="B35" s="10">
        <f>B34/B7</f>
        <v>0</v>
      </c>
    </row>
    <row r="37" spans="1:2">
      <c r="A37" s="4" t="s">
        <v>35</v>
      </c>
    </row>
    <row r="38" spans="1:2">
      <c r="A38" t="s">
        <v>36</v>
      </c>
      <c r="B38" s="11">
        <f>B30/B7</f>
        <v>0</v>
      </c>
    </row>
    <row r="39" spans="1:2">
      <c r="A39" t="s">
        <v>37</v>
      </c>
      <c r="B39" s="10">
        <f>B38/(1.15^5)</f>
        <v>0</v>
      </c>
    </row>
    <row r="41" spans="1:2">
      <c r="A41" t="s">
        <v>38</v>
      </c>
      <c r="B41" s="12">
        <f>(B35-B6)/B6</f>
        <v>0</v>
      </c>
    </row>
    <row r="42" spans="1:2">
      <c r="A42" t="s">
        <v>39</v>
      </c>
      <c r="B42" s="12">
        <f>(B6-B39)/B6</f>
        <v>0</v>
      </c>
    </row>
    <row r="44" spans="1:2">
      <c r="A44" s="4" t="s">
        <v>40</v>
      </c>
    </row>
    <row r="45" spans="1:2">
      <c r="A45" t="s">
        <v>41</v>
      </c>
      <c r="B45" s="6">
        <f>B6*B7</f>
        <v>0</v>
      </c>
    </row>
    <row r="46" spans="1:2">
      <c r="A46" t="s">
        <v>42</v>
      </c>
      <c r="B46" s="6">
        <f>(B45+B10)/B11</f>
        <v>0</v>
      </c>
    </row>
    <row r="47" spans="1:2">
      <c r="A47" t="s">
        <v>43</v>
      </c>
      <c r="B47" s="6">
        <f>B6/(B11/B7)</f>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41"/>
  <sheetViews>
    <sheetView workbookViewId="0"/>
  </sheetViews>
  <sheetFormatPr defaultRowHeight="15"/>
  <cols>
    <col min="1" max="1" width="25.7109375" customWidth="1"/>
    <col min="2" max="5" width="15.7109375" customWidth="1"/>
  </cols>
  <sheetData>
    <row r="1" spans="1:4">
      <c r="A1" s="1" t="s">
        <v>44</v>
      </c>
    </row>
    <row r="2" spans="1:4">
      <c r="A2" t="s">
        <v>45</v>
      </c>
    </row>
    <row r="4" spans="1:4">
      <c r="A4" s="8" t="s">
        <v>46</v>
      </c>
      <c r="B4" s="8" t="s">
        <v>47</v>
      </c>
      <c r="C4" s="8" t="s">
        <v>48</v>
      </c>
      <c r="D4" s="8" t="s">
        <v>49</v>
      </c>
    </row>
    <row r="6" spans="1:4">
      <c r="A6" s="4" t="s">
        <v>50</v>
      </c>
    </row>
    <row r="7" spans="1:4">
      <c r="A7" t="s">
        <v>51</v>
      </c>
      <c r="B7" s="12">
        <v>0.35</v>
      </c>
      <c r="C7" s="12">
        <v>0.45</v>
      </c>
      <c r="D7" s="12">
        <v>0.2</v>
      </c>
    </row>
    <row r="8" spans="1:4">
      <c r="A8" t="s">
        <v>52</v>
      </c>
      <c r="B8" s="12">
        <v>0.3</v>
      </c>
      <c r="C8" s="12">
        <v>0.4</v>
      </c>
      <c r="D8" s="12">
        <v>0.15</v>
      </c>
    </row>
    <row r="9" spans="1:4">
      <c r="A9" t="s">
        <v>53</v>
      </c>
      <c r="B9" s="12">
        <v>0.25</v>
      </c>
      <c r="C9" s="12">
        <v>0.35</v>
      </c>
      <c r="D9" s="12">
        <v>0.1</v>
      </c>
    </row>
    <row r="10" spans="1:4">
      <c r="A10" t="s">
        <v>54</v>
      </c>
      <c r="B10" s="12">
        <v>0.2</v>
      </c>
      <c r="C10" s="12">
        <v>0.3</v>
      </c>
      <c r="D10" s="12">
        <v>0.08</v>
      </c>
    </row>
    <row r="11" spans="1:4">
      <c r="A11" t="s">
        <v>55</v>
      </c>
      <c r="B11" s="12">
        <v>0.15</v>
      </c>
      <c r="C11" s="12">
        <v>0.25</v>
      </c>
      <c r="D11" s="12">
        <v>0.05</v>
      </c>
    </row>
    <row r="12" spans="1:4">
      <c r="A12" s="4" t="s">
        <v>56</v>
      </c>
    </row>
    <row r="13" spans="1:4">
      <c r="A13" t="s">
        <v>57</v>
      </c>
      <c r="B13" s="12">
        <v>0</v>
      </c>
      <c r="C13" s="12">
        <v>0</v>
      </c>
      <c r="D13" s="12">
        <v>-0.05</v>
      </c>
    </row>
    <row r="14" spans="1:4">
      <c r="A14" t="s">
        <v>58</v>
      </c>
      <c r="B14" s="12">
        <v>0.02</v>
      </c>
      <c r="C14" s="12">
        <v>0.05</v>
      </c>
      <c r="D14" s="12">
        <v>-0.02</v>
      </c>
    </row>
    <row r="15" spans="1:4">
      <c r="A15" t="s">
        <v>59</v>
      </c>
      <c r="B15" s="12">
        <v>0.05</v>
      </c>
      <c r="C15" s="12">
        <v>0.1</v>
      </c>
      <c r="D15" s="12">
        <v>0</v>
      </c>
    </row>
    <row r="16" spans="1:4">
      <c r="A16" t="s">
        <v>60</v>
      </c>
      <c r="B16" s="12">
        <v>0.08</v>
      </c>
      <c r="C16" s="12">
        <v>0.15</v>
      </c>
      <c r="D16" s="12">
        <v>0.03</v>
      </c>
    </row>
    <row r="17" spans="1:4">
      <c r="A17" t="s">
        <v>61</v>
      </c>
      <c r="B17" s="12">
        <v>0.12</v>
      </c>
      <c r="C17" s="12">
        <v>0.18</v>
      </c>
      <c r="D17" s="12">
        <v>0.05</v>
      </c>
    </row>
    <row r="18" spans="1:4">
      <c r="A18" s="4" t="s">
        <v>62</v>
      </c>
    </row>
    <row r="19" spans="1:4">
      <c r="A19" t="s">
        <v>10</v>
      </c>
      <c r="B19" s="12">
        <v>0.12</v>
      </c>
      <c r="C19" s="12">
        <v>0.11</v>
      </c>
      <c r="D19" s="12">
        <v>0.14</v>
      </c>
    </row>
    <row r="20" spans="1:4">
      <c r="A20" t="s">
        <v>63</v>
      </c>
      <c r="B20" s="12">
        <v>0.03</v>
      </c>
      <c r="C20" s="12">
        <v>0.035</v>
      </c>
      <c r="D20" s="12">
        <v>0.025</v>
      </c>
    </row>
    <row r="22" spans="1:4">
      <c r="A22" s="4" t="s">
        <v>64</v>
      </c>
    </row>
    <row r="23" spans="1:4">
      <c r="A23" t="s">
        <v>65</v>
      </c>
      <c r="B23" s="11">
        <v>9.039999999999999</v>
      </c>
      <c r="C23" s="11">
        <v>24.45</v>
      </c>
      <c r="D23" s="11">
        <v>5.34</v>
      </c>
    </row>
    <row r="24" spans="1:4">
      <c r="A24" t="s">
        <v>66</v>
      </c>
      <c r="B24" s="12">
        <v>-0.708</v>
      </c>
      <c r="C24" s="12">
        <v>-0.211</v>
      </c>
      <c r="D24" s="12">
        <v>-0.828</v>
      </c>
    </row>
    <row r="26" spans="1:4">
      <c r="A26" t="s">
        <v>67</v>
      </c>
      <c r="B26" s="12">
        <v>0.5</v>
      </c>
      <c r="C26" s="12">
        <v>0.2</v>
      </c>
      <c r="D26" s="12">
        <v>0.3</v>
      </c>
    </row>
    <row r="28" spans="1:4">
      <c r="A28" s="9" t="s">
        <v>68</v>
      </c>
    </row>
    <row r="29" spans="1:4">
      <c r="A29" t="s">
        <v>69</v>
      </c>
      <c r="B29" s="11">
        <v>8.93</v>
      </c>
    </row>
    <row r="30" spans="1:4">
      <c r="A30" t="s">
        <v>70</v>
      </c>
      <c r="B30" s="12">
        <v>-0.7120000000000001</v>
      </c>
    </row>
    <row r="32" spans="1:4">
      <c r="A32" s="4" t="s">
        <v>71</v>
      </c>
    </row>
    <row r="33" spans="1:4">
      <c r="A33" s="13" t="s">
        <v>72</v>
      </c>
      <c r="B33" s="13"/>
      <c r="C33" s="13"/>
      <c r="D33" s="13"/>
    </row>
    <row r="34" spans="1:4">
      <c r="A34" s="13"/>
      <c r="B34" s="13"/>
      <c r="C34" s="13"/>
      <c r="D34" s="13"/>
    </row>
    <row r="35" spans="1:4">
      <c r="A35" s="13"/>
      <c r="B35" s="13"/>
      <c r="C35" s="13"/>
      <c r="D35" s="13"/>
    </row>
    <row r="36" spans="1:4">
      <c r="A36" s="13" t="s">
        <v>73</v>
      </c>
      <c r="B36" s="13"/>
      <c r="C36" s="13"/>
      <c r="D36" s="13"/>
    </row>
    <row r="37" spans="1:4">
      <c r="A37" s="13"/>
      <c r="B37" s="13"/>
      <c r="C37" s="13"/>
      <c r="D37" s="13"/>
    </row>
    <row r="38" spans="1:4">
      <c r="A38" s="13"/>
      <c r="B38" s="13"/>
      <c r="C38" s="13"/>
      <c r="D38" s="13"/>
    </row>
    <row r="39" spans="1:4">
      <c r="A39" s="13" t="s">
        <v>74</v>
      </c>
      <c r="B39" s="13"/>
      <c r="C39" s="13"/>
      <c r="D39" s="13"/>
    </row>
    <row r="40" spans="1:4">
      <c r="A40" s="13"/>
      <c r="B40" s="13"/>
      <c r="C40" s="13"/>
      <c r="D40" s="13"/>
    </row>
    <row r="41" spans="1:4">
      <c r="A41" s="13"/>
      <c r="B41" s="13"/>
      <c r="C41" s="13"/>
      <c r="D41" s="13"/>
    </row>
  </sheetData>
  <mergeCells count="3">
    <mergeCell ref="A33:D35"/>
    <mergeCell ref="A36:D38"/>
    <mergeCell ref="A39:D41"/>
  </mergeCell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F14"/>
  <sheetViews>
    <sheetView workbookViewId="0"/>
  </sheetViews>
  <sheetFormatPr defaultRowHeight="15"/>
  <cols>
    <col min="1" max="1" width="18.7109375" customWidth="1"/>
    <col min="2" max="7" width="12.7109375" customWidth="1"/>
  </cols>
  <sheetData>
    <row r="1" spans="1:6">
      <c r="A1" s="1" t="s">
        <v>75</v>
      </c>
    </row>
    <row r="2" spans="1:6">
      <c r="A2" t="s">
        <v>76</v>
      </c>
    </row>
    <row r="4" spans="1:6">
      <c r="A4" s="8" t="s">
        <v>77</v>
      </c>
      <c r="B4" s="14">
        <v>0.02</v>
      </c>
      <c r="C4" s="14">
        <v>0.025</v>
      </c>
      <c r="D4" s="14">
        <v>0.03</v>
      </c>
      <c r="E4" s="14">
        <v>0.035</v>
      </c>
      <c r="F4" s="14">
        <v>0.04</v>
      </c>
    </row>
    <row r="5" spans="1:6">
      <c r="A5" s="14">
        <v>0.1</v>
      </c>
      <c r="B5" s="11">
        <v>11.83</v>
      </c>
      <c r="C5" s="11">
        <v>12.48</v>
      </c>
      <c r="D5" s="11">
        <v>13.24</v>
      </c>
      <c r="E5" s="11">
        <v>14.13</v>
      </c>
      <c r="F5" s="11">
        <v>15.18</v>
      </c>
    </row>
    <row r="6" spans="1:6">
      <c r="A6" s="14">
        <v>0.11</v>
      </c>
      <c r="B6" s="11">
        <v>10.3</v>
      </c>
      <c r="C6" s="11">
        <v>10.81</v>
      </c>
      <c r="D6" s="11">
        <v>11.4</v>
      </c>
      <c r="E6" s="11">
        <v>12.08</v>
      </c>
      <c r="F6" s="11">
        <v>12.89</v>
      </c>
    </row>
    <row r="7" spans="1:6">
      <c r="A7" s="14">
        <v>0.12</v>
      </c>
      <c r="B7" s="11">
        <v>9.119999999999999</v>
      </c>
      <c r="C7" s="11">
        <v>9.52</v>
      </c>
      <c r="D7" s="11">
        <v>9.98</v>
      </c>
      <c r="E7" s="11">
        <v>10.5</v>
      </c>
      <c r="F7" s="11">
        <v>11.1</v>
      </c>
    </row>
    <row r="8" spans="1:6">
      <c r="A8" s="14">
        <v>0.13</v>
      </c>
      <c r="B8" s="11">
        <v>8.17</v>
      </c>
      <c r="C8" s="11">
        <v>8.5</v>
      </c>
      <c r="D8" s="11">
        <v>8.869999999999999</v>
      </c>
      <c r="E8" s="11">
        <v>9.279999999999999</v>
      </c>
      <c r="F8" s="11">
        <v>9.75</v>
      </c>
    </row>
    <row r="9" spans="1:6">
      <c r="A9" s="14">
        <v>0.14</v>
      </c>
      <c r="B9" s="11">
        <v>7.39</v>
      </c>
      <c r="C9" s="11">
        <v>7.67</v>
      </c>
      <c r="D9" s="11">
        <v>7.98</v>
      </c>
      <c r="E9" s="11">
        <v>8.32</v>
      </c>
      <c r="F9" s="11">
        <v>8.699999999999999</v>
      </c>
    </row>
    <row r="11" spans="1:6">
      <c r="A11" s="9" t="s">
        <v>78</v>
      </c>
    </row>
    <row r="12" spans="1:6">
      <c r="A12" t="s">
        <v>79</v>
      </c>
    </row>
    <row r="13" spans="1:6">
      <c r="A13" t="s">
        <v>80</v>
      </c>
    </row>
    <row r="14" spans="1:6">
      <c r="A14" t="s">
        <v>81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D24"/>
  <sheetViews>
    <sheetView workbookViewId="0"/>
  </sheetViews>
  <sheetFormatPr defaultRowHeight="15"/>
  <cols>
    <col min="1" max="1" width="20.7109375" customWidth="1"/>
    <col min="2" max="4" width="15.7109375" customWidth="1"/>
  </cols>
  <sheetData>
    <row r="1" spans="1:4">
      <c r="A1" s="1" t="s">
        <v>82</v>
      </c>
    </row>
    <row r="2" spans="1:4">
      <c r="A2" s="15" t="s">
        <v>83</v>
      </c>
    </row>
    <row r="4" spans="1:4">
      <c r="A4" s="8" t="s">
        <v>84</v>
      </c>
      <c r="B4" s="8" t="s">
        <v>85</v>
      </c>
      <c r="C4" s="8" t="s">
        <v>86</v>
      </c>
    </row>
    <row r="5" spans="1:4">
      <c r="A5" t="s">
        <v>87</v>
      </c>
      <c r="B5" s="12">
        <v>0.907</v>
      </c>
      <c r="C5" t="s">
        <v>88</v>
      </c>
    </row>
    <row r="6" spans="1:4">
      <c r="A6" t="s">
        <v>89</v>
      </c>
      <c r="B6" s="12">
        <v>-0.185</v>
      </c>
      <c r="C6" t="s">
        <v>90</v>
      </c>
    </row>
    <row r="7" spans="1:4">
      <c r="A7" t="s">
        <v>91</v>
      </c>
      <c r="B7" t="s">
        <v>92</v>
      </c>
      <c r="C7" t="s">
        <v>93</v>
      </c>
    </row>
    <row r="8" spans="1:4">
      <c r="A8" t="s">
        <v>23</v>
      </c>
      <c r="B8" t="s">
        <v>92</v>
      </c>
      <c r="C8" t="s">
        <v>93</v>
      </c>
    </row>
    <row r="10" spans="1:4">
      <c r="A10" s="9" t="s">
        <v>94</v>
      </c>
      <c r="B10" s="12">
        <v>0.35</v>
      </c>
    </row>
    <row r="11" spans="1:4">
      <c r="A11" t="s">
        <v>95</v>
      </c>
      <c r="B11" t="s">
        <v>96</v>
      </c>
    </row>
    <row r="13" spans="1:4">
      <c r="A13" s="9" t="s">
        <v>97</v>
      </c>
    </row>
    <row r="14" spans="1:4">
      <c r="A14" s="13" t="s">
        <v>98</v>
      </c>
      <c r="B14" s="13"/>
      <c r="C14" s="13"/>
      <c r="D14" s="13"/>
    </row>
    <row r="15" spans="1:4">
      <c r="A15" s="13"/>
      <c r="B15" s="13"/>
      <c r="C15" s="13"/>
      <c r="D15" s="13"/>
    </row>
    <row r="16" spans="1:4">
      <c r="A16" s="13"/>
      <c r="B16" s="13"/>
      <c r="C16" s="13"/>
      <c r="D16" s="13"/>
    </row>
    <row r="18" spans="1:4">
      <c r="A18" s="4" t="s">
        <v>99</v>
      </c>
    </row>
    <row r="19" spans="1:4">
      <c r="A19" s="8" t="s">
        <v>100</v>
      </c>
      <c r="B19" s="8" t="s">
        <v>22</v>
      </c>
      <c r="C19" s="8" t="s">
        <v>101</v>
      </c>
      <c r="D19" s="8" t="s">
        <v>102</v>
      </c>
    </row>
    <row r="20" spans="1:4">
      <c r="A20" t="s">
        <v>103</v>
      </c>
      <c r="B20" s="6">
        <v>62.2</v>
      </c>
      <c r="C20" s="6">
        <v>-88</v>
      </c>
      <c r="D20" s="6">
        <v>698.4</v>
      </c>
    </row>
    <row r="21" spans="1:4">
      <c r="A21" t="s">
        <v>104</v>
      </c>
      <c r="B21" s="6">
        <v>211</v>
      </c>
      <c r="C21" s="6">
        <v>-148.9</v>
      </c>
      <c r="D21" s="6">
        <v>673.2</v>
      </c>
    </row>
    <row r="22" spans="1:4">
      <c r="A22" t="s">
        <v>105</v>
      </c>
      <c r="B22" s="6">
        <v>244.6</v>
      </c>
      <c r="C22" s="6">
        <v>-153.6</v>
      </c>
      <c r="D22" s="6">
        <v>554.5</v>
      </c>
    </row>
    <row r="23" spans="1:4">
      <c r="A23" t="s">
        <v>106</v>
      </c>
      <c r="B23" s="6">
        <v>436.2</v>
      </c>
      <c r="C23" s="6">
        <v>-116</v>
      </c>
      <c r="D23" s="6">
        <v>382.5</v>
      </c>
    </row>
    <row r="24" spans="1:4">
      <c r="A24" t="s">
        <v>107</v>
      </c>
      <c r="B24" s="6">
        <v>567</v>
      </c>
      <c r="C24" s="6">
        <v>-207.6</v>
      </c>
      <c r="D24" s="6">
        <v>1281</v>
      </c>
    </row>
  </sheetData>
  <mergeCells count="1">
    <mergeCell ref="A14:D16"/>
  </mergeCell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A42"/>
  <sheetViews>
    <sheetView workbookViewId="0"/>
  </sheetViews>
  <sheetFormatPr defaultRowHeight="15"/>
  <cols>
    <col min="1" max="1" width="100.7109375" customWidth="1"/>
  </cols>
  <sheetData>
    <row r="1" spans="1:1">
      <c r="A1" s="1" t="s">
        <v>108</v>
      </c>
    </row>
    <row r="2" spans="1:1">
      <c r="A2" t="s">
        <v>109</v>
      </c>
    </row>
    <row r="3" spans="1:1">
      <c r="A3" t="s">
        <v>110</v>
      </c>
    </row>
    <row r="4" spans="1:1">
      <c r="A4" t="s">
        <v>111</v>
      </c>
    </row>
    <row r="5" spans="1:1">
      <c r="A5" t="s">
        <v>112</v>
      </c>
    </row>
    <row r="7" spans="1:1">
      <c r="A7" s="4" t="s">
        <v>113</v>
      </c>
    </row>
    <row r="8" spans="1:1">
      <c r="A8" s="13" t="s">
        <v>114</v>
      </c>
    </row>
    <row r="9" spans="1:1">
      <c r="A9" s="13"/>
    </row>
    <row r="10" spans="1:1">
      <c r="A10" s="13"/>
    </row>
    <row r="12" spans="1:1">
      <c r="A12" s="4" t="s">
        <v>115</v>
      </c>
    </row>
    <row r="13" spans="1:1">
      <c r="A13" s="13" t="s">
        <v>116</v>
      </c>
    </row>
    <row r="14" spans="1:1">
      <c r="A14" s="13" t="s">
        <v>117</v>
      </c>
    </row>
    <row r="15" spans="1:1">
      <c r="A15" s="13" t="s">
        <v>118</v>
      </c>
    </row>
    <row r="16" spans="1:1">
      <c r="A16" s="13" t="s">
        <v>119</v>
      </c>
    </row>
    <row r="17" spans="1:1">
      <c r="A17" s="13" t="s">
        <v>120</v>
      </c>
    </row>
    <row r="18" spans="1:1">
      <c r="A18" s="4" t="s">
        <v>121</v>
      </c>
    </row>
    <row r="19" spans="1:1">
      <c r="A19" s="13" t="s">
        <v>122</v>
      </c>
    </row>
    <row r="20" spans="1:1">
      <c r="A20" s="13" t="s">
        <v>123</v>
      </c>
    </row>
    <row r="21" spans="1:1">
      <c r="A21" s="13" t="s">
        <v>124</v>
      </c>
    </row>
    <row r="22" spans="1:1">
      <c r="A22" s="13" t="s">
        <v>125</v>
      </c>
    </row>
    <row r="23" spans="1:1">
      <c r="A23" s="13" t="s">
        <v>126</v>
      </c>
    </row>
    <row r="24" spans="1:1">
      <c r="A24" s="4" t="s">
        <v>127</v>
      </c>
    </row>
    <row r="25" spans="1:1">
      <c r="A25" s="13" t="s">
        <v>128</v>
      </c>
    </row>
    <row r="26" spans="1:1">
      <c r="A26" s="13" t="s">
        <v>129</v>
      </c>
    </row>
    <row r="27" spans="1:1">
      <c r="A27" s="13" t="s">
        <v>130</v>
      </c>
    </row>
    <row r="28" spans="1:1">
      <c r="A28" s="13" t="s">
        <v>131</v>
      </c>
    </row>
    <row r="29" spans="1:1">
      <c r="A29" s="13" t="s">
        <v>132</v>
      </c>
    </row>
    <row r="30" spans="1:1">
      <c r="A30" s="4" t="s">
        <v>133</v>
      </c>
    </row>
    <row r="31" spans="1:1">
      <c r="A31" s="13" t="s">
        <v>134</v>
      </c>
    </row>
    <row r="32" spans="1:1">
      <c r="A32" s="13" t="s">
        <v>135</v>
      </c>
    </row>
    <row r="33" spans="1:1">
      <c r="A33" s="13" t="s">
        <v>136</v>
      </c>
    </row>
    <row r="34" spans="1:1">
      <c r="A34" s="13" t="s">
        <v>137</v>
      </c>
    </row>
    <row r="35" spans="1:1">
      <c r="A35" s="13" t="s">
        <v>138</v>
      </c>
    </row>
    <row r="36" spans="1:1">
      <c r="A36" s="4" t="s">
        <v>139</v>
      </c>
    </row>
    <row r="37" spans="1:1">
      <c r="A37" s="13" t="s">
        <v>140</v>
      </c>
    </row>
    <row r="38" spans="1:1">
      <c r="A38" s="13"/>
    </row>
    <row r="39" spans="1:1">
      <c r="A39" s="13"/>
    </row>
    <row r="40" spans="1:1">
      <c r="A40" s="13"/>
    </row>
    <row r="41" spans="1:1">
      <c r="A41" s="13"/>
    </row>
    <row r="42" spans="1:1">
      <c r="A42" s="13"/>
    </row>
  </sheetData>
  <mergeCells count="2">
    <mergeCell ref="A8:A10"/>
    <mergeCell ref="A37:A4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DCF Model</vt:lpstr>
      <vt:lpstr>Scenarios</vt:lpstr>
      <vt:lpstr>Sensitivity</vt:lpstr>
      <vt:lpstr>Historical</vt:lpstr>
      <vt:lpstr>Investment Memo</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2026-02-06T04:32:30Z</dcterms:created>
  <dcterms:modified xsi:type="dcterms:W3CDTF">2026-02-06T04:32:30Z</dcterms:modified>
</cp:coreProperties>
</file>