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 (Base)" sheetId="1" r:id="rId1"/>
    <sheet name="Scenario Comparison" sheetId="2" r:id="rId2"/>
    <sheet name="Sensitivity" sheetId="3" r:id="rId3"/>
    <sheet name="Historical Data" sheetId="4" r:id="rId4"/>
  </sheets>
  <calcPr calcId="124519" fullCalcOnLoad="1"/>
</workbook>
</file>

<file path=xl/sharedStrings.xml><?xml version="1.0" encoding="utf-8"?>
<sst xmlns="http://schemas.openxmlformats.org/spreadsheetml/2006/main" count="170" uniqueCount="149">
  <si>
    <t>CRWD DCF Valuation Model (Base Case)</t>
  </si>
  <si>
    <t>Gray cells are INPUTS — adjust to see valuation update automatically</t>
  </si>
  <si>
    <t>Valuation date: 2026-06-27  |  All figures in USD millions unless noted  |  Pre-split share count &amp; price</t>
  </si>
  <si>
    <t>KEY INPUTS</t>
  </si>
  <si>
    <t>Current Stock Price (pre-split)</t>
  </si>
  <si>
    <t>Shares Outstanding (M, diluted)</t>
  </si>
  <si>
    <t>Cash &amp; Equivalents (M)</t>
  </si>
  <si>
    <t>Total Debt (M)</t>
  </si>
  <si>
    <t>Net Debt (M)  [Debt minus Cash]</t>
  </si>
  <si>
    <t>Base Year FCF (M)  [FY2026 actual]</t>
  </si>
  <si>
    <t>WACC</t>
  </si>
  <si>
    <t>Terminal Growth Rate</t>
  </si>
  <si>
    <t>GROWTH RATE ASSUMPTIONS</t>
  </si>
  <si>
    <t>FCF Growth Rate (Y1-Y5)</t>
  </si>
  <si>
    <t>Year 1</t>
  </si>
  <si>
    <t>Year 2</t>
  </si>
  <si>
    <t>Year 3</t>
  </si>
  <si>
    <t>Year 4</t>
  </si>
  <si>
    <t>Year 5</t>
  </si>
  <si>
    <t>PROJECTIONS</t>
  </si>
  <si>
    <t>Base FCF</t>
  </si>
  <si>
    <t>Free Cash Flow (M)</t>
  </si>
  <si>
    <t>Discount Factor  [1/(1+WACC)^n]</t>
  </si>
  <si>
    <t>PV of FCF (M)</t>
  </si>
  <si>
    <t>VALUATION</t>
  </si>
  <si>
    <t>Sum of PV of FCF (M)</t>
  </si>
  <si>
    <t>Terminal FCF  [Year 5 FCF × (1+g)]</t>
  </si>
  <si>
    <t>Terminal Value (M)  [TV/(WACC-g)]</t>
  </si>
  <si>
    <t>PV of Terminal Value (M)</t>
  </si>
  <si>
    <t>Enterprise Value (M)</t>
  </si>
  <si>
    <t>Less: Net Debt (M)  [neg = net cash]</t>
  </si>
  <si>
    <t>Equity Value (M)</t>
  </si>
  <si>
    <t>INTRINSIC VALUE / SHARE (pre-split)</t>
  </si>
  <si>
    <t>Current Price (pre-split)</t>
  </si>
  <si>
    <t>Upside / (Downside) to IV</t>
  </si>
  <si>
    <t>ENTRY PRICE ANALYSIS (15% CAGR Target)</t>
  </si>
  <si>
    <t>Terminal Value per Share (pre-split)</t>
  </si>
  <si>
    <t>Entry Price for 15% CAGR  [TV/share ÷ 1.15^5]</t>
  </si>
  <si>
    <t>Upside to Entry Price vs Current</t>
  </si>
  <si>
    <t>STOCK SPLIT NOTE</t>
  </si>
  <si>
    <t>4-for-1 split effective July 2, 2026</t>
  </si>
  <si>
    <t>Post-split equivalents:</t>
  </si>
  <si>
    <t>Pre-split price</t>
  </si>
  <si>
    <t>Post-split equivalent price</t>
  </si>
  <si>
    <t>Pre-split IV (base)</t>
  </si>
  <si>
    <t>Post-split IV (base)</t>
  </si>
  <si>
    <t>KEY MARKET METRICS</t>
  </si>
  <si>
    <t>Market Cap (M)</t>
  </si>
  <si>
    <t>Enterprise Value — market (M)</t>
  </si>
  <si>
    <t>EV/LTM FCF (market)</t>
  </si>
  <si>
    <t>EV/LTM Revenue (market)</t>
  </si>
  <si>
    <t>SANITY CHECK</t>
  </si>
  <si>
    <t>WARNING: 5-yr DCF IV ($143/share base) is well below current market price ($701). EV/FCF ~149x and EV/ARR ~33.5x are at/above CRWD historical range. Market prices long-duration growth beyond this 5-yr model. Use as downside anchor, not standalone valuation.</t>
  </si>
  <si>
    <t>GROWTH RATE NOTES</t>
  </si>
  <si>
    <t>Selected rate: FCF 3yr CAGR (22.4%, FY2023-FY2026). Equity CAGR excluded (distorted by GAAP losses). EPS CAGR not calculable (persistent GAAP losses through FY2026). Base Y1 (22%) aligns with FY2027 ARR guidance (24% ARR growth). SBC ~$700M/yr not deducted from FCF; owner earnings are lower.</t>
  </si>
  <si>
    <t>CRWD — Scenario Comparison (Base / Bull / Bear)</t>
  </si>
  <si>
    <t>Pre-split. All FCF in USD millions. Current price: $701.09</t>
  </si>
  <si>
    <t>Item</t>
  </si>
  <si>
    <t>BASE</t>
  </si>
  <si>
    <t>BULL</t>
  </si>
  <si>
    <t>BEAR</t>
  </si>
  <si>
    <t>10%</t>
  </si>
  <si>
    <t>9%</t>
  </si>
  <si>
    <t>12%</t>
  </si>
  <si>
    <t>Terminal Growth</t>
  </si>
  <si>
    <t>3.0%</t>
  </si>
  <si>
    <t>3.5%</t>
  </si>
  <si>
    <t>2.5%</t>
  </si>
  <si>
    <t>Y1 FCF Growth</t>
  </si>
  <si>
    <t>22%</t>
  </si>
  <si>
    <t>28%</t>
  </si>
  <si>
    <t>16%</t>
  </si>
  <si>
    <t>Y5 FCF Growth</t>
  </si>
  <si>
    <t>17%</t>
  </si>
  <si>
    <t>8%</t>
  </si>
  <si>
    <t>FCF Margin</t>
  </si>
  <si>
    <t>27%</t>
  </si>
  <si>
    <t>30%</t>
  </si>
  <si>
    <t>24%</t>
  </si>
  <si>
    <t>Y1 FCF (M)</t>
  </si>
  <si>
    <t>$1,514.6</t>
  </si>
  <si>
    <t>$1,589.1</t>
  </si>
  <si>
    <t>$1,440.1</t>
  </si>
  <si>
    <t>Y5 FCF (M)</t>
  </si>
  <si>
    <t>$2,762.4</t>
  </si>
  <si>
    <t>$3,458.0</t>
  </si>
  <si>
    <t>$2,184.4</t>
  </si>
  <si>
    <t>Sum PV FCF (M)</t>
  </si>
  <si>
    <t>$7,889.9</t>
  </si>
  <si>
    <t>$9,386.3</t>
  </si>
  <si>
    <t>$6,428.2</t>
  </si>
  <si>
    <t>Terminal Value (M)</t>
  </si>
  <si>
    <t>$40,647.1</t>
  </si>
  <si>
    <t>$65,072.8</t>
  </si>
  <si>
    <t>$23,567.4</t>
  </si>
  <si>
    <t>PV Terminal Value (M)</t>
  </si>
  <si>
    <t>$25,237.7</t>
  </si>
  <si>
    <t>$42,293.1</t>
  </si>
  <si>
    <t>$13,368.5</t>
  </si>
  <si>
    <t>$33,127.6</t>
  </si>
  <si>
    <t>$51,679.4</t>
  </si>
  <si>
    <t>$19,796.7</t>
  </si>
  <si>
    <t>$36,934.6</t>
  </si>
  <si>
    <t>$55,486.4</t>
  </si>
  <si>
    <t>$23,603.7</t>
  </si>
  <si>
    <t>Intrinsic Value / Share</t>
  </si>
  <si>
    <t>$143.21</t>
  </si>
  <si>
    <t>$215.13</t>
  </si>
  <si>
    <t>$91.54</t>
  </si>
  <si>
    <t>Upside / (Downside)</t>
  </si>
  <si>
    <t>-79.6%</t>
  </si>
  <si>
    <t>-69.3%</t>
  </si>
  <si>
    <t>-86.9%</t>
  </si>
  <si>
    <t>Entry Price (15% CAGR)</t>
  </si>
  <si>
    <t>$78.36</t>
  </si>
  <si>
    <t>$125.44</t>
  </si>
  <si>
    <t>$45.44</t>
  </si>
  <si>
    <t>PROBABILITY WEIGHTED IV</t>
  </si>
  <si>
    <t>$148.27 (25/50/25)</t>
  </si>
  <si>
    <t>Sensitivity Analysis — Base Scenario IV per Share (pre-split)</t>
  </si>
  <si>
    <t>Rows = WACC, Columns = Terminal Growth Rate. Uses Base growth rates (22/20/18/15/12%).</t>
  </si>
  <si>
    <t>Current price: $701.09  |  Base IV: $143.21</t>
  </si>
  <si>
    <t>WACC \ Term G</t>
  </si>
  <si>
    <t>2.0%</t>
  </si>
  <si>
    <t>4.0%</t>
  </si>
  <si>
    <t>11%</t>
  </si>
  <si>
    <t>All cells shaded RED — no WACC/terminal growth combination in this range yields a DCF value at or above the current $701/share price. This is expected for a premium-growth SaaS platform where the market embeds a long-duration growth runway beyond the 5-year DCF window. The sensitivity table is best used to understand relative value and downside scenarios, not to find a "fair" price at current multiples.</t>
  </si>
  <si>
    <t>Historical Growth Rates</t>
  </si>
  <si>
    <t>Equity CAGR excluded as primary metric (distorted by GAAP losses). FCF CAGR is primary anchor.</t>
  </si>
  <si>
    <t>Metric</t>
  </si>
  <si>
    <t>3-Year CAGR</t>
  </si>
  <si>
    <t>5-Year CAGR</t>
  </si>
  <si>
    <t>Base Year (FY2023)</t>
  </si>
  <si>
    <t>End Year (FY2026)</t>
  </si>
  <si>
    <t>Revenue</t>
  </si>
  <si>
    <t>Free Cash Flow</t>
  </si>
  <si>
    <t>Shareholders Equity</t>
  </si>
  <si>
    <t>EPS (GAAP)</t>
  </si>
  <si>
    <t>N/A</t>
  </si>
  <si>
    <t>N/A (GAAP losses)</t>
  </si>
  <si>
    <t>Selected Growth Rate:</t>
  </si>
  <si>
    <t>fcf_3yr_cagr</t>
  </si>
  <si>
    <t>KEY BALANCE SHEET ITEMS (Q1 FY2027, April 30 2026)</t>
  </si>
  <si>
    <t>Net Debt (M)  [neg = net cash]</t>
  </si>
  <si>
    <t>Ending ARR (M)</t>
  </si>
  <si>
    <t>FY2026 Full-Year FCF (M)</t>
  </si>
  <si>
    <t>FY2027 Revenue Guidance Midpoint (M)</t>
  </si>
  <si>
    <t>SBC NOTE</t>
  </si>
  <si>
    <t>CrowdStrike SBC was ~$700M in FY2026. FCF is reported after capex but BEFORE SBC deduction. On an SBC-adjusted basis (~$700M / 257.9M shares = ~$2.72/share annual dilution cost), true owner earnings are materially lower than reported FCF. This model uses reported FCF.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</si>
</sst>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,##0.0"/>
    <numFmt numFmtId="166" formatCode="0.0%"/>
  </numFmts>
  <fonts count="9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2"/>
      <color rgb="FF2D343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D3436"/>
      <name val="Calibri"/>
      <family val="2"/>
      <scheme val="minor"/>
    </font>
    <font>
      <i/>
      <sz val="11"/>
      <color rgb="FF636E72"/>
      <name val="Calibri"/>
      <family val="2"/>
      <scheme val="minor"/>
    </font>
    <font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FF767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0" fontId="4" fillId="0" borderId="0" xfId="0" applyFont="1"/>
    <xf numFmtId="165" fontId="0" fillId="2" borderId="2" xfId="0" applyNumberFormat="1" applyFill="1" applyBorder="1"/>
    <xf numFmtId="164" fontId="0" fillId="0" borderId="2" xfId="0" applyNumberFormat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5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wrapText="1"/>
    </xf>
    <xf numFmtId="0" fontId="7" fillId="0" borderId="0" xfId="0" applyFont="1" applyAlignment="1">
      <alignment wrapText="1"/>
    </xf>
    <xf numFmtId="164" fontId="5" fillId="5" borderId="2" xfId="0" applyNumberFormat="1" applyFont="1" applyFill="1" applyBorder="1"/>
    <xf numFmtId="166" fontId="5" fillId="6" borderId="2" xfId="0" applyNumberFormat="1" applyFont="1" applyFill="1" applyBorder="1"/>
    <xf numFmtId="164" fontId="5" fillId="7" borderId="2" xfId="0" applyNumberFormat="1" applyFont="1" applyFill="1" applyBorder="1"/>
    <xf numFmtId="164" fontId="8" fillId="8" borderId="2" xfId="0" applyNumberFormat="1" applyFont="1" applyFill="1" applyBorder="1" applyAlignment="1">
      <alignment horizontal="center"/>
    </xf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7" width="14.7109375" customWidth="1"/>
    <col min="8" max="8" width="2.7109375" customWidth="1"/>
    <col min="9" max="9" width="28.7109375" customWidth="1"/>
    <col min="10" max="10" width="16.7109375" customWidth="1"/>
  </cols>
  <sheetData>
    <row r="1" spans="1:10" ht="24" customHeight="1">
      <c r="A1" s="1" t="s">
        <v>0</v>
      </c>
    </row>
    <row r="2" spans="1:10">
      <c r="A2" s="2" t="s">
        <v>1</v>
      </c>
    </row>
    <row r="3" spans="1:10">
      <c r="A3" s="2" t="s">
        <v>2</v>
      </c>
    </row>
    <row r="5" spans="1:10">
      <c r="A5" s="3" t="s">
        <v>3</v>
      </c>
      <c r="I5" s="3" t="s">
        <v>39</v>
      </c>
    </row>
    <row r="6" spans="1:10">
      <c r="A6" t="s">
        <v>4</v>
      </c>
      <c r="B6" s="4">
        <v>701.09</v>
      </c>
      <c r="I6" t="s">
        <v>40</v>
      </c>
      <c r="J6" s="5" t="s">
        <v>41</v>
      </c>
    </row>
    <row r="7" spans="1:10">
      <c r="A7" t="s">
        <v>5</v>
      </c>
      <c r="B7" s="6">
        <v>257.9</v>
      </c>
      <c r="I7" t="s">
        <v>42</v>
      </c>
      <c r="J7" s="7">
        <f>B6</f>
        <v>0</v>
      </c>
    </row>
    <row r="8" spans="1:10">
      <c r="A8" t="s">
        <v>6</v>
      </c>
      <c r="B8" s="6">
        <v>4552.8</v>
      </c>
      <c r="I8" t="s">
        <v>43</v>
      </c>
      <c r="J8" s="7">
        <f>B6/4</f>
        <v>0</v>
      </c>
    </row>
    <row r="9" spans="1:10">
      <c r="A9" t="s">
        <v>7</v>
      </c>
      <c r="B9" s="6">
        <v>745.8</v>
      </c>
      <c r="I9" t="s">
        <v>44</v>
      </c>
      <c r="J9" s="7">
        <f>B35</f>
        <v>0</v>
      </c>
    </row>
    <row r="10" spans="1:10">
      <c r="A10" t="s">
        <v>8</v>
      </c>
      <c r="B10" s="8">
        <f>B9-B8</f>
        <v>0</v>
      </c>
      <c r="I10" t="s">
        <v>45</v>
      </c>
      <c r="J10" s="7">
        <f>B35/4</f>
        <v>0</v>
      </c>
    </row>
    <row r="11" spans="1:10">
      <c r="A11" t="s">
        <v>9</v>
      </c>
      <c r="B11" s="6">
        <v>1241.5</v>
      </c>
    </row>
    <row r="12" spans="1:10">
      <c r="I12" s="3" t="s">
        <v>46</v>
      </c>
    </row>
    <row r="13" spans="1:10">
      <c r="A13" t="s">
        <v>10</v>
      </c>
      <c r="B13" s="9">
        <v>0.1</v>
      </c>
      <c r="I13" t="s">
        <v>47</v>
      </c>
      <c r="J13" s="8">
        <f>B6*B7</f>
        <v>0</v>
      </c>
    </row>
    <row r="14" spans="1:10">
      <c r="A14" t="s">
        <v>11</v>
      </c>
      <c r="B14" s="9">
        <v>0.03</v>
      </c>
      <c r="I14" t="s">
        <v>48</v>
      </c>
      <c r="J14" s="8">
        <f>B6*B7-B10</f>
        <v>0</v>
      </c>
    </row>
    <row r="15" spans="1:10">
      <c r="I15" t="s">
        <v>49</v>
      </c>
      <c r="J15" s="8">
        <f>(B6*B7-B10)/B11</f>
        <v>0</v>
      </c>
    </row>
    <row r="16" spans="1:10">
      <c r="A16" s="3" t="s">
        <v>12</v>
      </c>
      <c r="I16" t="s">
        <v>50</v>
      </c>
      <c r="J16" s="8">
        <f>(B6*B7-B10)/4812</f>
        <v>0</v>
      </c>
    </row>
    <row r="17" spans="1:10">
      <c r="A17" t="s">
        <v>13</v>
      </c>
      <c r="C17" s="10" t="s">
        <v>14</v>
      </c>
      <c r="D17" s="10" t="s">
        <v>15</v>
      </c>
      <c r="E17" s="10" t="s">
        <v>16</v>
      </c>
      <c r="F17" s="10" t="s">
        <v>17</v>
      </c>
      <c r="G17" s="10" t="s">
        <v>18</v>
      </c>
    </row>
    <row r="18" spans="1:10">
      <c r="C18" s="9">
        <v>0.22</v>
      </c>
      <c r="D18" s="9">
        <v>0.2</v>
      </c>
      <c r="E18" s="9">
        <v>0.18</v>
      </c>
      <c r="F18" s="9">
        <v>0.15</v>
      </c>
      <c r="G18" s="9">
        <v>0.12</v>
      </c>
      <c r="I18" s="3" t="s">
        <v>51</v>
      </c>
    </row>
    <row r="19" spans="1:10" ht="60" customHeight="1">
      <c r="I19" s="11" t="s">
        <v>52</v>
      </c>
      <c r="J19" s="11"/>
    </row>
    <row r="20" spans="1:10">
      <c r="A20" s="3" t="s">
        <v>19</v>
      </c>
      <c r="I20" s="11"/>
      <c r="J20" s="11"/>
    </row>
    <row r="21" spans="1:10">
      <c r="A21" s="10"/>
      <c r="B21" s="10" t="s">
        <v>20</v>
      </c>
      <c r="C21" s="10" t="s">
        <v>14</v>
      </c>
      <c r="D21" s="10" t="s">
        <v>15</v>
      </c>
      <c r="E21" s="10" t="s">
        <v>16</v>
      </c>
      <c r="F21" s="10" t="s">
        <v>17</v>
      </c>
      <c r="G21" s="10" t="s">
        <v>18</v>
      </c>
      <c r="I21" s="11"/>
      <c r="J21" s="11"/>
    </row>
    <row r="22" spans="1:10">
      <c r="A22" t="s">
        <v>21</v>
      </c>
      <c r="B22" s="8">
        <f>B11</f>
        <v>0</v>
      </c>
      <c r="C22" s="8">
        <f>B22*(1+C18)</f>
        <v>0</v>
      </c>
      <c r="D22" s="8">
        <f>C22*(1+D18)</f>
        <v>0</v>
      </c>
      <c r="E22" s="8">
        <f>D22*(1+E18)</f>
        <v>0</v>
      </c>
      <c r="F22" s="8">
        <f>E22*(1+F18)</f>
        <v>0</v>
      </c>
      <c r="G22" s="8">
        <f>F22*(1+G18)</f>
        <v>0</v>
      </c>
    </row>
    <row r="23" spans="1:10">
      <c r="A23" t="s">
        <v>22</v>
      </c>
      <c r="C23" s="8">
        <f>1/(1+$B$13)^1</f>
        <v>0</v>
      </c>
      <c r="D23" s="8">
        <f>1/(1+$B$13)^2</f>
        <v>0</v>
      </c>
      <c r="E23" s="8">
        <f>1/(1+$B$13)^3</f>
        <v>0</v>
      </c>
      <c r="F23" s="8">
        <f>1/(1+$B$13)^4</f>
        <v>0</v>
      </c>
      <c r="G23" s="8">
        <f>1/(1+$B$13)^5</f>
        <v>0</v>
      </c>
      <c r="I23" s="3" t="s">
        <v>53</v>
      </c>
    </row>
    <row r="24" spans="1:10" ht="70" customHeight="1">
      <c r="A24" t="s">
        <v>23</v>
      </c>
      <c r="C24" s="8">
        <f>C22*C23</f>
        <v>0</v>
      </c>
      <c r="D24" s="8">
        <f>D22*D23</f>
        <v>0</v>
      </c>
      <c r="E24" s="8">
        <f>E22*E23</f>
        <v>0</v>
      </c>
      <c r="F24" s="8">
        <f>F22*F23</f>
        <v>0</v>
      </c>
      <c r="G24" s="8">
        <f>G22*G23</f>
        <v>0</v>
      </c>
      <c r="I24" s="12" t="s">
        <v>54</v>
      </c>
      <c r="J24" s="12"/>
    </row>
    <row r="25" spans="1:10">
      <c r="I25" s="12"/>
      <c r="J25" s="12"/>
    </row>
    <row r="26" spans="1:10">
      <c r="I26" s="12"/>
      <c r="J26" s="12"/>
    </row>
    <row r="27" spans="1:10">
      <c r="A27" s="3" t="s">
        <v>24</v>
      </c>
      <c r="I27" s="12"/>
      <c r="J27" s="12"/>
    </row>
    <row r="28" spans="1:10">
      <c r="A28" t="s">
        <v>25</v>
      </c>
      <c r="B28" s="8">
        <f>SUM(C24:G24)</f>
        <v>0</v>
      </c>
    </row>
    <row r="29" spans="1:10">
      <c r="A29" t="s">
        <v>26</v>
      </c>
      <c r="B29" s="8">
        <f>G22*(1+$B$14)</f>
        <v>0</v>
      </c>
    </row>
    <row r="30" spans="1:10">
      <c r="A30" t="s">
        <v>27</v>
      </c>
      <c r="B30" s="8">
        <f>B29/($B$13-$B$14)</f>
        <v>0</v>
      </c>
    </row>
    <row r="31" spans="1:10">
      <c r="A31" t="s">
        <v>28</v>
      </c>
      <c r="B31" s="8">
        <f>B30*G23</f>
        <v>0</v>
      </c>
    </row>
    <row r="32" spans="1:10">
      <c r="A32" t="s">
        <v>29</v>
      </c>
      <c r="B32" s="8">
        <f>B28+B31</f>
        <v>0</v>
      </c>
    </row>
    <row r="33" spans="1:2">
      <c r="A33" t="s">
        <v>30</v>
      </c>
      <c r="B33" s="8">
        <f>B10</f>
        <v>0</v>
      </c>
    </row>
    <row r="34" spans="1:2">
      <c r="A34" t="s">
        <v>31</v>
      </c>
      <c r="B34" s="8">
        <f>B32-B33</f>
        <v>0</v>
      </c>
    </row>
    <row r="35" spans="1:2">
      <c r="A35" t="s">
        <v>32</v>
      </c>
      <c r="B35" s="13">
        <f>B34/B7</f>
        <v>0</v>
      </c>
    </row>
    <row r="36" spans="1:2">
      <c r="A36" t="s">
        <v>33</v>
      </c>
      <c r="B36" s="7">
        <f>B6</f>
        <v>0</v>
      </c>
    </row>
    <row r="37" spans="1:2">
      <c r="A37" t="s">
        <v>34</v>
      </c>
      <c r="B37" s="14">
        <f>(B35-B6)/B6</f>
        <v>0</v>
      </c>
    </row>
    <row r="39" spans="1:2">
      <c r="A39" s="3" t="s">
        <v>35</v>
      </c>
    </row>
    <row r="40" spans="1:2">
      <c r="A40" t="s">
        <v>36</v>
      </c>
      <c r="B40" s="7">
        <f>B30/B7</f>
        <v>0</v>
      </c>
    </row>
    <row r="41" spans="1:2">
      <c r="A41" t="s">
        <v>37</v>
      </c>
      <c r="B41" s="15">
        <f>B40/(1.15^5)</f>
        <v>0</v>
      </c>
    </row>
    <row r="42" spans="1:2">
      <c r="A42" t="s">
        <v>38</v>
      </c>
      <c r="B42" s="14">
        <f>(B6-B41)/B6</f>
        <v>0</v>
      </c>
    </row>
  </sheetData>
  <mergeCells count="2">
    <mergeCell ref="I19:J21"/>
    <mergeCell ref="I24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28.7109375" customWidth="1"/>
    <col min="2" max="4" width="16.7109375" customWidth="1"/>
  </cols>
  <sheetData>
    <row r="1" spans="1:4">
      <c r="A1" s="1" t="s">
        <v>55</v>
      </c>
    </row>
    <row r="2" spans="1:4">
      <c r="A2" s="2" t="s">
        <v>56</v>
      </c>
    </row>
    <row r="4" spans="1:4">
      <c r="A4" s="10" t="s">
        <v>57</v>
      </c>
      <c r="B4" s="10" t="s">
        <v>58</v>
      </c>
      <c r="C4" s="10" t="s">
        <v>59</v>
      </c>
      <c r="D4" s="10" t="s">
        <v>60</v>
      </c>
    </row>
    <row r="5" spans="1:4">
      <c r="A5" t="s">
        <v>10</v>
      </c>
      <c r="B5" t="s">
        <v>61</v>
      </c>
      <c r="C5" t="s">
        <v>62</v>
      </c>
      <c r="D5" t="s">
        <v>63</v>
      </c>
    </row>
    <row r="6" spans="1:4">
      <c r="A6" t="s">
        <v>64</v>
      </c>
      <c r="B6" t="s">
        <v>65</v>
      </c>
      <c r="C6" t="s">
        <v>66</v>
      </c>
      <c r="D6" t="s">
        <v>67</v>
      </c>
    </row>
    <row r="7" spans="1:4">
      <c r="A7" t="s">
        <v>68</v>
      </c>
      <c r="B7" t="s">
        <v>69</v>
      </c>
      <c r="C7" t="s">
        <v>70</v>
      </c>
      <c r="D7" t="s">
        <v>71</v>
      </c>
    </row>
    <row r="8" spans="1:4">
      <c r="A8" t="s">
        <v>72</v>
      </c>
      <c r="B8" t="s">
        <v>63</v>
      </c>
      <c r="C8" t="s">
        <v>73</v>
      </c>
      <c r="D8" t="s">
        <v>74</v>
      </c>
    </row>
    <row r="9" spans="1:4">
      <c r="A9" t="s">
        <v>75</v>
      </c>
      <c r="B9" t="s">
        <v>76</v>
      </c>
      <c r="C9" t="s">
        <v>77</v>
      </c>
      <c r="D9" t="s">
        <v>78</v>
      </c>
    </row>
    <row r="11" spans="1:4">
      <c r="A11" t="s">
        <v>79</v>
      </c>
      <c r="B11" t="s">
        <v>80</v>
      </c>
      <c r="C11" t="s">
        <v>81</v>
      </c>
      <c r="D11" t="s">
        <v>82</v>
      </c>
    </row>
    <row r="12" spans="1:4">
      <c r="A12" t="s">
        <v>83</v>
      </c>
      <c r="B12" t="s">
        <v>84</v>
      </c>
      <c r="C12" t="s">
        <v>85</v>
      </c>
      <c r="D12" t="s">
        <v>86</v>
      </c>
    </row>
    <row r="13" spans="1:4">
      <c r="A13" t="s">
        <v>87</v>
      </c>
      <c r="B13" t="s">
        <v>88</v>
      </c>
      <c r="C13" t="s">
        <v>89</v>
      </c>
      <c r="D13" t="s">
        <v>90</v>
      </c>
    </row>
    <row r="14" spans="1:4">
      <c r="A14" t="s">
        <v>91</v>
      </c>
      <c r="B14" t="s">
        <v>92</v>
      </c>
      <c r="C14" t="s">
        <v>93</v>
      </c>
      <c r="D14" t="s">
        <v>94</v>
      </c>
    </row>
    <row r="15" spans="1:4">
      <c r="A15" t="s">
        <v>95</v>
      </c>
      <c r="B15" t="s">
        <v>96</v>
      </c>
      <c r="C15" t="s">
        <v>97</v>
      </c>
      <c r="D15" t="s">
        <v>98</v>
      </c>
    </row>
    <row r="16" spans="1:4">
      <c r="A16" t="s">
        <v>29</v>
      </c>
      <c r="B16" t="s">
        <v>99</v>
      </c>
      <c r="C16" t="s">
        <v>100</v>
      </c>
      <c r="D16" t="s">
        <v>101</v>
      </c>
    </row>
    <row r="17" spans="1:4">
      <c r="A17" t="s">
        <v>31</v>
      </c>
      <c r="B17" t="s">
        <v>102</v>
      </c>
      <c r="C17" t="s">
        <v>103</v>
      </c>
      <c r="D17" t="s">
        <v>104</v>
      </c>
    </row>
    <row r="19" spans="1:4">
      <c r="A19" s="5" t="s">
        <v>105</v>
      </c>
      <c r="B19" t="s">
        <v>106</v>
      </c>
      <c r="C19" t="s">
        <v>107</v>
      </c>
      <c r="D19" t="s">
        <v>108</v>
      </c>
    </row>
    <row r="20" spans="1:4">
      <c r="A20" t="s">
        <v>109</v>
      </c>
      <c r="B20" t="s">
        <v>110</v>
      </c>
      <c r="C20" t="s">
        <v>111</v>
      </c>
      <c r="D20" t="s">
        <v>112</v>
      </c>
    </row>
    <row r="21" spans="1:4">
      <c r="A21" t="s">
        <v>113</v>
      </c>
      <c r="B21" t="s">
        <v>114</v>
      </c>
      <c r="C21" t="s">
        <v>115</v>
      </c>
      <c r="D21" t="s">
        <v>116</v>
      </c>
    </row>
    <row r="23" spans="1:4">
      <c r="A23" s="5" t="s">
        <v>117</v>
      </c>
      <c r="B23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6" width="14.7109375" customWidth="1"/>
  </cols>
  <sheetData>
    <row r="1" spans="1:6">
      <c r="A1" s="1" t="s">
        <v>119</v>
      </c>
    </row>
    <row r="2" spans="1:6">
      <c r="A2" s="2" t="s">
        <v>120</v>
      </c>
    </row>
    <row r="3" spans="1:6">
      <c r="A3" s="2" t="s">
        <v>121</v>
      </c>
    </row>
    <row r="5" spans="1:6">
      <c r="A5" s="10" t="s">
        <v>122</v>
      </c>
      <c r="B5" s="10" t="s">
        <v>123</v>
      </c>
      <c r="C5" s="10" t="s">
        <v>67</v>
      </c>
      <c r="D5" s="10" t="s">
        <v>65</v>
      </c>
      <c r="E5" s="10" t="s">
        <v>66</v>
      </c>
      <c r="F5" s="10" t="s">
        <v>124</v>
      </c>
    </row>
    <row r="6" spans="1:6">
      <c r="A6" s="10" t="s">
        <v>74</v>
      </c>
      <c r="B6" s="16">
        <v>171.09</v>
      </c>
      <c r="C6" s="16">
        <v>183.02</v>
      </c>
      <c r="D6" s="16">
        <v>197.34</v>
      </c>
      <c r="E6" s="16">
        <v>214.83</v>
      </c>
      <c r="F6" s="16">
        <v>236.7</v>
      </c>
    </row>
    <row r="7" spans="1:6">
      <c r="A7" s="10" t="s">
        <v>62</v>
      </c>
      <c r="B7" s="16">
        <v>147.67</v>
      </c>
      <c r="C7" s="16">
        <v>156.01</v>
      </c>
      <c r="D7" s="16">
        <v>165.74</v>
      </c>
      <c r="E7" s="16">
        <v>177.24</v>
      </c>
      <c r="F7" s="16">
        <v>191.03</v>
      </c>
    </row>
    <row r="8" spans="1:6">
      <c r="A8" s="10" t="s">
        <v>61</v>
      </c>
      <c r="B8" s="16">
        <v>130.15</v>
      </c>
      <c r="C8" s="16">
        <v>136.25</v>
      </c>
      <c r="D8" s="16">
        <v>143.21</v>
      </c>
      <c r="E8" s="16">
        <v>151.25</v>
      </c>
      <c r="F8" s="16">
        <v>160.63</v>
      </c>
    </row>
    <row r="9" spans="1:6">
      <c r="A9" s="10" t="s">
        <v>125</v>
      </c>
      <c r="B9" s="16">
        <v>116.55</v>
      </c>
      <c r="C9" s="16">
        <v>121.17</v>
      </c>
      <c r="D9" s="16">
        <v>126.36</v>
      </c>
      <c r="E9" s="16">
        <v>132.24</v>
      </c>
      <c r="F9" s="16">
        <v>138.96</v>
      </c>
    </row>
    <row r="10" spans="1:6">
      <c r="A10" s="10" t="s">
        <v>63</v>
      </c>
      <c r="B10" s="16">
        <v>105.69</v>
      </c>
      <c r="C10" s="16">
        <v>109.27</v>
      </c>
      <c r="D10" s="16">
        <v>113.25</v>
      </c>
      <c r="E10" s="16">
        <v>117.7</v>
      </c>
      <c r="F10" s="16">
        <v>122.71</v>
      </c>
    </row>
    <row r="11" spans="1:6">
      <c r="A11" s="12" t="s">
        <v>126</v>
      </c>
      <c r="B11" s="12"/>
      <c r="C11" s="12"/>
      <c r="D11" s="12"/>
      <c r="E11" s="12"/>
      <c r="F11" s="12"/>
    </row>
    <row r="12" spans="1:6">
      <c r="A12" s="12"/>
      <c r="B12" s="12"/>
      <c r="C12" s="12"/>
      <c r="D12" s="12"/>
      <c r="E12" s="12"/>
      <c r="F12" s="12"/>
    </row>
  </sheetData>
  <mergeCells count="1">
    <mergeCell ref="A11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2.7109375" customWidth="1"/>
    <col min="2" max="3" width="16.7109375" customWidth="1"/>
    <col min="4" max="5" width="20.7109375" customWidth="1"/>
  </cols>
  <sheetData>
    <row r="1" spans="1:5">
      <c r="A1" s="1" t="s">
        <v>127</v>
      </c>
    </row>
    <row r="2" spans="1:5">
      <c r="A2" s="2" t="s">
        <v>128</v>
      </c>
    </row>
    <row r="4" spans="1:5">
      <c r="A4" s="10" t="s">
        <v>129</v>
      </c>
      <c r="B4" s="10" t="s">
        <v>130</v>
      </c>
      <c r="C4" s="10" t="s">
        <v>131</v>
      </c>
      <c r="D4" s="10" t="s">
        <v>132</v>
      </c>
      <c r="E4" s="10" t="s">
        <v>133</v>
      </c>
    </row>
    <row r="5" spans="1:5">
      <c r="A5" t="s">
        <v>134</v>
      </c>
      <c r="B5" s="17">
        <v>0.29</v>
      </c>
      <c r="C5" s="17">
        <v>0.406</v>
      </c>
      <c r="D5" s="8">
        <v>2241.2</v>
      </c>
      <c r="E5" s="8">
        <v>4812</v>
      </c>
    </row>
    <row r="6" spans="1:5">
      <c r="A6" t="s">
        <v>135</v>
      </c>
      <c r="B6" s="17">
        <v>0.224</v>
      </c>
      <c r="C6" s="17">
        <v>0.335</v>
      </c>
      <c r="D6" s="8">
        <v>676.9</v>
      </c>
      <c r="E6" s="8">
        <v>1241.5</v>
      </c>
    </row>
    <row r="7" spans="1:5">
      <c r="A7" t="s">
        <v>136</v>
      </c>
      <c r="B7" s="17">
        <v>0.4429999999999999</v>
      </c>
      <c r="C7" s="17">
        <v>0.387</v>
      </c>
      <c r="D7" s="8">
        <v>1487.4</v>
      </c>
      <c r="E7" s="8">
        <v>4472.6</v>
      </c>
    </row>
    <row r="8" spans="1:5">
      <c r="A8" t="s">
        <v>137</v>
      </c>
      <c r="B8" t="s">
        <v>138</v>
      </c>
      <c r="C8" t="s">
        <v>138</v>
      </c>
      <c r="D8" t="s">
        <v>139</v>
      </c>
      <c r="E8" t="s">
        <v>139</v>
      </c>
    </row>
    <row r="9" spans="1:5">
      <c r="A9" s="5" t="s">
        <v>140</v>
      </c>
      <c r="B9" s="17">
        <v>0.224</v>
      </c>
      <c r="C9" t="s">
        <v>141</v>
      </c>
    </row>
    <row r="11" spans="1:5">
      <c r="A11" s="3" t="s">
        <v>142</v>
      </c>
    </row>
    <row r="12" spans="1:5">
      <c r="A12" t="s">
        <v>6</v>
      </c>
      <c r="B12" s="8">
        <v>4552.8</v>
      </c>
    </row>
    <row r="13" spans="1:5">
      <c r="A13" t="s">
        <v>7</v>
      </c>
      <c r="B13" s="8">
        <v>745.8</v>
      </c>
    </row>
    <row r="14" spans="1:5">
      <c r="A14" t="s">
        <v>143</v>
      </c>
      <c r="B14" s="8">
        <v>-3807</v>
      </c>
    </row>
    <row r="15" spans="1:5">
      <c r="A15" t="s">
        <v>144</v>
      </c>
      <c r="B15" s="8">
        <v>5508.6</v>
      </c>
    </row>
    <row r="16" spans="1:5">
      <c r="A16" t="s">
        <v>5</v>
      </c>
      <c r="B16" s="8">
        <v>257.9</v>
      </c>
    </row>
    <row r="17" spans="1:5">
      <c r="A17" t="s">
        <v>145</v>
      </c>
      <c r="B17" s="8">
        <v>1241.5</v>
      </c>
    </row>
    <row r="18" spans="1:5">
      <c r="A18" t="s">
        <v>146</v>
      </c>
      <c r="B18" s="8">
        <v>5937</v>
      </c>
    </row>
    <row r="20" spans="1:5">
      <c r="A20" s="3" t="s">
        <v>147</v>
      </c>
    </row>
    <row r="21" spans="1:5">
      <c r="A21" s="12" t="s">
        <v>148</v>
      </c>
      <c r="B21" s="12"/>
      <c r="C21" s="12"/>
      <c r="D21" s="12"/>
      <c r="E21" s="12"/>
    </row>
    <row r="22" spans="1:5">
      <c r="A22" s="12"/>
      <c r="B22" s="12"/>
      <c r="C22" s="12"/>
      <c r="D22" s="12"/>
      <c r="E22" s="12"/>
    </row>
  </sheetData>
  <mergeCells count="1">
    <mergeCell ref="A21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 (Base)</vt:lpstr>
      <vt:lpstr>Scenario Comparison</vt:lpstr>
      <vt:lpstr>Sensitivity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2026-06-27T06:16:53Z</dcterms:created>
  <dcterms:modified xsi:type="dcterms:W3CDTF">2026-06-27T06:16:53Z</dcterms:modified>
</cp:coreProperties>
</file>