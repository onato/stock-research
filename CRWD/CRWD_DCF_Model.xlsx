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<sst xmlns="http://schemas.openxmlformats.org/spreadsheetml/2006/main" count="129" uniqueCount="117">
  <si>
    <t>CRWD DCF Valuation Model — Base Case (Interactive)</t>
  </si>
  <si>
    <t>Gray cells are INPUTS — adjust to see results update automatically. All monetary values in USD millions.</t>
  </si>
  <si>
    <t>KEY INPUTS</t>
  </si>
  <si>
    <t>Current Stock Price (USD)</t>
  </si>
  <si>
    <t>Shares Outstanding (millions, diluted)</t>
  </si>
  <si>
    <t>Cash &amp; Equivalents (M)</t>
  </si>
  <si>
    <t>Total Debt (M)</t>
  </si>
  <si>
    <t>Net Debt (M)  [Debt - Cash, negative = net cash]</t>
  </si>
  <si>
    <t>Base Year FCF (M)  [FY2025 actuals]</t>
  </si>
  <si>
    <t>WACC</t>
  </si>
  <si>
    <t>Terminal Growth Rate</t>
  </si>
  <si>
    <t>FCF GROWTH ASSUMPTIONS  (Base Case — gray cells are editable inputs)</t>
  </si>
  <si>
    <t>Year 1
(FY2026E)</t>
  </si>
  <si>
    <t>Year 2
(FY2027E)</t>
  </si>
  <si>
    <t>Year 3
(FY2028E)</t>
  </si>
  <si>
    <t>Year 4
(FY2029E)</t>
  </si>
  <si>
    <t>Year 5
(FY2030E)</t>
  </si>
  <si>
    <t>FCF Growth Rate</t>
  </si>
  <si>
    <t>PROJECTED FREE CASH FLOWS</t>
  </si>
  <si>
    <t>Y0 (Base)</t>
  </si>
  <si>
    <t>Free Cash Flow (M)</t>
  </si>
  <si>
    <t>Discount Factor  [1 / (1+WACC)^n]</t>
  </si>
  <si>
    <t>PV of Free Cash Flow (M)</t>
  </si>
  <si>
    <t>VALUATION BRIDGE</t>
  </si>
  <si>
    <t>Sum of PV of FCF (M)</t>
  </si>
  <si>
    <t>Terminal FCF  [Y5 FCF x (1+g)]</t>
  </si>
  <si>
    <t>Terminal Value  [Terminal FCF / (WACC - g)]</t>
  </si>
  <si>
    <t>PV of Terminal Value  [TV x Y5 Discount Factor]</t>
  </si>
  <si>
    <t>Enterprise Value (M)</t>
  </si>
  <si>
    <t>Less: Net Debt (M)  [negative = net cash adds value]</t>
  </si>
  <si>
    <t>Equity Value (M)</t>
  </si>
  <si>
    <t>INTRINSIC VALUE PER SHARE  (Base Case)</t>
  </si>
  <si>
    <t>ENTRY PRICE TARGET  (Required for 15% CAGR to Terminal Value)</t>
  </si>
  <si>
    <t>Terminal Value per Share</t>
  </si>
  <si>
    <t>Entry Price for 15% CAGR  [TV/share / (1.15)^5]</t>
  </si>
  <si>
    <t>Upside / (Downside) to Intrinsic Value</t>
  </si>
  <si>
    <t>Premium vs Entry Price (buy below this for 15% CAGR)</t>
  </si>
  <si>
    <t>METHODOLOGY NOTE: FCF growth rates (C17:G17) reflect 22%/20%/18%/15%/12% annual FCF growth anchored to FY2026 management guidance (~22% revenue) and FY2027 target (~20% net new ARR growth). FCF used directly (not via revenue x margin), as FCF is the DCF driver. WACC of 10% reflects beta ~1.2, equity risk premium ~5.5%, risk-free rate ~4.5%. Equity CAGR not used as primary driver (distorted by GAAP losses on low post-IPO book value base). Sensitivity sheet shows IV across WACC 8-12% and terminal growth 2-4%.</t>
  </si>
  <si>
    <t>CRWD — Base / Bull / Bear Scenario Comparison</t>
  </si>
  <si>
    <t>All monetary values in USD millions unless noted.</t>
  </si>
  <si>
    <t>BASE CASE</t>
  </si>
  <si>
    <t>BULL CASE</t>
  </si>
  <si>
    <t>BEAR CASE</t>
  </si>
  <si>
    <t>SCENARIO ASSUMPTIONS</t>
  </si>
  <si>
    <t>Terminal Growth</t>
  </si>
  <si>
    <t>Y1 FCF Growth</t>
  </si>
  <si>
    <t>Y2 FCF Growth</t>
  </si>
  <si>
    <t>Y3 FCF Growth</t>
  </si>
  <si>
    <t>Y4 FCF Growth</t>
  </si>
  <si>
    <t>Y5 FCF Growth</t>
  </si>
  <si>
    <t>PROJECTED FCF (M)</t>
  </si>
  <si>
    <t>Y1 FCF</t>
  </si>
  <si>
    <t>Y2 FCF</t>
  </si>
  <si>
    <t>Y3 FCF</t>
  </si>
  <si>
    <t>Y4 FCF</t>
  </si>
  <si>
    <t>Y5 FCF</t>
  </si>
  <si>
    <t>VALUATION SUMMARY</t>
  </si>
  <si>
    <t>Sum of PV FCFs (M)</t>
  </si>
  <si>
    <t>Terminal Value (M)</t>
  </si>
  <si>
    <t>PV of Terminal Value (M)</t>
  </si>
  <si>
    <t>Net Debt (M)</t>
  </si>
  <si>
    <t>INTRINSIC VALUE PER SHARE</t>
  </si>
  <si>
    <t>Upside / (Downside) to Current $435</t>
  </si>
  <si>
    <t>ENTRY PRICE (15% CAGR Target — years to terminal = 5)</t>
  </si>
  <si>
    <t>Entry Price for 15% CAGR</t>
  </si>
  <si>
    <t>Discount from Current Price ($435)</t>
  </si>
  <si>
    <t>PROBABILITY-WEIGHTED VALUATION</t>
  </si>
  <si>
    <t>Bull Weight (25%)</t>
  </si>
  <si>
    <t>Base Weight (50%)</t>
  </si>
  <si>
    <t>Bear Weight (25%)</t>
  </si>
  <si>
    <t>Probability-Weighted IV per Share</t>
  </si>
  <si>
    <t>Current Price</t>
  </si>
  <si>
    <t>Upside to Probability-Weighted IV</t>
  </si>
  <si>
    <t>SCENARIO DESCRIPTIONS</t>
  </si>
  <si>
    <t>Base Case</t>
  </si>
  <si>
    <t>Steady post-outage recovery, 20-22% ARR growth sustained through FY2027-28, gradual deceleration as law of large numbers sets in. FCF margins improve modestly from ~27% toward ~30% as S&amp;M leverage kicks in.</t>
  </si>
  <si>
    <t>Bull Case</t>
  </si>
  <si>
    <t>Platform consolidation accelerates: CrowdStrike captures outsized share of enterprise security consolidation, Charlotte AI drives premium upsells, $10B ARR vision materializes faster. FCF margins expand to 30%+ as platform leverage drives operating efficiency.</t>
  </si>
  <si>
    <t>Bear Case</t>
  </si>
  <si>
    <t>July 2024 trust deficit lingers, Microsoft competitive pressure intensifies, Delta litigation results in large settlement, ARR growth slows to low-teens. FCF margins compress as elevated S&amp;M spend fails to reaccelerate growth.</t>
  </si>
  <si>
    <t>CRWD Sensitivity Analysis — Base Case Intrinsic Value per Share</t>
  </si>
  <si>
    <t>Rows = WACC, Columns = Terminal Growth Rate. FCF growth rates held constant at base case (22/20/18/15/12%). Net Cash = $3,579M. Shares = 251.3M.</t>
  </si>
  <si>
    <t>WACC \ Term G</t>
  </si>
  <si>
    <t>Green-highlighted cell = Base Case (WACC=10%, Terminal Growth=3%) = $127.63/share.
Current price = $435.00. The table shows intrinsic value is significantly below current market price across all scenarios. For the stock to be fair value at $435, one must assume WACC ~8% with terminal growth ~4%, or extend the DCF horizon to 10+ years of above-model growth.</t>
  </si>
  <si>
    <t>CRWD — Historical Financials &amp; Growth Rates</t>
  </si>
  <si>
    <t>Source: CRWD_Metrics.csv. Fiscal year ends January 31. All monetary values in USD millions.</t>
  </si>
  <si>
    <t>Period</t>
  </si>
  <si>
    <t>Revenue (M)</t>
  </si>
  <si>
    <t>FCF (M)</t>
  </si>
  <si>
    <t>EPS (GAAP)</t>
  </si>
  <si>
    <t>Equity (M)</t>
  </si>
  <si>
    <t>Rev YoY</t>
  </si>
  <si>
    <t>FCF YoY</t>
  </si>
  <si>
    <t>Equity YoY</t>
  </si>
  <si>
    <t>FY2020</t>
  </si>
  <si>
    <t>FY2021</t>
  </si>
  <si>
    <t>FY2022</t>
  </si>
  <si>
    <t>FY2023</t>
  </si>
  <si>
    <t>FY2024</t>
  </si>
  <si>
    <t>FY2025</t>
  </si>
  <si>
    <t>HISTORICAL CAGR SUMMARY</t>
  </si>
  <si>
    <t>Metric</t>
  </si>
  <si>
    <t>3-Year CAGR</t>
  </si>
  <si>
    <t>5-Year CAGR</t>
  </si>
  <si>
    <t>Notes</t>
  </si>
  <si>
    <t>Revenue</t>
  </si>
  <si>
    <t>FY2022-FY2025 (3yr) and FY2020-FY2025 (5yr). Law of large numbers causes deceleration.</t>
  </si>
  <si>
    <t>FCF</t>
  </si>
  <si>
    <t>N/M</t>
  </si>
  <si>
    <t>3yr: FY2022-FY2025. 5yr not meaningful: FY2020 base was $12.5M (near-breakeven). 3yr = 34.1%.</t>
  </si>
  <si>
    <t>Shareholders Equity</t>
  </si>
  <si>
    <t>High due to GAAP losses on low post-IPO book value base. Not used as DCF primary driver for CRWD.</t>
  </si>
  <si>
    <t>Not calculable. GAAP EPS negative in 5 of 6 fiscal years. Non-GAAP EPS growing strongly (FY2026E: $3.70-3.72).</t>
  </si>
  <si>
    <t>SELECTED GROWTH RATE</t>
  </si>
  <si>
    <t>Selected Rate:</t>
  </si>
  <si>
    <t>Source: fcf_3yr_cagr</t>
  </si>
  <si>
    <t>Equity CAGR (47.4% 3yr, 34.7% 5yr) is elevated due to low post-IPO book value base and GAAP losses masking retained earnings. FCF 5yr CAGR is meaningless (FY2020 base FCF of $12.5M is distorted). EPS CAGRs are not calculable due to persistent GAAP losses. FCF 3yr CAGR of 34.1% selected as primary growth rate anchor for a high-growth SaaS company, with near-term growth moderated to match ARR growth guidance (~21-22% for FY2026, ~20% for FY2027) and then decelerating toward terminal rate.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</si>
</sst>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#,##0.0"/>
    <numFmt numFmtId="166" formatCode="0.0%"/>
    <numFmt numFmtId="167" formatCode="&quot;$&quot;#,##0.00"/>
  </numFmts>
  <fonts count="7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0CEC9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FEAA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3" borderId="1" xfId="0" applyNumberFormat="1" applyFill="1" applyBorder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167" fontId="3" fillId="5" borderId="1" xfId="0" applyNumberFormat="1" applyFont="1" applyFill="1" applyBorder="1"/>
    <xf numFmtId="167" fontId="0" fillId="0" borderId="1" xfId="0" applyNumberFormat="1" applyBorder="1"/>
    <xf numFmtId="166" fontId="0" fillId="0" borderId="1" xfId="0" applyNumberFormat="1" applyBorder="1"/>
    <xf numFmtId="0" fontId="5" fillId="0" borderId="0" xfId="0" applyFont="1" applyAlignment="1">
      <alignment wrapText="1"/>
    </xf>
    <xf numFmtId="167" fontId="3" fillId="6" borderId="1" xfId="0" applyNumberFormat="1" applyFont="1" applyFill="1" applyBorder="1"/>
    <xf numFmtId="167" fontId="3" fillId="7" borderId="1" xfId="0" applyNumberFormat="1" applyFont="1" applyFill="1" applyBorder="1"/>
    <xf numFmtId="166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/>
    <xf numFmtId="167" fontId="3" fillId="5" borderId="2" xfId="0" applyNumberFormat="1" applyFont="1" applyFill="1" applyBorder="1"/>
    <xf numFmtId="0" fontId="6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zoomScale="90" zoomScaleNormal="90" workbookViewId="0"/>
  </sheetViews>
  <sheetFormatPr defaultRowHeight="15"/>
  <cols>
    <col min="1" max="1" width="36.7109375" customWidth="1"/>
    <col min="2" max="2" width="16.7109375" customWidth="1"/>
    <col min="3" max="7" width="15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t="s">
        <v>3</v>
      </c>
      <c r="B5" s="4">
        <v>435</v>
      </c>
    </row>
    <row r="6" spans="1:7">
      <c r="A6" t="s">
        <v>4</v>
      </c>
      <c r="B6" s="4">
        <v>251.3</v>
      </c>
    </row>
    <row r="7" spans="1:7">
      <c r="A7" t="s">
        <v>5</v>
      </c>
      <c r="B7" s="4">
        <v>4323.3</v>
      </c>
    </row>
    <row r="8" spans="1:7">
      <c r="A8" t="s">
        <v>6</v>
      </c>
      <c r="B8" s="4">
        <v>744</v>
      </c>
    </row>
    <row r="9" spans="1:7">
      <c r="A9" t="s">
        <v>7</v>
      </c>
      <c r="B9" s="5">
        <f>B8-B7</f>
        <v>0</v>
      </c>
    </row>
    <row r="10" spans="1:7">
      <c r="A10" t="s">
        <v>8</v>
      </c>
      <c r="B10" s="4">
        <v>1067.9</v>
      </c>
    </row>
    <row r="12" spans="1:7">
      <c r="A12" t="s">
        <v>9</v>
      </c>
      <c r="B12" s="6">
        <v>0.1</v>
      </c>
    </row>
    <row r="13" spans="1:7">
      <c r="A13" t="s">
        <v>10</v>
      </c>
      <c r="B13" s="6">
        <v>0.03</v>
      </c>
    </row>
    <row r="15" spans="1:7">
      <c r="A15" s="3" t="s">
        <v>11</v>
      </c>
      <c r="B15" s="3"/>
      <c r="C15" s="3"/>
      <c r="D15" s="3"/>
      <c r="E15" s="3"/>
      <c r="F15" s="3"/>
      <c r="G15" s="3"/>
    </row>
    <row r="16" spans="1:7" ht="30" customHeight="1">
      <c r="C16" s="7" t="s">
        <v>12</v>
      </c>
      <c r="D16" s="7" t="s">
        <v>13</v>
      </c>
      <c r="E16" s="7" t="s">
        <v>14</v>
      </c>
      <c r="F16" s="7" t="s">
        <v>15</v>
      </c>
      <c r="G16" s="7" t="s">
        <v>16</v>
      </c>
    </row>
    <row r="17" spans="1:7">
      <c r="A17" t="s">
        <v>17</v>
      </c>
      <c r="C17" s="6">
        <v>0.22</v>
      </c>
      <c r="D17" s="6">
        <v>0.2</v>
      </c>
      <c r="E17" s="6">
        <v>0.18</v>
      </c>
      <c r="F17" s="6">
        <v>0.15</v>
      </c>
      <c r="G17" s="6">
        <v>0.12</v>
      </c>
    </row>
    <row r="19" spans="1:7">
      <c r="A19" s="3" t="s">
        <v>18</v>
      </c>
      <c r="B19" s="3"/>
      <c r="C19" s="3"/>
      <c r="D19" s="3"/>
      <c r="E19" s="3"/>
      <c r="F19" s="3"/>
      <c r="G19" s="3"/>
    </row>
    <row r="20" spans="1:7" ht="30" customHeight="1">
      <c r="A20" s="7"/>
      <c r="B20" s="7" t="s">
        <v>19</v>
      </c>
      <c r="C20" s="7" t="s">
        <v>12</v>
      </c>
      <c r="D20" s="7" t="s">
        <v>13</v>
      </c>
      <c r="E20" s="7" t="s">
        <v>14</v>
      </c>
      <c r="F20" s="7" t="s">
        <v>15</v>
      </c>
      <c r="G20" s="7" t="s">
        <v>16</v>
      </c>
    </row>
    <row r="21" spans="1:7">
      <c r="A21" t="s">
        <v>20</v>
      </c>
      <c r="B21" s="5">
        <f>B10</f>
        <v>0</v>
      </c>
      <c r="C21" s="5">
        <f>B21*(1+C17)</f>
        <v>0</v>
      </c>
      <c r="D21" s="5">
        <f>C21*(1+D17)</f>
        <v>0</v>
      </c>
      <c r="E21" s="5">
        <f>D21*(1+E17)</f>
        <v>0</v>
      </c>
      <c r="F21" s="5">
        <f>E21*(1+F17)</f>
        <v>0</v>
      </c>
      <c r="G21" s="5">
        <f>F21*(1+G17)</f>
        <v>0</v>
      </c>
    </row>
    <row r="22" spans="1:7">
      <c r="A22" t="s">
        <v>21</v>
      </c>
      <c r="C22" s="5">
        <f>1/(1+$B$12)^1</f>
        <v>0</v>
      </c>
      <c r="D22" s="5">
        <f>1/(1+$B$12)^2</f>
        <v>0</v>
      </c>
      <c r="E22" s="5">
        <f>1/(1+$B$12)^3</f>
        <v>0</v>
      </c>
      <c r="F22" s="5">
        <f>1/(1+$B$12)^4</f>
        <v>0</v>
      </c>
      <c r="G22" s="5">
        <f>1/(1+$B$12)^5</f>
        <v>0</v>
      </c>
    </row>
    <row r="23" spans="1:7">
      <c r="A23" t="s">
        <v>22</v>
      </c>
      <c r="C23" s="5">
        <f>C21*C22</f>
        <v>0</v>
      </c>
      <c r="D23" s="5">
        <f>D21*D22</f>
        <v>0</v>
      </c>
      <c r="E23" s="5">
        <f>E21*E22</f>
        <v>0</v>
      </c>
      <c r="F23" s="5">
        <f>F21*F22</f>
        <v>0</v>
      </c>
      <c r="G23" s="5">
        <f>G21*G22</f>
        <v>0</v>
      </c>
    </row>
    <row r="25" spans="1:7">
      <c r="A25" s="3" t="s">
        <v>23</v>
      </c>
      <c r="B25" s="3"/>
      <c r="C25" s="3"/>
      <c r="D25" s="3"/>
      <c r="E25" s="3"/>
      <c r="F25" s="3"/>
      <c r="G25" s="3"/>
    </row>
    <row r="26" spans="1:7">
      <c r="A26" t="s">
        <v>24</v>
      </c>
      <c r="B26" s="5">
        <f>SUM(C23:G23)</f>
        <v>0</v>
      </c>
    </row>
    <row r="27" spans="1:7">
      <c r="A27" t="s">
        <v>25</v>
      </c>
      <c r="B27" s="5">
        <f>G21*(1+$B$13)</f>
        <v>0</v>
      </c>
    </row>
    <row r="28" spans="1:7">
      <c r="A28" t="s">
        <v>26</v>
      </c>
      <c r="B28" s="5">
        <f>B27/($B$12-$B$13)</f>
        <v>0</v>
      </c>
    </row>
    <row r="29" spans="1:7">
      <c r="A29" t="s">
        <v>27</v>
      </c>
      <c r="B29" s="5">
        <f>B28*G22</f>
        <v>0</v>
      </c>
    </row>
    <row r="30" spans="1:7">
      <c r="A30" t="s">
        <v>28</v>
      </c>
      <c r="B30" s="5">
        <f>B26+B29</f>
        <v>0</v>
      </c>
    </row>
    <row r="31" spans="1:7">
      <c r="A31" t="s">
        <v>29</v>
      </c>
      <c r="B31" s="5">
        <f>B9</f>
        <v>0</v>
      </c>
    </row>
    <row r="32" spans="1:7">
      <c r="A32" t="s">
        <v>30</v>
      </c>
      <c r="B32" s="5">
        <f>B30-B31</f>
        <v>0</v>
      </c>
    </row>
    <row r="33" spans="1:7">
      <c r="A33" s="8" t="s">
        <v>31</v>
      </c>
      <c r="B33" s="9">
        <f>B32/B6</f>
        <v>0</v>
      </c>
    </row>
    <row r="35" spans="1:7">
      <c r="A35" s="3" t="s">
        <v>32</v>
      </c>
      <c r="B35" s="3"/>
      <c r="C35" s="3"/>
      <c r="D35" s="3"/>
      <c r="E35" s="3"/>
      <c r="F35" s="3"/>
      <c r="G35" s="3"/>
    </row>
    <row r="36" spans="1:7">
      <c r="A36" t="s">
        <v>33</v>
      </c>
      <c r="B36" s="10">
        <f>B28/B6</f>
        <v>0</v>
      </c>
    </row>
    <row r="37" spans="1:7">
      <c r="A37" t="s">
        <v>34</v>
      </c>
      <c r="B37" s="9">
        <f>B36/(1.15^5)</f>
        <v>0</v>
      </c>
    </row>
    <row r="39" spans="1:7">
      <c r="A39" t="s">
        <v>35</v>
      </c>
      <c r="B39" s="11">
        <f>(B33-B5)/B5</f>
        <v>0</v>
      </c>
    </row>
    <row r="40" spans="1:7">
      <c r="A40" t="s">
        <v>36</v>
      </c>
      <c r="B40" s="11">
        <f>(B5-B37)/B5</f>
        <v>0</v>
      </c>
    </row>
    <row r="42" spans="1:7" ht="40" customHeight="1">
      <c r="A42" s="12" t="s">
        <v>37</v>
      </c>
      <c r="B42" s="12"/>
      <c r="C42" s="12"/>
      <c r="D42" s="12"/>
      <c r="E42" s="12"/>
      <c r="F42" s="12"/>
      <c r="G42" s="12"/>
    </row>
    <row r="43" spans="1:7" ht="25" customHeight="1">
      <c r="A43" s="12"/>
      <c r="B43" s="12"/>
      <c r="C43" s="12"/>
      <c r="D43" s="12"/>
      <c r="E43" s="12"/>
      <c r="F43" s="12"/>
      <c r="G43" s="12"/>
    </row>
  </sheetData>
  <mergeCells count="8">
    <mergeCell ref="A1:G1"/>
    <mergeCell ref="A2:G2"/>
    <mergeCell ref="A4:G4"/>
    <mergeCell ref="A15:G15"/>
    <mergeCell ref="A19:G19"/>
    <mergeCell ref="A25:G25"/>
    <mergeCell ref="A35:G35"/>
    <mergeCell ref="A42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zoomScale="90" zoomScaleNormal="90" workbookViewId="0"/>
  </sheetViews>
  <sheetFormatPr defaultRowHeight="15"/>
  <cols>
    <col min="1" max="1" width="34.7109375" customWidth="1"/>
    <col min="2" max="4" width="17.7109375" customWidth="1"/>
  </cols>
  <sheetData>
    <row r="1" spans="1:4">
      <c r="A1" s="1" t="s">
        <v>38</v>
      </c>
      <c r="B1" s="1"/>
      <c r="C1" s="1"/>
      <c r="D1" s="1"/>
    </row>
    <row r="2" spans="1:4">
      <c r="A2" s="2" t="s">
        <v>39</v>
      </c>
      <c r="B2" s="2"/>
      <c r="C2" s="2"/>
      <c r="D2" s="2"/>
    </row>
    <row r="4" spans="1:4">
      <c r="A4" s="7"/>
      <c r="B4" s="7" t="s">
        <v>40</v>
      </c>
      <c r="C4" s="7" t="s">
        <v>41</v>
      </c>
      <c r="D4" s="7" t="s">
        <v>42</v>
      </c>
    </row>
    <row r="5" spans="1:4">
      <c r="A5" s="3" t="s">
        <v>43</v>
      </c>
      <c r="B5" s="3"/>
      <c r="C5" s="3"/>
      <c r="D5" s="3"/>
    </row>
    <row r="6" spans="1:4">
      <c r="A6" t="s">
        <v>9</v>
      </c>
      <c r="B6" s="11">
        <v>0.1</v>
      </c>
      <c r="C6" s="11">
        <v>0.09</v>
      </c>
      <c r="D6" s="11">
        <v>0.12</v>
      </c>
    </row>
    <row r="7" spans="1:4">
      <c r="A7" t="s">
        <v>44</v>
      </c>
      <c r="B7" s="11">
        <v>0.03</v>
      </c>
      <c r="C7" s="11">
        <v>0.035</v>
      </c>
      <c r="D7" s="11">
        <v>0.025</v>
      </c>
    </row>
    <row r="8" spans="1:4">
      <c r="A8" t="s">
        <v>45</v>
      </c>
      <c r="B8" s="11">
        <v>0.22</v>
      </c>
      <c r="C8" s="11">
        <v>0.28</v>
      </c>
      <c r="D8" s="11">
        <v>0.14</v>
      </c>
    </row>
    <row r="9" spans="1:4">
      <c r="A9" t="s">
        <v>46</v>
      </c>
      <c r="B9" s="11">
        <v>0.2</v>
      </c>
      <c r="C9" s="11">
        <v>0.25</v>
      </c>
      <c r="D9" s="11">
        <v>0.12</v>
      </c>
    </row>
    <row r="10" spans="1:4">
      <c r="A10" t="s">
        <v>47</v>
      </c>
      <c r="B10" s="11">
        <v>0.18</v>
      </c>
      <c r="C10" s="11">
        <v>0.22</v>
      </c>
      <c r="D10" s="11">
        <v>0.1</v>
      </c>
    </row>
    <row r="11" spans="1:4">
      <c r="A11" t="s">
        <v>48</v>
      </c>
      <c r="B11" s="11">
        <v>0.15</v>
      </c>
      <c r="C11" s="11">
        <v>0.2</v>
      </c>
      <c r="D11" s="11">
        <v>0.08</v>
      </c>
    </row>
    <row r="12" spans="1:4">
      <c r="A12" t="s">
        <v>49</v>
      </c>
      <c r="B12" s="11">
        <v>0.12</v>
      </c>
      <c r="C12" s="11">
        <v>0.17</v>
      </c>
      <c r="D12" s="11">
        <v>0.06</v>
      </c>
    </row>
    <row r="13" spans="1:4">
      <c r="A13" s="3" t="s">
        <v>50</v>
      </c>
      <c r="B13" s="3"/>
      <c r="C13" s="3"/>
      <c r="D13" s="3"/>
    </row>
    <row r="14" spans="1:4">
      <c r="A14" t="s">
        <v>51</v>
      </c>
      <c r="B14" s="5">
        <v>1302.8</v>
      </c>
      <c r="C14" s="5">
        <v>1366.9</v>
      </c>
      <c r="D14" s="5">
        <v>1217.4</v>
      </c>
    </row>
    <row r="15" spans="1:4">
      <c r="A15" t="s">
        <v>52</v>
      </c>
      <c r="B15" s="5">
        <v>1563.4</v>
      </c>
      <c r="C15" s="5">
        <v>1708.6</v>
      </c>
      <c r="D15" s="5">
        <v>1363.5</v>
      </c>
    </row>
    <row r="16" spans="1:4">
      <c r="A16" t="s">
        <v>53</v>
      </c>
      <c r="B16" s="5">
        <v>1844.8</v>
      </c>
      <c r="C16" s="5">
        <v>2084.5</v>
      </c>
      <c r="D16" s="5">
        <v>1499.8</v>
      </c>
    </row>
    <row r="17" spans="1:4">
      <c r="A17" t="s">
        <v>54</v>
      </c>
      <c r="B17" s="5">
        <v>2121.5</v>
      </c>
      <c r="C17" s="5">
        <v>2501.4</v>
      </c>
      <c r="D17" s="5">
        <v>1619.8</v>
      </c>
    </row>
    <row r="18" spans="1:4">
      <c r="A18" t="s">
        <v>55</v>
      </c>
      <c r="B18" s="5">
        <v>2376.1</v>
      </c>
      <c r="C18" s="5">
        <v>2926.6</v>
      </c>
      <c r="D18" s="5">
        <v>1717</v>
      </c>
    </row>
    <row r="19" spans="1:4">
      <c r="A19" s="3" t="s">
        <v>56</v>
      </c>
      <c r="B19" s="3"/>
      <c r="C19" s="3"/>
      <c r="D19" s="3"/>
    </row>
    <row r="20" spans="1:4">
      <c r="A20" t="s">
        <v>57</v>
      </c>
      <c r="B20" s="5">
        <v>6786.3</v>
      </c>
      <c r="C20" s="5">
        <v>7976.1</v>
      </c>
      <c r="D20" s="5">
        <v>5245</v>
      </c>
    </row>
    <row r="21" spans="1:4">
      <c r="A21" t="s">
        <v>58</v>
      </c>
      <c r="B21" s="5">
        <v>34962</v>
      </c>
      <c r="C21" s="5">
        <v>55072.8</v>
      </c>
      <c r="D21" s="5">
        <v>18526.3</v>
      </c>
    </row>
    <row r="22" spans="1:4">
      <c r="A22" t="s">
        <v>59</v>
      </c>
      <c r="B22" s="5">
        <v>21709.3</v>
      </c>
      <c r="C22" s="5">
        <v>35793.7</v>
      </c>
      <c r="D22" s="5">
        <v>10512.6</v>
      </c>
    </row>
    <row r="23" spans="1:4">
      <c r="A23" t="s">
        <v>28</v>
      </c>
      <c r="B23" s="5">
        <v>28495.6</v>
      </c>
      <c r="C23" s="5">
        <v>43769.8</v>
      </c>
      <c r="D23" s="5">
        <v>15757.6</v>
      </c>
    </row>
    <row r="24" spans="1:4">
      <c r="A24" t="s">
        <v>60</v>
      </c>
      <c r="B24" s="5">
        <v>-3579.3</v>
      </c>
      <c r="C24" s="5">
        <v>-3579.3</v>
      </c>
      <c r="D24" s="5">
        <v>-3579.3</v>
      </c>
    </row>
    <row r="25" spans="1:4">
      <c r="A25" t="s">
        <v>30</v>
      </c>
      <c r="B25" s="5">
        <v>32074.9</v>
      </c>
      <c r="C25" s="5">
        <v>47349.1</v>
      </c>
      <c r="D25" s="5">
        <v>19336.9</v>
      </c>
    </row>
    <row r="27" spans="1:4">
      <c r="A27" s="8" t="s">
        <v>61</v>
      </c>
      <c r="B27" s="9">
        <v>127.63</v>
      </c>
      <c r="C27" s="13">
        <v>188.44</v>
      </c>
      <c r="D27" s="14">
        <v>76.95</v>
      </c>
    </row>
    <row r="28" spans="1:4">
      <c r="A28" t="s">
        <v>62</v>
      </c>
      <c r="B28" s="11">
        <v>-0.7070000000000001</v>
      </c>
      <c r="C28" s="11">
        <v>-0.5670000000000001</v>
      </c>
      <c r="D28" s="11">
        <v>-0.823</v>
      </c>
    </row>
    <row r="29" spans="1:4">
      <c r="A29" s="3" t="s">
        <v>63</v>
      </c>
      <c r="B29" s="3"/>
      <c r="C29" s="3"/>
      <c r="D29" s="3"/>
    </row>
    <row r="30" spans="1:4">
      <c r="A30" t="s">
        <v>33</v>
      </c>
      <c r="B30" s="10">
        <v>139.14</v>
      </c>
      <c r="C30" s="10">
        <v>219.24</v>
      </c>
      <c r="D30" s="10">
        <v>73.76000000000001</v>
      </c>
    </row>
    <row r="31" spans="1:4">
      <c r="A31" t="s">
        <v>64</v>
      </c>
      <c r="B31" s="9">
        <v>69.16</v>
      </c>
      <c r="C31" s="13">
        <v>108.98</v>
      </c>
      <c r="D31" s="14">
        <v>36.67</v>
      </c>
    </row>
    <row r="32" spans="1:4">
      <c r="A32" t="s">
        <v>65</v>
      </c>
      <c r="B32" s="11">
        <v>-0.841</v>
      </c>
      <c r="C32" s="11">
        <v>-0.7490000000000001</v>
      </c>
      <c r="D32" s="11">
        <v>-0.9159999999999999</v>
      </c>
    </row>
    <row r="34" spans="1:4">
      <c r="A34" s="3" t="s">
        <v>66</v>
      </c>
      <c r="B34" s="3"/>
      <c r="C34" s="3"/>
      <c r="D34" s="3"/>
    </row>
    <row r="35" spans="1:4">
      <c r="A35" t="s">
        <v>67</v>
      </c>
      <c r="B35" s="10">
        <v>47.11</v>
      </c>
    </row>
    <row r="36" spans="1:4">
      <c r="A36" t="s">
        <v>68</v>
      </c>
      <c r="B36" s="10">
        <v>63.815</v>
      </c>
    </row>
    <row r="37" spans="1:4">
      <c r="A37" t="s">
        <v>69</v>
      </c>
      <c r="B37" s="10">
        <v>19.2375</v>
      </c>
    </row>
    <row r="38" spans="1:4">
      <c r="A38" s="8" t="s">
        <v>70</v>
      </c>
      <c r="B38" s="9">
        <v>130.16</v>
      </c>
      <c r="C38" t="s">
        <v>71</v>
      </c>
      <c r="D38" s="10">
        <v>435</v>
      </c>
    </row>
    <row r="39" spans="1:4">
      <c r="A39" t="s">
        <v>72</v>
      </c>
      <c r="B39" s="11">
        <v>-0.7007816091954023</v>
      </c>
    </row>
    <row r="41" spans="1:4">
      <c r="A41" s="3" t="s">
        <v>73</v>
      </c>
      <c r="B41" s="3"/>
      <c r="C41" s="3"/>
      <c r="D41" s="3"/>
    </row>
    <row r="42" spans="1:4" ht="55" customHeight="1">
      <c r="A42" s="8" t="s">
        <v>74</v>
      </c>
      <c r="B42" s="12" t="s">
        <v>75</v>
      </c>
      <c r="C42" s="12"/>
      <c r="D42" s="12"/>
    </row>
    <row r="43" spans="1:4" ht="55" customHeight="1">
      <c r="A43" s="8" t="s">
        <v>76</v>
      </c>
      <c r="B43" s="12" t="s">
        <v>77</v>
      </c>
      <c r="C43" s="12"/>
      <c r="D43" s="12"/>
    </row>
    <row r="44" spans="1:4" ht="55" customHeight="1">
      <c r="A44" s="8" t="s">
        <v>78</v>
      </c>
      <c r="B44" s="12" t="s">
        <v>79</v>
      </c>
      <c r="C44" s="12"/>
      <c r="D44" s="12"/>
    </row>
  </sheetData>
  <mergeCells count="11">
    <mergeCell ref="A1:D1"/>
    <mergeCell ref="A2:D2"/>
    <mergeCell ref="A5:D5"/>
    <mergeCell ref="A13:D13"/>
    <mergeCell ref="A19:D19"/>
    <mergeCell ref="A29:D29"/>
    <mergeCell ref="A34:D34"/>
    <mergeCell ref="A41:D41"/>
    <mergeCell ref="B42:D42"/>
    <mergeCell ref="B43:D43"/>
    <mergeCell ref="B44:D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zoomScale="90" zoomScaleNormal="90" workbookViewId="0"/>
  </sheetViews>
  <sheetFormatPr defaultRowHeight="15"/>
  <cols>
    <col min="1" max="1" width="18.7109375" customWidth="1"/>
    <col min="2" max="6" width="14.7109375" customWidth="1"/>
  </cols>
  <sheetData>
    <row r="1" spans="1:6">
      <c r="A1" s="1" t="s">
        <v>80</v>
      </c>
      <c r="B1" s="1"/>
      <c r="C1" s="1"/>
      <c r="D1" s="1"/>
      <c r="E1" s="1"/>
      <c r="F1" s="1"/>
    </row>
    <row r="2" spans="1:6">
      <c r="A2" s="2" t="s">
        <v>81</v>
      </c>
      <c r="B2" s="2"/>
      <c r="C2" s="2"/>
      <c r="D2" s="2"/>
      <c r="E2" s="2"/>
      <c r="F2" s="2"/>
    </row>
    <row r="4" spans="1:6">
      <c r="A4" s="7" t="s">
        <v>82</v>
      </c>
      <c r="B4" s="15">
        <v>0.02</v>
      </c>
      <c r="C4" s="15">
        <v>0.025</v>
      </c>
      <c r="D4" s="15">
        <v>0.03</v>
      </c>
      <c r="E4" s="15">
        <v>0.035</v>
      </c>
      <c r="F4" s="15">
        <v>0.04</v>
      </c>
    </row>
    <row r="5" spans="1:6">
      <c r="A5" s="16">
        <v>0.08</v>
      </c>
      <c r="B5" s="10">
        <f>('DCF Model'!C21/(1+0.08)^1+'DCF Model'!D21/(1+0.08)^2+'DCF Model'!E21/(1+0.08)^3+'DCF Model'!F21/(1+0.08)^4+'DCF Model'!G21/(1+0.08)^5+('DCF Model'!G21*(1+0.02)/(0.08-0.02))/(1+0.08)^5-'DCF Model'!B9)/'DCF Model'!B6</f>
        <v>0</v>
      </c>
      <c r="C5" s="10">
        <f>('DCF Model'!C21/(1+0.08)^1+'DCF Model'!D21/(1+0.08)^2+'DCF Model'!E21/(1+0.08)^3+'DCF Model'!F21/(1+0.08)^4+'DCF Model'!G21/(1+0.08)^5+('DCF Model'!G21*(1+0.025)/(0.08-0.025))/(1+0.08)^5-'DCF Model'!B9)/'DCF Model'!B6</f>
        <v>0</v>
      </c>
      <c r="D5" s="10">
        <f>('DCF Model'!C21/(1+0.08)^1+'DCF Model'!D21/(1+0.08)^2+'DCF Model'!E21/(1+0.08)^3+'DCF Model'!F21/(1+0.08)^4+'DCF Model'!G21/(1+0.08)^5+('DCF Model'!G21*(1+0.03)/(0.08-0.03))/(1+0.08)^5-'DCF Model'!B9)/'DCF Model'!B6</f>
        <v>0</v>
      </c>
      <c r="E5" s="10">
        <f>('DCF Model'!C21/(1+0.08)^1+'DCF Model'!D21/(1+0.08)^2+'DCF Model'!E21/(1+0.08)^3+'DCF Model'!F21/(1+0.08)^4+'DCF Model'!G21/(1+0.08)^5+('DCF Model'!G21*(1+0.035)/(0.08-0.035))/(1+0.08)^5-'DCF Model'!B9)/'DCF Model'!B6</f>
        <v>0</v>
      </c>
      <c r="F5" s="10">
        <f>('DCF Model'!C21/(1+0.08)^1+'DCF Model'!D21/(1+0.08)^2+'DCF Model'!E21/(1+0.08)^3+'DCF Model'!F21/(1+0.08)^4+'DCF Model'!G21/(1+0.08)^5+('DCF Model'!G21*(1+0.04)/(0.08-0.04))/(1+0.08)^5-'DCF Model'!B9)/'DCF Model'!B6</f>
        <v>0</v>
      </c>
    </row>
    <row r="6" spans="1:6">
      <c r="A6" s="16">
        <v>0.09</v>
      </c>
      <c r="B6" s="10">
        <f>('DCF Model'!C21/(1+0.09)^1+'DCF Model'!D21/(1+0.09)^2+'DCF Model'!E21/(1+0.09)^3+'DCF Model'!F21/(1+0.09)^4+'DCF Model'!G21/(1+0.09)^5+('DCF Model'!G21*(1+0.02)/(0.09-0.02))/(1+0.09)^5-'DCF Model'!B9)/'DCF Model'!B6</f>
        <v>0</v>
      </c>
      <c r="C6" s="10">
        <f>('DCF Model'!C21/(1+0.09)^1+'DCF Model'!D21/(1+0.09)^2+'DCF Model'!E21/(1+0.09)^3+'DCF Model'!F21/(1+0.09)^4+'DCF Model'!G21/(1+0.09)^5+('DCF Model'!G21*(1+0.025)/(0.09-0.025))/(1+0.09)^5-'DCF Model'!B9)/'DCF Model'!B6</f>
        <v>0</v>
      </c>
      <c r="D6" s="10">
        <f>('DCF Model'!C21/(1+0.09)^1+'DCF Model'!D21/(1+0.09)^2+'DCF Model'!E21/(1+0.09)^3+'DCF Model'!F21/(1+0.09)^4+'DCF Model'!G21/(1+0.09)^5+('DCF Model'!G21*(1+0.03)/(0.09-0.03))/(1+0.09)^5-'DCF Model'!B9)/'DCF Model'!B6</f>
        <v>0</v>
      </c>
      <c r="E6" s="10">
        <f>('DCF Model'!C21/(1+0.09)^1+'DCF Model'!D21/(1+0.09)^2+'DCF Model'!E21/(1+0.09)^3+'DCF Model'!F21/(1+0.09)^4+'DCF Model'!G21/(1+0.09)^5+('DCF Model'!G21*(1+0.035)/(0.09-0.035))/(1+0.09)^5-'DCF Model'!B9)/'DCF Model'!B6</f>
        <v>0</v>
      </c>
      <c r="F6" s="10">
        <f>('DCF Model'!C21/(1+0.09)^1+'DCF Model'!D21/(1+0.09)^2+'DCF Model'!E21/(1+0.09)^3+'DCF Model'!F21/(1+0.09)^4+'DCF Model'!G21/(1+0.09)^5+('DCF Model'!G21*(1+0.04)/(0.09-0.04))/(1+0.09)^5-'DCF Model'!B9)/'DCF Model'!B6</f>
        <v>0</v>
      </c>
    </row>
    <row r="7" spans="1:6">
      <c r="A7" s="16">
        <v>0.1</v>
      </c>
      <c r="B7" s="10">
        <f>('DCF Model'!C21/(1+0.1)^1+'DCF Model'!D21/(1+0.1)^2+'DCF Model'!E21/(1+0.1)^3+'DCF Model'!F21/(1+0.1)^4+'DCF Model'!G21/(1+0.1)^5+('DCF Model'!G21*(1+0.02)/(0.1-0.02))/(1+0.1)^5-'DCF Model'!B9)/'DCF Model'!B6</f>
        <v>0</v>
      </c>
      <c r="C7" s="10">
        <f>('DCF Model'!C21/(1+0.1)^1+'DCF Model'!D21/(1+0.1)^2+'DCF Model'!E21/(1+0.1)^3+'DCF Model'!F21/(1+0.1)^4+'DCF Model'!G21/(1+0.1)^5+('DCF Model'!G21*(1+0.025)/(0.1-0.025))/(1+0.1)^5-'DCF Model'!B9)/'DCF Model'!B6</f>
        <v>0</v>
      </c>
      <c r="D7" s="17">
        <f>('DCF Model'!C21/(1+0.1)^1+'DCF Model'!D21/(1+0.1)^2+'DCF Model'!E21/(1+0.1)^3+'DCF Model'!F21/(1+0.1)^4+'DCF Model'!G21/(1+0.1)^5+('DCF Model'!G21*(1+0.03)/(0.1-0.03))/(1+0.1)^5-'DCF Model'!B9)/'DCF Model'!B6</f>
        <v>0</v>
      </c>
      <c r="E7" s="10">
        <f>('DCF Model'!C21/(1+0.1)^1+'DCF Model'!D21/(1+0.1)^2+'DCF Model'!E21/(1+0.1)^3+'DCF Model'!F21/(1+0.1)^4+'DCF Model'!G21/(1+0.1)^5+('DCF Model'!G21*(1+0.035)/(0.1-0.035))/(1+0.1)^5-'DCF Model'!B9)/'DCF Model'!B6</f>
        <v>0</v>
      </c>
      <c r="F7" s="10">
        <f>('DCF Model'!C21/(1+0.1)^1+'DCF Model'!D21/(1+0.1)^2+'DCF Model'!E21/(1+0.1)^3+'DCF Model'!F21/(1+0.1)^4+'DCF Model'!G21/(1+0.1)^5+('DCF Model'!G21*(1+0.04)/(0.1-0.04))/(1+0.1)^5-'DCF Model'!B9)/'DCF Model'!B6</f>
        <v>0</v>
      </c>
    </row>
    <row r="8" spans="1:6">
      <c r="A8" s="16">
        <v>0.11</v>
      </c>
      <c r="B8" s="10">
        <f>('DCF Model'!C21/(1+0.11)^1+'DCF Model'!D21/(1+0.11)^2+'DCF Model'!E21/(1+0.11)^3+'DCF Model'!F21/(1+0.11)^4+'DCF Model'!G21/(1+0.11)^5+('DCF Model'!G21*(1+0.02)/(0.11-0.02))/(1+0.11)^5-'DCF Model'!B9)/'DCF Model'!B6</f>
        <v>0</v>
      </c>
      <c r="C8" s="10">
        <f>('DCF Model'!C21/(1+0.11)^1+'DCF Model'!D21/(1+0.11)^2+'DCF Model'!E21/(1+0.11)^3+'DCF Model'!F21/(1+0.11)^4+'DCF Model'!G21/(1+0.11)^5+('DCF Model'!G21*(1+0.025)/(0.11-0.025))/(1+0.11)^5-'DCF Model'!B9)/'DCF Model'!B6</f>
        <v>0</v>
      </c>
      <c r="D8" s="10">
        <f>('DCF Model'!C21/(1+0.11)^1+'DCF Model'!D21/(1+0.11)^2+'DCF Model'!E21/(1+0.11)^3+'DCF Model'!F21/(1+0.11)^4+'DCF Model'!G21/(1+0.11)^5+('DCF Model'!G21*(1+0.03)/(0.11-0.03))/(1+0.11)^5-'DCF Model'!B9)/'DCF Model'!B6</f>
        <v>0</v>
      </c>
      <c r="E8" s="10">
        <f>('DCF Model'!C21/(1+0.11)^1+'DCF Model'!D21/(1+0.11)^2+'DCF Model'!E21/(1+0.11)^3+'DCF Model'!F21/(1+0.11)^4+'DCF Model'!G21/(1+0.11)^5+('DCF Model'!G21*(1+0.035)/(0.11-0.035))/(1+0.11)^5-'DCF Model'!B9)/'DCF Model'!B6</f>
        <v>0</v>
      </c>
      <c r="F8" s="10">
        <f>('DCF Model'!C21/(1+0.11)^1+'DCF Model'!D21/(1+0.11)^2+'DCF Model'!E21/(1+0.11)^3+'DCF Model'!F21/(1+0.11)^4+'DCF Model'!G21/(1+0.11)^5+('DCF Model'!G21*(1+0.04)/(0.11-0.04))/(1+0.11)^5-'DCF Model'!B9)/'DCF Model'!B6</f>
        <v>0</v>
      </c>
    </row>
    <row r="9" spans="1:6">
      <c r="A9" s="16">
        <v>0.12</v>
      </c>
      <c r="B9" s="10">
        <f>('DCF Model'!C21/(1+0.12)^1+'DCF Model'!D21/(1+0.12)^2+'DCF Model'!E21/(1+0.12)^3+'DCF Model'!F21/(1+0.12)^4+'DCF Model'!G21/(1+0.12)^5+('DCF Model'!G21*(1+0.02)/(0.12-0.02))/(1+0.12)^5-'DCF Model'!B9)/'DCF Model'!B6</f>
        <v>0</v>
      </c>
      <c r="C9" s="10">
        <f>('DCF Model'!C21/(1+0.12)^1+'DCF Model'!D21/(1+0.12)^2+'DCF Model'!E21/(1+0.12)^3+'DCF Model'!F21/(1+0.12)^4+'DCF Model'!G21/(1+0.12)^5+('DCF Model'!G21*(1+0.025)/(0.12-0.025))/(1+0.12)^5-'DCF Model'!B9)/'DCF Model'!B6</f>
        <v>0</v>
      </c>
      <c r="D9" s="10">
        <f>('DCF Model'!C21/(1+0.12)^1+'DCF Model'!D21/(1+0.12)^2+'DCF Model'!E21/(1+0.12)^3+'DCF Model'!F21/(1+0.12)^4+'DCF Model'!G21/(1+0.12)^5+('DCF Model'!G21*(1+0.03)/(0.12-0.03))/(1+0.12)^5-'DCF Model'!B9)/'DCF Model'!B6</f>
        <v>0</v>
      </c>
      <c r="E9" s="10">
        <f>('DCF Model'!C21/(1+0.12)^1+'DCF Model'!D21/(1+0.12)^2+'DCF Model'!E21/(1+0.12)^3+'DCF Model'!F21/(1+0.12)^4+'DCF Model'!G21/(1+0.12)^5+('DCF Model'!G21*(1+0.035)/(0.12-0.035))/(1+0.12)^5-'DCF Model'!B9)/'DCF Model'!B6</f>
        <v>0</v>
      </c>
      <c r="F9" s="10">
        <f>('DCF Model'!C21/(1+0.12)^1+'DCF Model'!D21/(1+0.12)^2+'DCF Model'!E21/(1+0.12)^3+'DCF Model'!F21/(1+0.12)^4+'DCF Model'!G21/(1+0.12)^5+('DCF Model'!G21*(1+0.04)/(0.12-0.04))/(1+0.12)^5-'DCF Model'!B9)/'DCF Model'!B6</f>
        <v>0</v>
      </c>
    </row>
    <row r="11" spans="1:6" ht="60" customHeight="1">
      <c r="A11" s="12" t="s">
        <v>83</v>
      </c>
      <c r="B11" s="12"/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  <row r="13" spans="1:6">
      <c r="A13" s="12"/>
      <c r="B13" s="12"/>
      <c r="C13" s="12"/>
      <c r="D13" s="12"/>
      <c r="E13" s="12"/>
      <c r="F13" s="12"/>
    </row>
  </sheetData>
  <mergeCells count="3">
    <mergeCell ref="A1:F1"/>
    <mergeCell ref="A2:F2"/>
    <mergeCell ref="A11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zoomScale="90" zoomScaleNormal="90" workbookViewId="0"/>
  </sheetViews>
  <sheetFormatPr defaultRowHeight="15"/>
  <cols>
    <col min="1" max="1" width="22.7109375" customWidth="1"/>
    <col min="2" max="8" width="14.7109375" customWidth="1"/>
  </cols>
  <sheetData>
    <row r="1" spans="1:8">
      <c r="A1" s="1" t="s">
        <v>84</v>
      </c>
      <c r="B1" s="1"/>
      <c r="C1" s="1"/>
      <c r="D1" s="1"/>
      <c r="E1" s="1"/>
      <c r="F1" s="1"/>
      <c r="G1" s="1"/>
      <c r="H1" s="1"/>
    </row>
    <row r="2" spans="1:8">
      <c r="A2" s="2" t="s">
        <v>85</v>
      </c>
      <c r="B2" s="2"/>
      <c r="C2" s="2"/>
      <c r="D2" s="2"/>
      <c r="E2" s="2"/>
      <c r="F2" s="2"/>
      <c r="G2" s="2"/>
      <c r="H2" s="2"/>
    </row>
    <row r="4" spans="1:8">
      <c r="A4" s="7" t="s">
        <v>86</v>
      </c>
      <c r="B4" s="7" t="s">
        <v>87</v>
      </c>
      <c r="C4" s="7" t="s">
        <v>88</v>
      </c>
      <c r="D4" s="7" t="s">
        <v>89</v>
      </c>
      <c r="E4" s="7" t="s">
        <v>90</v>
      </c>
      <c r="F4" s="7" t="s">
        <v>91</v>
      </c>
      <c r="G4" s="7" t="s">
        <v>92</v>
      </c>
      <c r="H4" s="7" t="s">
        <v>93</v>
      </c>
    </row>
    <row r="5" spans="1:8">
      <c r="A5" t="s">
        <v>94</v>
      </c>
      <c r="B5" s="5">
        <v>481.4</v>
      </c>
      <c r="C5" s="5">
        <v>12.5</v>
      </c>
      <c r="D5" s="5">
        <v>-0.96</v>
      </c>
      <c r="E5" s="5">
        <v>742.6</v>
      </c>
    </row>
    <row r="6" spans="1:8">
      <c r="A6" t="s">
        <v>95</v>
      </c>
      <c r="B6" s="5">
        <v>874.4</v>
      </c>
      <c r="C6" s="5">
        <v>292.9</v>
      </c>
      <c r="D6" s="5">
        <v>-0.43</v>
      </c>
      <c r="E6" s="5">
        <v>871.9</v>
      </c>
      <c r="F6" s="11">
        <v>0.8163689239717491</v>
      </c>
      <c r="G6" s="11">
        <v>22.432</v>
      </c>
      <c r="H6" s="11">
        <v>0.1741179639105844</v>
      </c>
    </row>
    <row r="7" spans="1:8">
      <c r="A7" t="s">
        <v>96</v>
      </c>
      <c r="B7" s="5">
        <v>1451.6</v>
      </c>
      <c r="C7" s="5">
        <v>441.8</v>
      </c>
      <c r="D7" s="5">
        <v>-1.03</v>
      </c>
      <c r="E7" s="5">
        <v>1037.6</v>
      </c>
      <c r="F7" s="11">
        <v>0.6601097895699908</v>
      </c>
      <c r="G7" s="11">
        <v>0.508364629566405</v>
      </c>
      <c r="H7" s="11">
        <v>0.1900447299002178</v>
      </c>
    </row>
    <row r="8" spans="1:8">
      <c r="A8" t="s">
        <v>97</v>
      </c>
      <c r="B8" s="5">
        <v>2241.2</v>
      </c>
      <c r="C8" s="5">
        <v>676.9</v>
      </c>
      <c r="D8" s="5">
        <v>-0.79</v>
      </c>
      <c r="E8" s="5">
        <v>1487.4</v>
      </c>
      <c r="F8" s="11">
        <v>0.5439515017911271</v>
      </c>
      <c r="G8" s="11">
        <v>0.5321412403802624</v>
      </c>
      <c r="H8" s="11">
        <v>0.4335003855050118</v>
      </c>
    </row>
    <row r="9" spans="1:8">
      <c r="A9" t="s">
        <v>98</v>
      </c>
      <c r="B9" s="5">
        <v>3055.6</v>
      </c>
      <c r="C9" s="5">
        <v>940.2</v>
      </c>
      <c r="D9" s="5">
        <v>0.37</v>
      </c>
      <c r="E9" s="5">
        <v>2337.1</v>
      </c>
      <c r="F9" s="11">
        <v>0.3633767624486883</v>
      </c>
      <c r="G9" s="11">
        <v>0.3889791697444232</v>
      </c>
      <c r="H9" s="11">
        <v>0.571265295145892</v>
      </c>
    </row>
    <row r="10" spans="1:8">
      <c r="A10" t="s">
        <v>99</v>
      </c>
      <c r="B10" s="5">
        <v>3953.6</v>
      </c>
      <c r="C10" s="5">
        <v>1067.9</v>
      </c>
      <c r="D10" s="5">
        <v>-0.08</v>
      </c>
      <c r="E10" s="5">
        <v>3318.9</v>
      </c>
      <c r="F10" s="11">
        <v>0.2938866343762273</v>
      </c>
      <c r="G10" s="11">
        <v>0.1358221654967029</v>
      </c>
      <c r="H10" s="11">
        <v>0.4200932779940953</v>
      </c>
    </row>
    <row r="12" spans="1:8">
      <c r="A12" s="3" t="s">
        <v>100</v>
      </c>
      <c r="B12" s="3"/>
      <c r="C12" s="3"/>
      <c r="D12" s="3"/>
      <c r="E12" s="3"/>
      <c r="F12" s="3"/>
      <c r="G12" s="3"/>
      <c r="H12" s="3"/>
    </row>
    <row r="13" spans="1:8">
      <c r="A13" s="7" t="s">
        <v>101</v>
      </c>
      <c r="B13" s="7" t="s">
        <v>102</v>
      </c>
      <c r="C13" s="7" t="s">
        <v>103</v>
      </c>
      <c r="D13" s="7" t="s">
        <v>104</v>
      </c>
      <c r="E13" s="7"/>
      <c r="F13" s="7"/>
      <c r="G13" s="7"/>
      <c r="H13" s="7"/>
    </row>
    <row r="14" spans="1:8" ht="28" customHeight="1">
      <c r="A14" t="s">
        <v>105</v>
      </c>
      <c r="B14" s="11">
        <v>0.396</v>
      </c>
      <c r="C14" s="11">
        <v>0.524</v>
      </c>
      <c r="D14" s="12" t="s">
        <v>106</v>
      </c>
      <c r="E14" s="12"/>
      <c r="F14" s="12"/>
      <c r="G14" s="12"/>
      <c r="H14" s="12"/>
    </row>
    <row r="15" spans="1:8" ht="28" customHeight="1">
      <c r="A15" t="s">
        <v>107</v>
      </c>
      <c r="B15" s="11">
        <v>0.341</v>
      </c>
      <c r="C15" t="s">
        <v>108</v>
      </c>
      <c r="D15" s="12" t="s">
        <v>109</v>
      </c>
      <c r="E15" s="12"/>
      <c r="F15" s="12"/>
      <c r="G15" s="12"/>
      <c r="H15" s="12"/>
    </row>
    <row r="16" spans="1:8" ht="28" customHeight="1">
      <c r="A16" t="s">
        <v>110</v>
      </c>
      <c r="B16" s="11">
        <v>0.474</v>
      </c>
      <c r="C16" s="11">
        <v>0.347</v>
      </c>
      <c r="D16" s="12" t="s">
        <v>111</v>
      </c>
      <c r="E16" s="12"/>
      <c r="F16" s="12"/>
      <c r="G16" s="12"/>
      <c r="H16" s="12"/>
    </row>
    <row r="17" spans="1:8" ht="28" customHeight="1">
      <c r="A17" t="s">
        <v>89</v>
      </c>
      <c r="B17" t="s">
        <v>108</v>
      </c>
      <c r="C17" t="s">
        <v>108</v>
      </c>
      <c r="D17" s="12" t="s">
        <v>112</v>
      </c>
      <c r="E17" s="12"/>
      <c r="F17" s="12"/>
      <c r="G17" s="12"/>
      <c r="H17" s="12"/>
    </row>
    <row r="18" spans="1:8">
      <c r="A18" s="3" t="s">
        <v>113</v>
      </c>
      <c r="B18" s="3"/>
      <c r="C18" s="3"/>
      <c r="D18" s="3"/>
      <c r="E18" s="3"/>
      <c r="F18" s="3"/>
      <c r="G18" s="3"/>
      <c r="H18" s="3"/>
    </row>
    <row r="19" spans="1:8">
      <c r="A19" t="s">
        <v>114</v>
      </c>
      <c r="B19" s="11">
        <v>0.341</v>
      </c>
      <c r="C19" t="s">
        <v>115</v>
      </c>
    </row>
    <row r="20" spans="1:8">
      <c r="A20" s="18" t="s">
        <v>116</v>
      </c>
      <c r="B20" s="18"/>
      <c r="C20" s="18"/>
      <c r="D20" s="18"/>
      <c r="E20" s="18"/>
      <c r="F20" s="18"/>
      <c r="G20" s="18"/>
      <c r="H20" s="18"/>
    </row>
    <row r="21" spans="1:8" ht="55" customHeight="1">
      <c r="A21" s="18"/>
      <c r="B21" s="18"/>
      <c r="C21" s="18"/>
      <c r="D21" s="18"/>
      <c r="E21" s="18"/>
      <c r="F21" s="18"/>
      <c r="G21" s="18"/>
      <c r="H21" s="18"/>
    </row>
  </sheetData>
  <mergeCells count="11">
    <mergeCell ref="A1:H1"/>
    <mergeCell ref="A2:H2"/>
    <mergeCell ref="A12:H12"/>
    <mergeCell ref="D13:H13"/>
    <mergeCell ref="D14:H14"/>
    <mergeCell ref="D15:H15"/>
    <mergeCell ref="D16:H16"/>
    <mergeCell ref="D17:H17"/>
    <mergeCell ref="A18:H18"/>
    <mergeCell ref="C19:H19"/>
    <mergeCell ref="A20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2026-02-17T08:11:27Z</dcterms:created>
  <dcterms:modified xsi:type="dcterms:W3CDTF">2026-02-17T08:11:27Z</dcterms:modified>
</cp:coreProperties>
</file>