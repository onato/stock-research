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 Data" sheetId="4" r:id="rId4"/>
    <sheet name="Assumptions &amp; Notes" sheetId="5" r:id="rId5"/>
  </sheets>
  <calcPr calcId="124519" fullCalcOnLoad="1"/>
</workbook>
</file>

<file path=xl/sharedStrings.xml><?xml version="1.0" encoding="utf-8"?>
<sst xmlns="http://schemas.openxmlformats.org/spreadsheetml/2006/main" count="257" uniqueCount="211">
  <si>
    <t>Constellation Software Inc. (CSU.TO)</t>
  </si>
  <si>
    <t>DCF Valuation Model  |  Base Case  |  USD millions except per-share values</t>
  </si>
  <si>
    <t>Editable input cells are shaded gray. All other cells contain formulas.</t>
  </si>
  <si>
    <t>KEY INPUTS</t>
  </si>
  <si>
    <t>CSU.TO Price (CAD)</t>
  </si>
  <si>
    <t>USD/CAD Exchange Rate</t>
  </si>
  <si>
    <t>Current Price (USD)</t>
  </si>
  <si>
    <t>Shares Outstanding (M)</t>
  </si>
  <si>
    <t>Cash &amp; Equivalents (USD M)</t>
  </si>
  <si>
    <t>Total Debt (USD M)</t>
  </si>
  <si>
    <t>Net Debt (USD M)</t>
  </si>
  <si>
    <t>LTM FCFA2S Base (USD M)</t>
  </si>
  <si>
    <t>WACC</t>
  </si>
  <si>
    <t>Terminal Growth Rate</t>
  </si>
  <si>
    <t>Note: FCFA2S = Free Cash Flow Available to Shareholders</t>
  </si>
  <si>
    <t>(LTM = Q4-2024 $482M + Q1-2025 $510M + Q2-2025 $220M + Q3-2025 $529M)</t>
  </si>
  <si>
    <t>GROWTH ASSUMPTIONS (Base Case)</t>
  </si>
  <si>
    <t>Year 1</t>
  </si>
  <si>
    <t>Year 2</t>
  </si>
  <si>
    <t>Year 3</t>
  </si>
  <si>
    <t>Year 4</t>
  </si>
  <si>
    <t>Year 5</t>
  </si>
  <si>
    <t>FCFA2S Growth Rate (Base)</t>
  </si>
  <si>
    <t>PROJECTIONS (Base Case)</t>
  </si>
  <si>
    <t>Base Year</t>
  </si>
  <si>
    <t>FCFA2S (USD M)</t>
  </si>
  <si>
    <t>Discount Factor</t>
  </si>
  <si>
    <t>PV of FCFA2S (USD M)</t>
  </si>
  <si>
    <t>VALUATION</t>
  </si>
  <si>
    <t>Sum of PV of FCFA2S (USD M)</t>
  </si>
  <si>
    <t>Terminal Year FCFA2S (Y5 x (1+g))</t>
  </si>
  <si>
    <t>Terminal Value (USD M)</t>
  </si>
  <si>
    <t>PV of Terminal Value (USD M)</t>
  </si>
  <si>
    <t>Enterprise Value (USD M)</t>
  </si>
  <si>
    <t>Less: Net Debt (USD M)</t>
  </si>
  <si>
    <t>Equity Value (USD M)</t>
  </si>
  <si>
    <t>INTRINSIC VALUE / SHARE (USD)</t>
  </si>
  <si>
    <t>INTRINSIC VALUE / SHARE (CAD)</t>
  </si>
  <si>
    <t>Upside vs Current Price (USD)</t>
  </si>
  <si>
    <t>ENTRY PRICE ANALYSIS (15% CAGR Target)</t>
  </si>
  <si>
    <t>Terminal Value / Share (USD)</t>
  </si>
  <si>
    <t>Entry Price for 15% CAGR (USD)</t>
  </si>
  <si>
    <t>Entry Price for 15% CAGR (CAD)</t>
  </si>
  <si>
    <t>Current Price Premium to Entry (USD)</t>
  </si>
  <si>
    <t>IRGA Note: Topicus put option liability ~$1.03B (Q3 2025) not included in net debt</t>
  </si>
  <si>
    <t>Constellation Software Inc. - Scenario Comparison</t>
  </si>
  <si>
    <t>All financial figures in USD millions. Per-share values in USD.</t>
  </si>
  <si>
    <t>Metric</t>
  </si>
  <si>
    <t>BEAR CASE</t>
  </si>
  <si>
    <t>BASE CASE</t>
  </si>
  <si>
    <t>BULL CASE</t>
  </si>
  <si>
    <t>12.0%</t>
  </si>
  <si>
    <t>10.0%</t>
  </si>
  <si>
    <t>9.0%</t>
  </si>
  <si>
    <t>2.5%</t>
  </si>
  <si>
    <t>3.0%</t>
  </si>
  <si>
    <t>3.5%</t>
  </si>
  <si>
    <t>Growth: Year 1</t>
  </si>
  <si>
    <t>20.0%</t>
  </si>
  <si>
    <t>25.0%</t>
  </si>
  <si>
    <t>Growth: Year 2</t>
  </si>
  <si>
    <t>17.0%</t>
  </si>
  <si>
    <t>22.0%</t>
  </si>
  <si>
    <t>Growth: Year 3</t>
  </si>
  <si>
    <t>8.0%</t>
  </si>
  <si>
    <t>15.0%</t>
  </si>
  <si>
    <t>19.0%</t>
  </si>
  <si>
    <t>Growth: Year 4</t>
  </si>
  <si>
    <t>6.0%</t>
  </si>
  <si>
    <t>13.0%</t>
  </si>
  <si>
    <t>Growth: Year 5</t>
  </si>
  <si>
    <t>5.0%</t>
  </si>
  <si>
    <t>FCFA2S Year 1 (USD M)</t>
  </si>
  <si>
    <t>1,949.9</t>
  </si>
  <si>
    <t>2,089.2</t>
  </si>
  <si>
    <t>2,176.2</t>
  </si>
  <si>
    <t>FCFA2S Year 2 (USD M)</t>
  </si>
  <si>
    <t>2,144.9</t>
  </si>
  <si>
    <t>2,444.4</t>
  </si>
  <si>
    <t>2,655.0</t>
  </si>
  <si>
    <t>FCFA2S Year 3 (USD M)</t>
  </si>
  <si>
    <t>2,316.5</t>
  </si>
  <si>
    <t>2,811.0</t>
  </si>
  <si>
    <t>3,159.5</t>
  </si>
  <si>
    <t>FCFA2S Year 4 (USD M)</t>
  </si>
  <si>
    <t>2,455.5</t>
  </si>
  <si>
    <t>3,176.5</t>
  </si>
  <si>
    <t>3,696.6</t>
  </si>
  <si>
    <t>FCFA2S Year 5 (USD M)</t>
  </si>
  <si>
    <t>2,578.3</t>
  </si>
  <si>
    <t>3,557.6</t>
  </si>
  <si>
    <t>4,251.1</t>
  </si>
  <si>
    <t>Sum PV of FCFA2S (USD M)</t>
  </si>
  <si>
    <t>8,123</t>
  </si>
  <si>
    <t>10,410</t>
  </si>
  <si>
    <t>12,052</t>
  </si>
  <si>
    <t>27,818</t>
  </si>
  <si>
    <t>52,348</t>
  </si>
  <si>
    <t>79,998</t>
  </si>
  <si>
    <t>15,784</t>
  </si>
  <si>
    <t>32,503</t>
  </si>
  <si>
    <t>51,991</t>
  </si>
  <si>
    <t>23,907</t>
  </si>
  <si>
    <t>42,913</t>
  </si>
  <si>
    <t>64,043</t>
  </si>
  <si>
    <t>2,245</t>
  </si>
  <si>
    <t>21,662</t>
  </si>
  <si>
    <t>40,668</t>
  </si>
  <si>
    <t>61,798</t>
  </si>
  <si>
    <t>Intrinsic Value / Share (USD)</t>
  </si>
  <si>
    <t>$1,022</t>
  </si>
  <si>
    <t>$1,919</t>
  </si>
  <si>
    <t>$2,916</t>
  </si>
  <si>
    <t>Intrinsic Value / Share (CAD)</t>
  </si>
  <si>
    <t>$1,460</t>
  </si>
  <si>
    <t>$2,741</t>
  </si>
  <si>
    <t>$4,166</t>
  </si>
  <si>
    <t>$1,581</t>
  </si>
  <si>
    <t>Current Price (CAD)</t>
  </si>
  <si>
    <t>$2,258</t>
  </si>
  <si>
    <t>Upside vs Current (USD)</t>
  </si>
  <si>
    <t>-35.3%</t>
  </si>
  <si>
    <t>+21.4%</t>
  </si>
  <si>
    <t>+84.5%</t>
  </si>
  <si>
    <t>Entry Price (15% CAGR, USD)</t>
  </si>
  <si>
    <t>$653</t>
  </si>
  <si>
    <t>$1,228</t>
  </si>
  <si>
    <t>$1,877</t>
  </si>
  <si>
    <t>Entry Price (15% CAGR, CAD)</t>
  </si>
  <si>
    <t>$932</t>
  </si>
  <si>
    <t>$1,754</t>
  </si>
  <si>
    <t>$2,681</t>
  </si>
  <si>
    <t>PROBABILITY WEIGHTED IV</t>
  </si>
  <si>
    <t>Weights: Bull 25% / Base 50% / Bear 25%</t>
  </si>
  <si>
    <t>Weighted IV (USD)</t>
  </si>
  <si>
    <t>$1,944</t>
  </si>
  <si>
    <t>Weighted IV (CAD)</t>
  </si>
  <si>
    <t>$2,777</t>
  </si>
  <si>
    <t>+22.9%</t>
  </si>
  <si>
    <t>Sensitivity Analysis - Intrinsic Value Per Share (USD)</t>
  </si>
  <si>
    <t>Base case growth rates held constant. Varying WACC and Terminal Growth Rate.</t>
  </si>
  <si>
    <t>USD Intrinsic Value</t>
  </si>
  <si>
    <t>WACC  \  Term G</t>
  </si>
  <si>
    <t>2.0%</t>
  </si>
  <si>
    <t>4.0%</t>
  </si>
  <si>
    <t>8%</t>
  </si>
  <si>
    <t>9%</t>
  </si>
  <si>
    <t>10%</t>
  </si>
  <si>
    <t>11%</t>
  </si>
  <si>
    <t>12%</t>
  </si>
  <si>
    <t>Current Price (USD): $1,581  |  Green = above current  |  Red = below current</t>
  </si>
  <si>
    <t>CAD Equivalent (at 0.70 USD/CAD)</t>
  </si>
  <si>
    <t>Current Price (CAD): $2,258  |  Green = above current  |  Red = below current</t>
  </si>
  <si>
    <t>Constellation Software - Historical Financials (USD millions)</t>
  </si>
  <si>
    <t>Source: CSU Annual Reports. FCFA2S = Free Cash Flow Available to Shareholders.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</si>
  <si>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</si>
  <si>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</si>
  <si>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</si>
  <si>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</si>
  <si>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</si>
  <si>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</si>
  <si>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</si>
  <si>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</si>
  <si>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</si>
  <si>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</si>
  <si>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Revenue</t>
  </si>
  <si>
    <t>Net Income</t>
  </si>
  <si>
    <t>EPS (USD)</t>
  </si>
  <si>
    <t>Operating CF</t>
  </si>
  <si>
    <t>Free Cash Flow</t>
  </si>
  <si>
    <t>FCFA2S</t>
  </si>
  <si>
    <t>n/a</t>
  </si>
  <si>
    <t>Total Debt</t>
  </si>
  <si>
    <t>Cash</t>
  </si>
  <si>
    <t>Shareholders' Equity</t>
  </si>
  <si>
    <t>Historical Growth Rates</t>
  </si>
  <si>
    <t>3-Year CAGR
(2021-2024)</t>
  </si>
  <si>
    <t>5-Year CAGR
(2019-2024)</t>
  </si>
  <si>
    <t>EPS</t>
  </si>
  <si>
    <t>FCF (simple)</t>
  </si>
  <si>
    <t>FCFA2S (selected)</t>
  </si>
  <si>
    <t>Selected rate: FCFA2S 5yr CAGR (20.1%)</t>
  </si>
  <si>
    <t>Note: Equity CAGR excluded as primary metric - CSI uses acquisition leverage without buybacks,</t>
  </si>
  <si>
    <t>distorting book value growth. FCFA2S is management's preferred intrinsic value metric.</t>
  </si>
  <si>
    <t>Constellation Software DCF - Key Assumptions &amp; Notes</t>
  </si>
  <si>
    <t>Valuation date: 2026-02-18</t>
  </si>
  <si>
    <t>FCF Metric</t>
  </si>
  <si>
    <t>FCFA2S (Free Cash Flow Available to Shareholders) - CSU's proprietary metric. Deducts acquisition-related maintenance CapEx and preferred share dividends from operating cash flow. More conservative than simple OCF minus CapEx.</t>
  </si>
  <si>
    <t>LTM Base FCF</t>
  </si>
  <si>
    <t>USD $1,741M = Q4-2024 ($482M) + Q1-2025 ($510M) + Q2-2025 ($220M) + Q3-2025 ($529M). Q2 2025 is seasonally weak.</t>
  </si>
  <si>
    <t>Balance Sheet Date</t>
  </si>
  <si>
    <t>Q3 2025 (September 30, 2025). Net debt = $5,015M total debt minus $2,770M cash = $2,245M net debt.</t>
  </si>
  <si>
    <t>IRGA Liability</t>
  </si>
  <si>
    <t>Topicus Joday Group put option ~$1.03B at Q3 2025 (Euro-denominated, growing with Topicus maintenance revenue). NOT included in net debt. Represents a material contingent obligation.</t>
  </si>
  <si>
    <t>Share Count</t>
  </si>
  <si>
    <t>21.192 million shares - static since CSU IPO. No buybacks. No meaningful dilution expected.</t>
  </si>
  <si>
    <t>Currency</t>
  </si>
  <si>
    <t>All financials in USD millions. CSU stock trades on TSX in CAD. DCF in USD. USD/CAD rate = 0.70 (Feb 2026 estimate).</t>
  </si>
  <si>
    <t>10% base. Reflects: Canadian software conglomerate, investment-grade credit, moderate leverage (~$4.2B debt), established 30-year track record, decentralized model.</t>
  </si>
  <si>
    <t>Terminal Growth</t>
  </si>
  <si>
    <t>3.0% base / 3.5% bull / 2.5% bear. Reflects long-term nominal GDP growth of VMS customer verticals (government, utilities, healthcare).</t>
  </si>
  <si>
    <t>Growth Selection</t>
  </si>
  <si>
    <t>FCFA2S 5yr CAGR (20.1%) used as reference. Historical FCFA2S growth was 25-30% but will decelerate as deployment scale increases. Base assumes deceleration to 12% by Year 5.</t>
  </si>
  <si>
    <t>Bull Case Logic</t>
  </si>
  <si>
    <t>25% -&gt; 15% FCFA2S growth: Sustained high acquisition pace, organic growth improving to 7%+, large VMS deals succeeding, Topicus/Lumine continued European momentum. WACC 9%.</t>
  </si>
  <si>
    <t>Bear Case Logic</t>
  </si>
  <si>
    <t>12% -&gt; 5% FCFA2S growth: Leadership transition disruption, PE competition severely compressing acquisition IRRs, Altera drag persists, organic growth stalls at 2%. WACC 12%.</t>
  </si>
  <si>
    <t>Entry Price</t>
  </si>
  <si>
    <t>Entry price = Terminal Value per Share / (1.15)^5. Represents price to pay today to earn 15% CAGR to the terminal value in 5 years.</t>
  </si>
  <si>
    <t>Dividend</t>
  </si>
  <si>
    <t>$4.00/yr per share ($1.00 quarterly). Omitted from DCF model as immaterial relative to $1,741M FCFA2S.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</si>
</sst>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&quot;$&quot;#,##0"/>
    <numFmt numFmtId="168" formatCode="0.0&quot;%&quot;"/>
  </numFmts>
  <fonts count="10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2D3436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11"/>
      <color rgb="FF0984E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5F6FA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74B9FF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FF767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164" fontId="0" fillId="0" borderId="2" xfId="0" applyNumberFormat="1" applyBorder="1"/>
    <xf numFmtId="166" fontId="0" fillId="3" borderId="2" xfId="0" applyNumberFormat="1" applyFill="1" applyBorder="1"/>
    <xf numFmtId="166" fontId="0" fillId="0" borderId="2" xfId="0" applyNumberFormat="1" applyBorder="1"/>
    <xf numFmtId="0" fontId="4" fillId="0" borderId="0" xfId="0" applyFont="1" applyAlignment="1">
      <alignment wrapText="1"/>
    </xf>
    <xf numFmtId="0" fontId="5" fillId="4" borderId="2" xfId="0" applyFont="1" applyFill="1" applyBorder="1" applyAlignment="1">
      <alignment horizontal="center"/>
    </xf>
    <xf numFmtId="166" fontId="0" fillId="5" borderId="2" xfId="0" applyNumberFormat="1" applyFill="1" applyBorder="1"/>
    <xf numFmtId="0" fontId="3" fillId="0" borderId="0" xfId="0" applyFont="1"/>
    <xf numFmtId="164" fontId="6" fillId="6" borderId="2" xfId="0" applyNumberFormat="1" applyFont="1" applyFill="1" applyBorder="1"/>
    <xf numFmtId="165" fontId="5" fillId="7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166" fontId="0" fillId="10" borderId="2" xfId="0" applyNumberFormat="1" applyFill="1" applyBorder="1"/>
    <xf numFmtId="166" fontId="0" fillId="11" borderId="2" xfId="0" applyNumberFormat="1" applyFill="1" applyBorder="1"/>
    <xf numFmtId="164" fontId="7" fillId="5" borderId="2" xfId="0" applyNumberFormat="1" applyFont="1" applyFill="1" applyBorder="1"/>
    <xf numFmtId="167" fontId="8" fillId="6" borderId="2" xfId="0" applyNumberFormat="1" applyFont="1" applyFill="1" applyBorder="1"/>
    <xf numFmtId="167" fontId="0" fillId="12" borderId="2" xfId="0" applyNumberFormat="1" applyFill="1" applyBorder="1"/>
    <xf numFmtId="167" fontId="0" fillId="13" borderId="2" xfId="0" applyNumberFormat="1" applyFill="1" applyBorder="1"/>
    <xf numFmtId="167" fontId="8" fillId="14" borderId="2" xfId="0" applyNumberFormat="1" applyFont="1" applyFill="1" applyBorder="1"/>
    <xf numFmtId="168" fontId="0" fillId="0" borderId="2" xfId="0" applyNumberFormat="1" applyBorder="1"/>
    <xf numFmtId="0" fontId="7" fillId="3" borderId="0" xfId="0" applyFont="1" applyFill="1"/>
    <xf numFmtId="168" fontId="7" fillId="3" borderId="2" xfId="0" applyNumberFormat="1" applyFont="1" applyFill="1" applyBorder="1"/>
    <xf numFmtId="0" fontId="9" fillId="0" borderId="0" xfId="0" applyFont="1"/>
    <xf numFmtId="0" fontId="7" fillId="2" borderId="2" xfId="0" applyFont="1" applyFill="1" applyBorder="1" applyAlignment="1">
      <alignment vertical="top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984E3"/>
  </sheetPr>
  <dimension ref="A1:G47"/>
  <sheetViews>
    <sheetView tabSelected="1" workbookViewId="0"/>
  </sheetViews>
  <sheetFormatPr defaultRowHeight="15"/>
  <cols>
    <col min="1" max="1" width="30.7109375" customWidth="1"/>
    <col min="2" max="2" width="16.7109375" customWidth="1"/>
    <col min="3" max="8" width="14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5" spans="1:2">
      <c r="A5" s="3" t="s">
        <v>3</v>
      </c>
      <c r="B5" s="3"/>
    </row>
    <row r="6" spans="1:2">
      <c r="A6" t="s">
        <v>4</v>
      </c>
      <c r="B6" s="4">
        <v>2258.18</v>
      </c>
    </row>
    <row r="7" spans="1:2">
      <c r="A7" t="s">
        <v>5</v>
      </c>
      <c r="B7" s="5">
        <v>0.7</v>
      </c>
    </row>
    <row r="8" spans="1:2">
      <c r="A8" t="s">
        <v>6</v>
      </c>
      <c r="B8" s="6">
        <f>B6*B7</f>
        <v>0</v>
      </c>
    </row>
    <row r="9" spans="1:2">
      <c r="A9" t="s">
        <v>7</v>
      </c>
      <c r="B9" s="7">
        <v>21.192</v>
      </c>
    </row>
    <row r="10" spans="1:2">
      <c r="A10" t="s">
        <v>8</v>
      </c>
      <c r="B10" s="7">
        <v>2770</v>
      </c>
    </row>
    <row r="11" spans="1:2">
      <c r="A11" t="s">
        <v>9</v>
      </c>
      <c r="B11" s="7">
        <v>5015</v>
      </c>
    </row>
    <row r="12" spans="1:2">
      <c r="A12" t="s">
        <v>10</v>
      </c>
      <c r="B12" s="8">
        <f>B11-B10</f>
        <v>0</v>
      </c>
    </row>
    <row r="13" spans="1:2">
      <c r="A13" t="s">
        <v>11</v>
      </c>
      <c r="B13" s="7">
        <v>1741</v>
      </c>
    </row>
    <row r="14" spans="1:2">
      <c r="A14" t="s">
        <v>12</v>
      </c>
      <c r="B14" s="5">
        <v>0.1</v>
      </c>
    </row>
    <row r="15" spans="1:2">
      <c r="A15" t="s">
        <v>13</v>
      </c>
      <c r="B15" s="5">
        <v>0.03</v>
      </c>
    </row>
    <row r="17" spans="1:7">
      <c r="A17" s="9" t="s">
        <v>14</v>
      </c>
    </row>
    <row r="18" spans="1:7">
      <c r="A18" s="9" t="s">
        <v>15</v>
      </c>
    </row>
    <row r="20" spans="1:7">
      <c r="A20" s="3" t="s">
        <v>16</v>
      </c>
    </row>
    <row r="21" spans="1:7">
      <c r="A21" t="s">
        <v>22</v>
      </c>
      <c r="B21" s="10" t="s">
        <v>17</v>
      </c>
      <c r="C21" s="10" t="s">
        <v>18</v>
      </c>
      <c r="D21" s="10" t="s">
        <v>19</v>
      </c>
      <c r="E21" s="10" t="s">
        <v>20</v>
      </c>
      <c r="F21" s="10" t="s">
        <v>21</v>
      </c>
    </row>
    <row r="22" spans="1:7">
      <c r="B22" s="5">
        <v>0.2</v>
      </c>
      <c r="C22" s="5">
        <v>0.17</v>
      </c>
      <c r="D22" s="5">
        <v>0.15</v>
      </c>
      <c r="E22" s="5">
        <v>0.13</v>
      </c>
      <c r="F22" s="5">
        <v>0.12</v>
      </c>
    </row>
    <row r="24" spans="1:7">
      <c r="A24" s="3" t="s">
        <v>23</v>
      </c>
      <c r="B24" s="10" t="s">
        <v>24</v>
      </c>
      <c r="C24" s="10" t="s">
        <v>17</v>
      </c>
      <c r="D24" s="10" t="s">
        <v>18</v>
      </c>
      <c r="E24" s="10" t="s">
        <v>19</v>
      </c>
      <c r="F24" s="10" t="s">
        <v>20</v>
      </c>
      <c r="G24" s="10" t="s">
        <v>21</v>
      </c>
    </row>
    <row r="25" spans="1:7">
      <c r="A25" t="s">
        <v>25</v>
      </c>
      <c r="B25" s="11">
        <f>B13</f>
        <v>0</v>
      </c>
      <c r="C25" s="11">
        <f>B25*(1+B22)</f>
        <v>0</v>
      </c>
      <c r="D25" s="11">
        <f>C25*(1+C22)</f>
        <v>0</v>
      </c>
      <c r="E25" s="11">
        <f>D25*(1+D22)</f>
        <v>0</v>
      </c>
      <c r="F25" s="11">
        <f>E25*(1+E22)</f>
        <v>0</v>
      </c>
      <c r="G25" s="11">
        <f>F25*(1+F22)</f>
        <v>0</v>
      </c>
    </row>
    <row r="26" spans="1:7">
      <c r="A26" t="s">
        <v>26</v>
      </c>
      <c r="C26" s="11">
        <f>1/(1+$B$14)^1</f>
        <v>0</v>
      </c>
      <c r="D26" s="11">
        <f>1/(1+$B$14)^2</f>
        <v>0</v>
      </c>
      <c r="E26" s="11">
        <f>1/(1+$B$14)^3</f>
        <v>0</v>
      </c>
      <c r="F26" s="11">
        <f>1/(1+$B$14)^4</f>
        <v>0</v>
      </c>
      <c r="G26" s="11">
        <f>1/(1+$B$14)^5</f>
        <v>0</v>
      </c>
    </row>
    <row r="27" spans="1:7">
      <c r="A27" t="s">
        <v>27</v>
      </c>
      <c r="C27" s="11">
        <f>C25*C26</f>
        <v>0</v>
      </c>
      <c r="D27" s="11">
        <f>D25*D26</f>
        <v>0</v>
      </c>
      <c r="E27" s="11">
        <f>E25*E26</f>
        <v>0</v>
      </c>
      <c r="F27" s="11">
        <f>F25*F26</f>
        <v>0</v>
      </c>
      <c r="G27" s="11">
        <f>G25*G26</f>
        <v>0</v>
      </c>
    </row>
    <row r="29" spans="1:7">
      <c r="A29" s="3" t="s">
        <v>28</v>
      </c>
      <c r="B29" s="3"/>
    </row>
    <row r="30" spans="1:7">
      <c r="A30" t="s">
        <v>29</v>
      </c>
      <c r="B30" s="8">
        <f>SUM(C27:G27)</f>
        <v>0</v>
      </c>
    </row>
    <row r="31" spans="1:7">
      <c r="A31" t="s">
        <v>30</v>
      </c>
      <c r="B31" s="8">
        <f>G25*(1+$B$15)</f>
        <v>0</v>
      </c>
    </row>
    <row r="32" spans="1:7">
      <c r="A32" t="s">
        <v>31</v>
      </c>
      <c r="B32" s="8">
        <f>B31/($B$14-$B$15)</f>
        <v>0</v>
      </c>
    </row>
    <row r="33" spans="1:2">
      <c r="A33" t="s">
        <v>32</v>
      </c>
      <c r="B33" s="8">
        <f>B32*G26</f>
        <v>0</v>
      </c>
    </row>
    <row r="34" spans="1:2">
      <c r="A34" t="s">
        <v>33</v>
      </c>
      <c r="B34" s="8">
        <f>B30+B33</f>
        <v>0</v>
      </c>
    </row>
    <row r="35" spans="1:2">
      <c r="A35" t="s">
        <v>34</v>
      </c>
      <c r="B35" s="8">
        <f>B12</f>
        <v>0</v>
      </c>
    </row>
    <row r="36" spans="1:2">
      <c r="A36" t="s">
        <v>35</v>
      </c>
      <c r="B36" s="8">
        <f>B34-B35</f>
        <v>0</v>
      </c>
    </row>
    <row r="37" spans="1:2">
      <c r="A37" s="12" t="s">
        <v>36</v>
      </c>
      <c r="B37" s="13">
        <f>B36/B9</f>
        <v>0</v>
      </c>
    </row>
    <row r="38" spans="1:2">
      <c r="A38" t="s">
        <v>37</v>
      </c>
      <c r="B38" s="13">
        <f>B37/B7</f>
        <v>0</v>
      </c>
    </row>
    <row r="39" spans="1:2">
      <c r="A39" t="s">
        <v>38</v>
      </c>
      <c r="B39" s="14">
        <f>(B37-B8)/B8</f>
        <v>0</v>
      </c>
    </row>
    <row r="41" spans="1:2">
      <c r="A41" s="3" t="s">
        <v>39</v>
      </c>
      <c r="B41" s="3"/>
    </row>
    <row r="42" spans="1:2">
      <c r="A42" t="s">
        <v>40</v>
      </c>
      <c r="B42" s="6">
        <f>B32/B9</f>
        <v>0</v>
      </c>
    </row>
    <row r="43" spans="1:2">
      <c r="A43" t="s">
        <v>41</v>
      </c>
      <c r="B43" s="13">
        <f>B42/(1.15^5)</f>
        <v>0</v>
      </c>
    </row>
    <row r="44" spans="1:2">
      <c r="A44" t="s">
        <v>42</v>
      </c>
      <c r="B44" s="13">
        <f>B43/B7</f>
        <v>0</v>
      </c>
    </row>
    <row r="45" spans="1:2">
      <c r="A45" t="s">
        <v>43</v>
      </c>
      <c r="B45" s="14">
        <f>(B8-B43)/B43</f>
        <v>0</v>
      </c>
    </row>
    <row r="47" spans="1:2">
      <c r="A47" s="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894"/>
  </sheetPr>
  <dimension ref="A1:D39"/>
  <sheetViews>
    <sheetView workbookViewId="0"/>
  </sheetViews>
  <sheetFormatPr defaultRowHeight="15"/>
  <cols>
    <col min="1" max="1" width="30.7109375" customWidth="1"/>
    <col min="2" max="4" width="16.7109375" customWidth="1"/>
    <col min="5" max="9" width="14.7109375" customWidth="1"/>
  </cols>
  <sheetData>
    <row r="1" spans="1:4">
      <c r="A1" s="1" t="s">
        <v>45</v>
      </c>
    </row>
    <row r="2" spans="1:4">
      <c r="A2" s="2" t="s">
        <v>46</v>
      </c>
    </row>
    <row r="4" spans="1:4">
      <c r="A4" s="10" t="s">
        <v>47</v>
      </c>
      <c r="B4" s="15" t="s">
        <v>48</v>
      </c>
      <c r="C4" s="16" t="s">
        <v>49</v>
      </c>
      <c r="D4" s="17" t="s">
        <v>50</v>
      </c>
    </row>
    <row r="6" spans="1:4">
      <c r="A6" s="12" t="s">
        <v>12</v>
      </c>
      <c r="B6" s="18" t="s">
        <v>51</v>
      </c>
      <c r="C6" s="11" t="s">
        <v>52</v>
      </c>
      <c r="D6" s="19" t="s">
        <v>53</v>
      </c>
    </row>
    <row r="7" spans="1:4">
      <c r="A7" s="12" t="s">
        <v>13</v>
      </c>
      <c r="B7" s="18" t="s">
        <v>54</v>
      </c>
      <c r="C7" s="11" t="s">
        <v>55</v>
      </c>
      <c r="D7" s="19" t="s">
        <v>56</v>
      </c>
    </row>
    <row r="8" spans="1:4">
      <c r="A8" s="12" t="s">
        <v>57</v>
      </c>
      <c r="B8" s="18" t="s">
        <v>51</v>
      </c>
      <c r="C8" s="11" t="s">
        <v>58</v>
      </c>
      <c r="D8" s="19" t="s">
        <v>59</v>
      </c>
    </row>
    <row r="9" spans="1:4">
      <c r="A9" s="12" t="s">
        <v>60</v>
      </c>
      <c r="B9" s="18" t="s">
        <v>52</v>
      </c>
      <c r="C9" s="11" t="s">
        <v>61</v>
      </c>
      <c r="D9" s="19" t="s">
        <v>62</v>
      </c>
    </row>
    <row r="10" spans="1:4">
      <c r="A10" s="12" t="s">
        <v>63</v>
      </c>
      <c r="B10" s="18" t="s">
        <v>64</v>
      </c>
      <c r="C10" s="11" t="s">
        <v>65</v>
      </c>
      <c r="D10" s="19" t="s">
        <v>66</v>
      </c>
    </row>
    <row r="11" spans="1:4">
      <c r="A11" s="12" t="s">
        <v>67</v>
      </c>
      <c r="B11" s="18" t="s">
        <v>68</v>
      </c>
      <c r="C11" s="11" t="s">
        <v>69</v>
      </c>
      <c r="D11" s="19" t="s">
        <v>61</v>
      </c>
    </row>
    <row r="12" spans="1:4">
      <c r="A12" s="12" t="s">
        <v>70</v>
      </c>
      <c r="B12" s="18" t="s">
        <v>71</v>
      </c>
      <c r="C12" s="11" t="s">
        <v>51</v>
      </c>
      <c r="D12" s="19" t="s">
        <v>65</v>
      </c>
    </row>
    <row r="14" spans="1:4">
      <c r="A14" s="12" t="s">
        <v>72</v>
      </c>
      <c r="B14" s="18" t="s">
        <v>73</v>
      </c>
      <c r="C14" s="11" t="s">
        <v>74</v>
      </c>
      <c r="D14" s="19" t="s">
        <v>75</v>
      </c>
    </row>
    <row r="15" spans="1:4">
      <c r="A15" s="12" t="s">
        <v>76</v>
      </c>
      <c r="B15" s="18" t="s">
        <v>77</v>
      </c>
      <c r="C15" s="11" t="s">
        <v>78</v>
      </c>
      <c r="D15" s="19" t="s">
        <v>79</v>
      </c>
    </row>
    <row r="16" spans="1:4">
      <c r="A16" s="12" t="s">
        <v>80</v>
      </c>
      <c r="B16" s="18" t="s">
        <v>81</v>
      </c>
      <c r="C16" s="11" t="s">
        <v>82</v>
      </c>
      <c r="D16" s="19" t="s">
        <v>83</v>
      </c>
    </row>
    <row r="17" spans="1:4">
      <c r="A17" s="12" t="s">
        <v>84</v>
      </c>
      <c r="B17" s="18" t="s">
        <v>85</v>
      </c>
      <c r="C17" s="11" t="s">
        <v>86</v>
      </c>
      <c r="D17" s="19" t="s">
        <v>87</v>
      </c>
    </row>
    <row r="18" spans="1:4">
      <c r="A18" s="12" t="s">
        <v>88</v>
      </c>
      <c r="B18" s="18" t="s">
        <v>89</v>
      </c>
      <c r="C18" s="11" t="s">
        <v>90</v>
      </c>
      <c r="D18" s="19" t="s">
        <v>91</v>
      </c>
    </row>
    <row r="20" spans="1:4">
      <c r="A20" s="12" t="s">
        <v>92</v>
      </c>
      <c r="B20" s="18" t="s">
        <v>93</v>
      </c>
      <c r="C20" s="11" t="s">
        <v>94</v>
      </c>
      <c r="D20" s="19" t="s">
        <v>95</v>
      </c>
    </row>
    <row r="21" spans="1:4">
      <c r="A21" s="12" t="s">
        <v>31</v>
      </c>
      <c r="B21" s="18" t="s">
        <v>96</v>
      </c>
      <c r="C21" s="11" t="s">
        <v>97</v>
      </c>
      <c r="D21" s="19" t="s">
        <v>98</v>
      </c>
    </row>
    <row r="22" spans="1:4">
      <c r="A22" s="12" t="s">
        <v>32</v>
      </c>
      <c r="B22" s="18" t="s">
        <v>99</v>
      </c>
      <c r="C22" s="11" t="s">
        <v>100</v>
      </c>
      <c r="D22" s="19" t="s">
        <v>101</v>
      </c>
    </row>
    <row r="23" spans="1:4">
      <c r="A23" s="12" t="s">
        <v>33</v>
      </c>
      <c r="B23" s="18" t="s">
        <v>102</v>
      </c>
      <c r="C23" s="11" t="s">
        <v>103</v>
      </c>
      <c r="D23" s="19" t="s">
        <v>104</v>
      </c>
    </row>
    <row r="24" spans="1:4">
      <c r="A24" s="12" t="s">
        <v>34</v>
      </c>
      <c r="B24" s="18" t="s">
        <v>105</v>
      </c>
      <c r="C24" s="11" t="s">
        <v>105</v>
      </c>
      <c r="D24" s="19" t="s">
        <v>105</v>
      </c>
    </row>
    <row r="25" spans="1:4">
      <c r="A25" s="12" t="s">
        <v>35</v>
      </c>
      <c r="B25" s="18" t="s">
        <v>106</v>
      </c>
      <c r="C25" s="11" t="s">
        <v>107</v>
      </c>
      <c r="D25" s="19" t="s">
        <v>108</v>
      </c>
    </row>
    <row r="27" spans="1:4">
      <c r="A27" s="12" t="s">
        <v>109</v>
      </c>
      <c r="B27" s="18" t="s">
        <v>110</v>
      </c>
      <c r="C27" s="11" t="s">
        <v>111</v>
      </c>
      <c r="D27" s="19" t="s">
        <v>112</v>
      </c>
    </row>
    <row r="28" spans="1:4">
      <c r="A28" s="12" t="s">
        <v>113</v>
      </c>
      <c r="B28" s="18" t="s">
        <v>114</v>
      </c>
      <c r="C28" s="11" t="s">
        <v>115</v>
      </c>
      <c r="D28" s="19" t="s">
        <v>116</v>
      </c>
    </row>
    <row r="29" spans="1:4">
      <c r="A29" s="12" t="s">
        <v>6</v>
      </c>
      <c r="B29" s="18" t="s">
        <v>117</v>
      </c>
      <c r="C29" s="11" t="s">
        <v>117</v>
      </c>
      <c r="D29" s="19" t="s">
        <v>117</v>
      </c>
    </row>
    <row r="30" spans="1:4">
      <c r="A30" s="12" t="s">
        <v>118</v>
      </c>
      <c r="B30" s="18" t="s">
        <v>119</v>
      </c>
      <c r="C30" s="11" t="s">
        <v>119</v>
      </c>
      <c r="D30" s="19" t="s">
        <v>119</v>
      </c>
    </row>
    <row r="31" spans="1:4">
      <c r="A31" s="12" t="s">
        <v>120</v>
      </c>
      <c r="B31" s="18" t="s">
        <v>121</v>
      </c>
      <c r="C31" s="11" t="s">
        <v>122</v>
      </c>
      <c r="D31" s="19" t="s">
        <v>123</v>
      </c>
    </row>
    <row r="33" spans="1:4">
      <c r="A33" s="12" t="s">
        <v>124</v>
      </c>
      <c r="B33" s="18" t="s">
        <v>125</v>
      </c>
      <c r="C33" s="11" t="s">
        <v>126</v>
      </c>
      <c r="D33" s="19" t="s">
        <v>127</v>
      </c>
    </row>
    <row r="34" spans="1:4">
      <c r="A34" s="12" t="s">
        <v>128</v>
      </c>
      <c r="B34" s="18" t="s">
        <v>129</v>
      </c>
      <c r="C34" s="11" t="s">
        <v>130</v>
      </c>
      <c r="D34" s="19" t="s">
        <v>131</v>
      </c>
    </row>
    <row r="36" spans="1:4">
      <c r="A36" s="12" t="s">
        <v>132</v>
      </c>
      <c r="B36" s="9" t="s">
        <v>133</v>
      </c>
    </row>
    <row r="37" spans="1:4">
      <c r="A37" t="s">
        <v>134</v>
      </c>
      <c r="B37" s="20" t="s">
        <v>135</v>
      </c>
    </row>
    <row r="38" spans="1:4">
      <c r="A38" t="s">
        <v>136</v>
      </c>
      <c r="B38" s="20" t="s">
        <v>137</v>
      </c>
    </row>
    <row r="39" spans="1:4">
      <c r="A39" t="s">
        <v>120</v>
      </c>
      <c r="B39" s="14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C5CE7"/>
  </sheetPr>
  <dimension ref="A1:F20"/>
  <sheetViews>
    <sheetView workbookViewId="0"/>
  </sheetViews>
  <sheetFormatPr defaultRowHeight="15"/>
  <cols>
    <col min="1" max="1" width="18.7109375" customWidth="1"/>
    <col min="2" max="7" width="14.7109375" customWidth="1"/>
  </cols>
  <sheetData>
    <row r="1" spans="1:6">
      <c r="A1" s="1" t="s">
        <v>139</v>
      </c>
    </row>
    <row r="2" spans="1:6">
      <c r="A2" s="2" t="s">
        <v>140</v>
      </c>
    </row>
    <row r="4" spans="1:6">
      <c r="A4" s="3" t="s">
        <v>141</v>
      </c>
    </row>
    <row r="5" spans="1:6">
      <c r="A5" s="10" t="s">
        <v>142</v>
      </c>
      <c r="B5" s="10" t="s">
        <v>143</v>
      </c>
      <c r="C5" s="10" t="s">
        <v>54</v>
      </c>
      <c r="D5" s="10" t="s">
        <v>55</v>
      </c>
      <c r="E5" s="10" t="s">
        <v>56</v>
      </c>
      <c r="F5" s="10" t="s">
        <v>144</v>
      </c>
    </row>
    <row r="6" spans="1:6">
      <c r="A6" s="10" t="s">
        <v>145</v>
      </c>
      <c r="B6" s="21">
        <v>2356</v>
      </c>
      <c r="C6" s="21">
        <v>2543</v>
      </c>
      <c r="D6" s="21">
        <v>2768</v>
      </c>
      <c r="E6" s="21">
        <v>3042</v>
      </c>
      <c r="F6" s="21">
        <v>3385</v>
      </c>
    </row>
    <row r="7" spans="1:6">
      <c r="A7" s="10" t="s">
        <v>146</v>
      </c>
      <c r="B7" s="21">
        <v>1989</v>
      </c>
      <c r="C7" s="21">
        <v>2120</v>
      </c>
      <c r="D7" s="21">
        <v>2272</v>
      </c>
      <c r="E7" s="21">
        <v>2452</v>
      </c>
      <c r="F7" s="21">
        <v>2669</v>
      </c>
    </row>
    <row r="8" spans="1:6">
      <c r="A8" s="10" t="s">
        <v>147</v>
      </c>
      <c r="B8" s="22">
        <v>1714</v>
      </c>
      <c r="C8" s="21">
        <v>1810</v>
      </c>
      <c r="D8" s="21">
        <v>1919</v>
      </c>
      <c r="E8" s="21">
        <v>2045</v>
      </c>
      <c r="F8" s="21">
        <v>2192</v>
      </c>
    </row>
    <row r="9" spans="1:6">
      <c r="A9" s="10" t="s">
        <v>148</v>
      </c>
      <c r="B9" s="23">
        <v>1501</v>
      </c>
      <c r="C9" s="23">
        <v>1573</v>
      </c>
      <c r="D9" s="22">
        <v>1655</v>
      </c>
      <c r="E9" s="21">
        <v>1747</v>
      </c>
      <c r="F9" s="21">
        <v>1852</v>
      </c>
    </row>
    <row r="10" spans="1:6">
      <c r="A10" s="10" t="s">
        <v>149</v>
      </c>
      <c r="B10" s="24">
        <v>1331</v>
      </c>
      <c r="C10" s="24">
        <v>1387</v>
      </c>
      <c r="D10" s="23">
        <v>1449</v>
      </c>
      <c r="E10" s="23">
        <v>1519</v>
      </c>
      <c r="F10" s="22">
        <v>1597</v>
      </c>
    </row>
    <row r="11" spans="1:6">
      <c r="A11" s="9" t="s">
        <v>150</v>
      </c>
    </row>
    <row r="13" spans="1:6">
      <c r="A13" s="3" t="s">
        <v>151</v>
      </c>
    </row>
    <row r="14" spans="1:6">
      <c r="A14" s="10" t="s">
        <v>142</v>
      </c>
      <c r="B14" s="10" t="s">
        <v>143</v>
      </c>
      <c r="C14" s="10" t="s">
        <v>54</v>
      </c>
      <c r="D14" s="10" t="s">
        <v>55</v>
      </c>
      <c r="E14" s="10" t="s">
        <v>56</v>
      </c>
      <c r="F14" s="10" t="s">
        <v>144</v>
      </c>
    </row>
    <row r="15" spans="1:6">
      <c r="A15" s="10" t="s">
        <v>145</v>
      </c>
      <c r="B15" s="21">
        <v>3366</v>
      </c>
      <c r="C15" s="21">
        <v>3633</v>
      </c>
      <c r="D15" s="21">
        <v>3954</v>
      </c>
      <c r="E15" s="21">
        <v>4346</v>
      </c>
      <c r="F15" s="21">
        <v>4836</v>
      </c>
    </row>
    <row r="16" spans="1:6">
      <c r="A16" s="10" t="s">
        <v>146</v>
      </c>
      <c r="B16" s="21">
        <v>2841</v>
      </c>
      <c r="C16" s="21">
        <v>3029</v>
      </c>
      <c r="D16" s="21">
        <v>3246</v>
      </c>
      <c r="E16" s="21">
        <v>3503</v>
      </c>
      <c r="F16" s="21">
        <v>3813</v>
      </c>
    </row>
    <row r="17" spans="1:6">
      <c r="A17" s="10" t="s">
        <v>147</v>
      </c>
      <c r="B17" s="22">
        <v>2449</v>
      </c>
      <c r="C17" s="21">
        <v>2586</v>
      </c>
      <c r="D17" s="21">
        <v>2741</v>
      </c>
      <c r="E17" s="21">
        <v>2921</v>
      </c>
      <c r="F17" s="21">
        <v>3131</v>
      </c>
    </row>
    <row r="18" spans="1:6">
      <c r="A18" s="10" t="s">
        <v>148</v>
      </c>
      <c r="B18" s="23">
        <v>2144</v>
      </c>
      <c r="C18" s="23">
        <v>2247</v>
      </c>
      <c r="D18" s="22">
        <v>2364</v>
      </c>
      <c r="E18" s="21">
        <v>2496</v>
      </c>
      <c r="F18" s="21">
        <v>2646</v>
      </c>
    </row>
    <row r="19" spans="1:6">
      <c r="A19" s="10" t="s">
        <v>149</v>
      </c>
      <c r="B19" s="24">
        <v>1901</v>
      </c>
      <c r="C19" s="24">
        <v>1981</v>
      </c>
      <c r="D19" s="23">
        <v>2070</v>
      </c>
      <c r="E19" s="23">
        <v>2170</v>
      </c>
      <c r="F19" s="22">
        <v>2281</v>
      </c>
    </row>
    <row r="20" spans="1:6">
      <c r="A20" s="9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DCB6E"/>
  </sheetPr>
  <dimension ref="A1:K25"/>
  <sheetViews>
    <sheetView workbookViewId="0"/>
  </sheetViews>
  <sheetFormatPr defaultRowHeight="15"/>
  <cols>
    <col min="1" max="1" width="22.7109375" customWidth="1"/>
    <col min="2" max="11" width="13.7109375" customWidth="1"/>
  </cols>
  <sheetData>
    <row r="1" spans="1:11">
      <c r="A1" s="1" t="s">
        <v>153</v>
      </c>
    </row>
    <row r="2" spans="1:11">
      <c r="A2" s="2" t="s">
        <v>154</v>
      </c>
    </row>
    <row r="4" spans="1:11">
      <c r="A4" s="10" t="s">
        <v>47</v>
      </c>
      <c r="B4" s="10" t="s">
        <v>155</v>
      </c>
      <c r="C4" s="10" t="s">
        <v>156</v>
      </c>
      <c r="D4" s="10" t="s">
        <v>157</v>
      </c>
      <c r="E4" s="10" t="s">
        <v>158</v>
      </c>
      <c r="F4" s="10" t="s">
        <v>159</v>
      </c>
      <c r="G4" s="10" t="s">
        <v>160</v>
      </c>
      <c r="H4" s="10" t="s">
        <v>161</v>
      </c>
      <c r="I4" s="10" t="s">
        <v>162</v>
      </c>
      <c r="J4" s="10" t="s">
        <v>163</v>
      </c>
      <c r="K4" s="10" t="s">
        <v>164</v>
      </c>
    </row>
    <row r="5" spans="1:11">
      <c r="A5" s="12" t="s">
        <v>165</v>
      </c>
      <c r="B5" s="8">
        <v>1838.3</v>
      </c>
      <c r="C5" s="8">
        <v>2125.1</v>
      </c>
      <c r="D5" s="8">
        <v>2479.4</v>
      </c>
      <c r="E5" s="8">
        <v>3060.1</v>
      </c>
      <c r="F5" s="8">
        <v>3490</v>
      </c>
      <c r="G5" s="8">
        <v>3969</v>
      </c>
      <c r="H5" s="8">
        <v>5106</v>
      </c>
      <c r="I5" s="8">
        <v>6622</v>
      </c>
      <c r="J5" s="8">
        <v>8407</v>
      </c>
      <c r="K5" s="8">
        <v>10066</v>
      </c>
    </row>
    <row r="6" spans="1:11">
      <c r="A6" s="12" t="s">
        <v>166</v>
      </c>
      <c r="B6" s="8">
        <v>177.2</v>
      </c>
      <c r="C6" s="8">
        <v>206.8</v>
      </c>
      <c r="D6" s="8">
        <v>222</v>
      </c>
      <c r="E6" s="8">
        <v>379.3</v>
      </c>
      <c r="F6" s="8">
        <v>333</v>
      </c>
      <c r="G6" s="8">
        <v>436</v>
      </c>
      <c r="H6" s="8">
        <v>310</v>
      </c>
      <c r="I6" s="8">
        <v>512</v>
      </c>
      <c r="J6" s="8">
        <v>565</v>
      </c>
      <c r="K6" s="8">
        <v>731</v>
      </c>
    </row>
    <row r="7" spans="1:11">
      <c r="A7" s="12" t="s">
        <v>167</v>
      </c>
      <c r="B7" s="8">
        <v>8.359999999999999</v>
      </c>
      <c r="C7" s="8">
        <v>9.76</v>
      </c>
      <c r="D7" s="8">
        <v>10.47</v>
      </c>
      <c r="E7" s="8">
        <v>17.9</v>
      </c>
      <c r="F7" s="8">
        <v>15.73</v>
      </c>
      <c r="G7" s="8">
        <v>20.59</v>
      </c>
      <c r="H7" s="8">
        <v>14.65</v>
      </c>
      <c r="I7" s="8">
        <v>24.18</v>
      </c>
      <c r="J7" s="8">
        <v>26.67</v>
      </c>
      <c r="K7" s="8">
        <v>34.48</v>
      </c>
    </row>
    <row r="8" spans="1:11">
      <c r="A8" s="12" t="s">
        <v>168</v>
      </c>
      <c r="B8" s="8">
        <v>395.9</v>
      </c>
      <c r="C8" s="8">
        <v>490.9</v>
      </c>
      <c r="D8" s="8">
        <v>527.8</v>
      </c>
      <c r="E8" s="8">
        <v>662</v>
      </c>
      <c r="F8" s="8">
        <v>767</v>
      </c>
      <c r="G8" s="8">
        <v>1186</v>
      </c>
      <c r="H8" s="8">
        <v>1300</v>
      </c>
      <c r="I8" s="8">
        <v>1297</v>
      </c>
      <c r="J8" s="8">
        <v>1779</v>
      </c>
      <c r="K8" s="8">
        <v>2196</v>
      </c>
    </row>
    <row r="9" spans="1:11">
      <c r="A9" s="12" t="s">
        <v>169</v>
      </c>
      <c r="B9" s="8">
        <v>383</v>
      </c>
      <c r="C9" s="8">
        <v>471.8</v>
      </c>
      <c r="D9" s="8">
        <v>508.1</v>
      </c>
      <c r="E9" s="8">
        <v>636.7</v>
      </c>
      <c r="F9" s="8">
        <v>733</v>
      </c>
      <c r="G9" s="8">
        <v>1161</v>
      </c>
      <c r="H9" s="8">
        <v>1271</v>
      </c>
      <c r="I9" s="8">
        <v>1256</v>
      </c>
      <c r="J9" s="8">
        <v>1737</v>
      </c>
      <c r="K9" s="8">
        <v>2129</v>
      </c>
    </row>
    <row r="10" spans="1:11">
      <c r="A10" s="12" t="s">
        <v>170</v>
      </c>
      <c r="B10" t="s">
        <v>171</v>
      </c>
      <c r="C10" t="s">
        <v>171</v>
      </c>
      <c r="D10" t="s">
        <v>171</v>
      </c>
      <c r="E10" s="8">
        <v>559</v>
      </c>
      <c r="F10" s="8">
        <v>590</v>
      </c>
      <c r="G10" s="8">
        <v>989</v>
      </c>
      <c r="H10" s="8">
        <v>883</v>
      </c>
      <c r="I10" s="8">
        <v>853</v>
      </c>
      <c r="J10" s="8">
        <v>1160</v>
      </c>
      <c r="K10" s="8">
        <v>1472</v>
      </c>
    </row>
    <row r="11" spans="1:11">
      <c r="A11" s="12" t="s">
        <v>172</v>
      </c>
      <c r="B11" s="8">
        <v>355.1</v>
      </c>
      <c r="C11" s="8">
        <v>344</v>
      </c>
      <c r="D11" s="8">
        <v>323.1</v>
      </c>
      <c r="E11" s="8">
        <v>389</v>
      </c>
      <c r="F11" s="8">
        <v>715</v>
      </c>
      <c r="G11" s="8">
        <v>761</v>
      </c>
      <c r="H11" s="8">
        <v>1125</v>
      </c>
      <c r="I11" s="8">
        <v>1974</v>
      </c>
      <c r="J11" s="8">
        <v>4148</v>
      </c>
      <c r="K11" s="8">
        <v>4166</v>
      </c>
    </row>
    <row r="12" spans="1:11">
      <c r="A12" s="12" t="s">
        <v>173</v>
      </c>
      <c r="B12" s="8">
        <v>178.5</v>
      </c>
      <c r="C12" s="8">
        <v>353.5</v>
      </c>
      <c r="D12" s="8">
        <v>489</v>
      </c>
      <c r="E12" s="8">
        <v>588.6</v>
      </c>
      <c r="F12" s="8">
        <v>316</v>
      </c>
      <c r="G12" s="8">
        <v>758</v>
      </c>
      <c r="H12" s="8">
        <v>763</v>
      </c>
      <c r="I12" s="8">
        <v>811</v>
      </c>
      <c r="J12" s="8">
        <v>1284</v>
      </c>
      <c r="K12" s="8">
        <v>1980</v>
      </c>
    </row>
    <row r="13" spans="1:11">
      <c r="A13" s="12" t="s">
        <v>174</v>
      </c>
      <c r="B13" s="8">
        <v>337.3</v>
      </c>
      <c r="C13" s="8">
        <v>457.5</v>
      </c>
      <c r="D13" s="8">
        <v>604.1</v>
      </c>
      <c r="E13" s="8">
        <v>866.1</v>
      </c>
      <c r="F13" s="8">
        <v>687</v>
      </c>
      <c r="G13" s="8">
        <v>1048</v>
      </c>
      <c r="H13" s="8">
        <v>1521</v>
      </c>
      <c r="I13" s="8">
        <v>1933</v>
      </c>
      <c r="J13" s="8">
        <v>1961</v>
      </c>
      <c r="K13" s="8">
        <v>3288</v>
      </c>
    </row>
    <row r="15" spans="1:11">
      <c r="A15" s="3" t="s">
        <v>175</v>
      </c>
    </row>
    <row r="16" spans="1:11">
      <c r="A16" s="10" t="s">
        <v>47</v>
      </c>
      <c r="B16" s="10" t="s">
        <v>176</v>
      </c>
      <c r="C16" s="10" t="s">
        <v>177</v>
      </c>
    </row>
    <row r="18" spans="1:3">
      <c r="A18" s="12" t="s">
        <v>165</v>
      </c>
      <c r="B18" s="25">
        <v>25.4</v>
      </c>
      <c r="C18" s="25">
        <v>23.6</v>
      </c>
    </row>
    <row r="19" spans="1:3">
      <c r="A19" s="12" t="s">
        <v>178</v>
      </c>
      <c r="B19" s="25">
        <v>33</v>
      </c>
      <c r="C19" s="25">
        <v>17</v>
      </c>
    </row>
    <row r="20" spans="1:3">
      <c r="A20" s="12" t="s">
        <v>174</v>
      </c>
      <c r="B20" s="25">
        <v>29.3</v>
      </c>
      <c r="C20" s="25">
        <v>36.8</v>
      </c>
    </row>
    <row r="21" spans="1:3">
      <c r="A21" s="12" t="s">
        <v>179</v>
      </c>
      <c r="B21" s="25">
        <v>18.8</v>
      </c>
      <c r="C21" s="25">
        <v>23.8</v>
      </c>
    </row>
    <row r="22" spans="1:3">
      <c r="A22" s="26" t="s">
        <v>180</v>
      </c>
      <c r="B22" s="27">
        <v>18.6</v>
      </c>
      <c r="C22" s="27">
        <v>20.1</v>
      </c>
    </row>
    <row r="23" spans="1:3">
      <c r="A23" s="28" t="s">
        <v>181</v>
      </c>
    </row>
    <row r="24" spans="1:3">
      <c r="A24" s="9" t="s">
        <v>182</v>
      </c>
    </row>
    <row r="25" spans="1:3">
      <c r="A25" s="9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29BFE"/>
  </sheetPr>
  <dimension ref="A1:B16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184</v>
      </c>
    </row>
    <row r="2" spans="1:2">
      <c r="A2" s="2" t="s">
        <v>185</v>
      </c>
    </row>
    <row r="4" spans="1:2" ht="40" customHeight="1">
      <c r="A4" s="29" t="s">
        <v>186</v>
      </c>
      <c r="B4" s="30" t="s">
        <v>187</v>
      </c>
    </row>
    <row r="5" spans="1:2" ht="40" customHeight="1">
      <c r="A5" s="29" t="s">
        <v>188</v>
      </c>
      <c r="B5" s="30" t="s">
        <v>189</v>
      </c>
    </row>
    <row r="6" spans="1:2" ht="40" customHeight="1">
      <c r="A6" s="29" t="s">
        <v>190</v>
      </c>
      <c r="B6" s="30" t="s">
        <v>191</v>
      </c>
    </row>
    <row r="7" spans="1:2" ht="40" customHeight="1">
      <c r="A7" s="29" t="s">
        <v>192</v>
      </c>
      <c r="B7" s="30" t="s">
        <v>193</v>
      </c>
    </row>
    <row r="8" spans="1:2" ht="40" customHeight="1">
      <c r="A8" s="29" t="s">
        <v>194</v>
      </c>
      <c r="B8" s="30" t="s">
        <v>195</v>
      </c>
    </row>
    <row r="9" spans="1:2" ht="40" customHeight="1">
      <c r="A9" s="29" t="s">
        <v>196</v>
      </c>
      <c r="B9" s="30" t="s">
        <v>197</v>
      </c>
    </row>
    <row r="10" spans="1:2" ht="40" customHeight="1">
      <c r="A10" s="29" t="s">
        <v>12</v>
      </c>
      <c r="B10" s="30" t="s">
        <v>198</v>
      </c>
    </row>
    <row r="11" spans="1:2" ht="40" customHeight="1">
      <c r="A11" s="29" t="s">
        <v>199</v>
      </c>
      <c r="B11" s="30" t="s">
        <v>200</v>
      </c>
    </row>
    <row r="12" spans="1:2" ht="40" customHeight="1">
      <c r="A12" s="29" t="s">
        <v>201</v>
      </c>
      <c r="B12" s="30" t="s">
        <v>202</v>
      </c>
    </row>
    <row r="13" spans="1:2" ht="40" customHeight="1">
      <c r="A13" s="29" t="s">
        <v>203</v>
      </c>
      <c r="B13" s="30" t="s">
        <v>204</v>
      </c>
    </row>
    <row r="14" spans="1:2" ht="40" customHeight="1">
      <c r="A14" s="29" t="s">
        <v>205</v>
      </c>
      <c r="B14" s="30" t="s">
        <v>206</v>
      </c>
    </row>
    <row r="15" spans="1:2" ht="40" customHeight="1">
      <c r="A15" s="29" t="s">
        <v>207</v>
      </c>
      <c r="B15" s="30" t="s">
        <v>208</v>
      </c>
    </row>
    <row r="16" spans="1:2" ht="40" customHeight="1">
      <c r="A16" s="29" t="s">
        <v>209</v>
      </c>
      <c r="B16" s="30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Scenarios</vt:lpstr>
      <vt:lpstr>Sensitivity</vt:lpstr>
      <vt:lpstr>Historical Data</vt:lpstr>
      <vt:lpstr>Assumptions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2026-02-18T01:20:15Z</dcterms:created>
  <dcterms:modified xsi:type="dcterms:W3CDTF">2026-02-18T01:20:15Z</dcterms:modified>
</cp:coreProperties>
</file>