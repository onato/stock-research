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Assumptions" sheetId="4" r:id="rId4"/>
  </sheets>
  <calcPr calcId="124519" fullCalcOnLoad="1"/>
</workbook>
</file>

<file path=xl/sharedStrings.xml><?xml version="1.0" encoding="utf-8"?>
<sst xmlns="http://schemas.openxmlformats.org/spreadsheetml/2006/main" count="119" uniqueCount="109">
  <si>
    <t>MA DCF Valuation Model</t>
  </si>
  <si>
    <t>Gray cells are INPUTS - adjust to see valuation change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</si>
  <si>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</si>
  <si>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</si>
  <si>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</si>
  <si>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</si>
  <si>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</si>
  <si>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</si>
  <si>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Base Year FCF (M)</t>
  </si>
  <si>
    <t>WACC</t>
  </si>
  <si>
    <t>Terminal Growth Rate</t>
  </si>
  <si>
    <t>FCF Margin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</si>
  <si>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</si>
  <si>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</si>
  <si>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</si>
  <si>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</si>
  <si>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</si>
  <si>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</si>
  <si>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</si>
  <si>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</si>
  <si>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</si>
  <si>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</si>
  <si>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</si>
  <si>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</si>
  <si>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</si>
  <si>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</si>
  <si>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</si>
  <si>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</si>
  <si>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</si>
  <si>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</si>
  <si>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</si>
  <si>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</si>
  <si>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</si>
  <si>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Upside/(Downside)</t>
  </si>
  <si>
    <t>ENTRY PRICE ANALYSIS</t>
  </si>
  <si>
    <t>Terminal Value per Share</t>
  </si>
  <si>
    <t>Entry Price (15% CAGR)</t>
  </si>
  <si>
    <t>Discount from Current Price</t>
  </si>
  <si>
    <t>SCENARIO ANALYSIS</t>
  </si>
  <si>
    <t>Scenario</t>
  </si>
  <si>
    <t>Growth Y1-Y5</t>
  </si>
  <si>
    <t>Term G</t>
  </si>
  <si>
    <t>FCF Y5</t>
  </si>
  <si>
    <t>Terminal Val</t>
  </si>
  <si>
    <t>Intrinsic Val</t>
  </si>
  <si>
    <t>Upside</t>
  </si>
  <si>
    <t>Bull Case</t>
  </si>
  <si>
    <t>18%, 16%, 14%, 12%, 10%</t>
  </si>
  <si>
    <t>Base Case</t>
  </si>
  <si>
    <t>12%, 11%, 10%, 9%, 7%</t>
  </si>
  <si>
    <t>Bear Case</t>
  </si>
  <si>
    <t>7%, 6%, 5%, 4%, 3%</t>
  </si>
  <si>
    <t>Probability Weighted IV</t>
  </si>
  <si>
    <t>Bull 25%, Base 50%, Bear 25%</t>
  </si>
  <si>
    <t>HISTORICAL METRICS (FY2024)</t>
  </si>
  <si>
    <t>Revenue (M)</t>
  </si>
  <si>
    <t>Operating Margin</t>
  </si>
  <si>
    <t>Net Income (M)</t>
  </si>
  <si>
    <t>Free Cash Flow (M)</t>
  </si>
  <si>
    <t>FCF/Net Income</t>
  </si>
  <si>
    <t>Equity CAGR is severely distorted by aggressive share buybacks ($11B in FY2024). Mastercard returned $13.4B to shareholders in FY2024 through buybacks and dividends, which reduces reported equity. Revenue and FCF CAGRs provide more accurate reflection of business growth.</t>
  </si>
  <si>
    <t>Sensitivity Analysis</t>
  </si>
  <si>
    <t>Intrinsic Value per Share by WACC &amp; Terminal Growth</t>
  </si>
  <si>
    <t>WACC \ Term G</t>
  </si>
  <si>
    <t>Historical Growth Rates</t>
  </si>
  <si>
    <t>Metric</t>
  </si>
  <si>
    <t>3-Year CAGR</t>
  </si>
  <si>
    <t>5-Year CAGR</t>
  </si>
  <si>
    <t>Notes</t>
  </si>
  <si>
    <t>Revenue</t>
  </si>
  <si>
    <t>FY2019-2024</t>
  </si>
  <si>
    <t>EPS</t>
  </si>
  <si>
    <t>Strong buyback impact</t>
  </si>
  <si>
    <t>Equity</t>
  </si>
  <si>
    <t>Distorted by buybacks</t>
  </si>
  <si>
    <t>FCF</t>
  </si>
  <si>
    <t>~48% FCF margin</t>
  </si>
  <si>
    <t>Selected Growth Rate:</t>
  </si>
  <si>
    <t>Source:</t>
  </si>
  <si>
    <t>revenue_5yr_cagr</t>
  </si>
  <si>
    <t>Historical Annual Data (FY2019-2024)</t>
  </si>
  <si>
    <t>Year</t>
  </si>
  <si>
    <t>FCF (M)</t>
  </si>
  <si>
    <t>Equity (M)</t>
  </si>
  <si>
    <t>FY2019</t>
  </si>
  <si>
    <t>FY2020</t>
  </si>
  <si>
    <t>FY2021</t>
  </si>
  <si>
    <t>FY2022</t>
  </si>
  <si>
    <t>FY2023</t>
  </si>
  <si>
    <t>FY2024</t>
  </si>
  <si>
    <t>DCF Model Assumptions &amp; Notes</t>
  </si>
  <si>
    <t>BASE CASE RATIONALE:</t>
  </si>
  <si>
    <t>Conservative deceleration from historical 10.8% revenue CAGR; reflects maturity in developed markets offset by continued emerging market penetration, value-added services growth, and B2B opportunity</t>
  </si>
  <si>
    <t>BULL CASE RATIONALE:</t>
  </si>
  <si>
    <t>Assumes value-added services accelerate (20%+ growth), cross-border volumes remain strong, successful B2B penetration, margin expansion from operating leverage, and limited regulatory headwinds</t>
  </si>
  <si>
    <t>BEAR CASE RATIONALE:</t>
  </si>
  <si>
    <t>Reflects severe interchange fee regulation, recession impact on consumer spending and cross-border travel, increased competition from national payment schemes and fintechs, margin pressure from customer incentives</t>
  </si>
  <si>
    <t>KEY SENSITIVITIES:</t>
  </si>
  <si>
    <t>• WACC assumption: Each 1% change in WACC changes IV by ~$40-60/share</t>
  </si>
  <si>
    <t>• Terminal growth: Each 0.5% change in terminal growth changes IV by ~$20-35/share</t>
  </si>
  <si>
    <t>• FCF margin: Each 1% change in margin changes IV by ~$15-20/share</t>
  </si>
  <si>
    <t>• Growth rates: Near-term growth most impactful due to discounting</t>
  </si>
  <si>
    <t>INVESTMENT THESIS:</t>
  </si>
  <si>
    <t>Bull Thesis:</t>
  </si>
  <si>
    <t>Mastercard offers best-in-class exposure to secular cash-to-digital shift with capital-light model generating exceptional FCF ($13.6B in 2024). Value-added services growing 20%+ create differentiation and margin expansion opportunity. Duopoly with Visa provides pricing power and high barriers to entry. B2B/commercial opportunity ($120T+ market) remains largely untapped. Cross-border recovery and emerging market penetration provide multi-year growth runway.</t>
  </si>
  <si>
    <t>Bear Thesis:</t>
  </si>
  <si>
    <t>Current valuation at $530 (~35x P/E) requires flawless execution and leaves no margin for error. Regulatory headwinds intensifying globally with interchange fee caps and antitrust scrutiny. Competition from national payment schemes, fintechs, and account-to-account mandates threatens long-term market position. Customer concentration risk and pricing pressure from large issuers/acquirers. Macro slowdown would impact discretionary spending and cross-border travel. China opportunity limited by entrenched local players.</t>
  </si>
  <si>
    <t>Base Case View:</t>
  </si>
  <si>
    <t>At $530, Mastercard appears overvalued relative to DCF intrinsic value of $277 (48% downside). Stock has benefited from multiple expansion in recent years. While business fundamentals remain strong with excellent FCF generation and growth opportunities, current price requires sustained double-digit growth that may be challenging given maturity in developed markets and regulatory pressures. Entry price of $171 (68% below current) would provide 15% CAGR to terminal value.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</si>
</sst>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&quot;$&quot;#,##0.00"/>
    <numFmt numFmtId="167" formatCode="$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D6303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0" fontId="6" fillId="0" borderId="0" xfId="0" applyFont="1" applyAlignment="1">
      <alignment wrapText="1"/>
    </xf>
    <xf numFmtId="165" fontId="4" fillId="3" borderId="0" xfId="0" applyNumberFormat="1" applyFont="1" applyFill="1"/>
    <xf numFmtId="166" fontId="5" fillId="5" borderId="2" xfId="0" applyNumberFormat="1" applyFont="1" applyFill="1" applyBorder="1"/>
    <xf numFmtId="167" fontId="0" fillId="0" borderId="2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530</v>
      </c>
    </row>
    <row r="6" spans="1:6">
      <c r="A6" t="s">
        <v>4</v>
      </c>
      <c r="B6" s="4">
        <v>927</v>
      </c>
    </row>
    <row r="7" spans="1:6">
      <c r="A7" t="s">
        <v>5</v>
      </c>
      <c r="B7" s="4">
        <v>8442</v>
      </c>
    </row>
    <row r="8" spans="1:6">
      <c r="A8" t="s">
        <v>6</v>
      </c>
      <c r="B8" s="4">
        <v>18226</v>
      </c>
    </row>
    <row r="9" spans="1:6">
      <c r="A9" t="s">
        <v>7</v>
      </c>
      <c r="B9" s="5">
        <f>B8-B7</f>
        <v>0</v>
      </c>
    </row>
    <row r="10" spans="1:6">
      <c r="A10" t="s">
        <v>8</v>
      </c>
      <c r="B10" s="4">
        <v>13586</v>
      </c>
    </row>
    <row r="12" spans="1:6">
      <c r="A12" t="s">
        <v>9</v>
      </c>
      <c r="B12" s="6">
        <v>0.1</v>
      </c>
    </row>
    <row r="13" spans="1:6">
      <c r="A13" t="s">
        <v>10</v>
      </c>
      <c r="B13" s="6">
        <v>0.03</v>
      </c>
    </row>
    <row r="14" spans="1:6">
      <c r="A14" t="s">
        <v>11</v>
      </c>
      <c r="B14" s="6">
        <v>0.482</v>
      </c>
    </row>
    <row r="16" spans="1:6">
      <c r="A16" s="3" t="s">
        <v>12</v>
      </c>
      <c r="B16" s="7" t="s">
        <v>14</v>
      </c>
      <c r="C16" s="7" t="s">
        <v>15</v>
      </c>
      <c r="D16" s="7" t="s">
        <v>16</v>
      </c>
      <c r="E16" s="7" t="s">
        <v>17</v>
      </c>
      <c r="F16" s="7" t="s">
        <v>18</v>
      </c>
    </row>
    <row r="17" spans="1:7">
      <c r="A17" t="s">
        <v>13</v>
      </c>
      <c r="B17" s="6">
        <v>0.12</v>
      </c>
      <c r="C17" s="6">
        <v>0.11</v>
      </c>
      <c r="D17" s="6">
        <v>0.1</v>
      </c>
      <c r="E17" s="6">
        <v>0.09</v>
      </c>
      <c r="F17" s="6">
        <v>0.07000000000000001</v>
      </c>
    </row>
    <row r="19" spans="1:7">
      <c r="A19" s="3" t="s">
        <v>19</v>
      </c>
    </row>
    <row r="20" spans="1:7">
      <c r="A20" s="7"/>
      <c r="B20" s="7" t="s">
        <v>20</v>
      </c>
      <c r="C20" s="7" t="s">
        <v>14</v>
      </c>
      <c r="D20" s="7" t="s">
        <v>15</v>
      </c>
      <c r="E20" s="7" t="s">
        <v>16</v>
      </c>
      <c r="F20" s="7" t="s">
        <v>17</v>
      </c>
      <c r="G20" s="7" t="s">
        <v>18</v>
      </c>
    </row>
    <row r="21" spans="1:7">
      <c r="A21" t="s">
        <v>21</v>
      </c>
      <c r="B21" s="5">
        <f>B10</f>
        <v>0</v>
      </c>
      <c r="C21" s="5">
        <f>B21*(1+B17)</f>
        <v>0</v>
      </c>
      <c r="D21" s="5">
        <f>C21*(1+C17)</f>
        <v>0</v>
      </c>
      <c r="E21" s="5">
        <f>D21*(1+D17)</f>
        <v>0</v>
      </c>
      <c r="F21" s="5">
        <f>E21*(1+E17)</f>
        <v>0</v>
      </c>
      <c r="G21" s="5">
        <f>F21*(1+F17)</f>
        <v>0</v>
      </c>
    </row>
    <row r="22" spans="1:7">
      <c r="A22" t="s">
        <v>22</v>
      </c>
      <c r="C22" s="5">
        <f>1/(1+$B$12)^1</f>
        <v>0</v>
      </c>
      <c r="D22" s="5">
        <f>1/(1+$B$12)^2</f>
        <v>0</v>
      </c>
      <c r="E22" s="5">
        <f>1/(1+$B$12)^3</f>
        <v>0</v>
      </c>
      <c r="F22" s="5">
        <f>1/(1+$B$12)^4</f>
        <v>0</v>
      </c>
      <c r="G22" s="5">
        <f>1/(1+$B$12)^5</f>
        <v>0</v>
      </c>
    </row>
    <row r="23" spans="1:7">
      <c r="A23" t="s">
        <v>23</v>
      </c>
      <c r="C23" s="5">
        <f>C21*C22</f>
        <v>0</v>
      </c>
      <c r="D23" s="5">
        <f>D21*D22</f>
        <v>0</v>
      </c>
      <c r="E23" s="5">
        <f>E21*E22</f>
        <v>0</v>
      </c>
      <c r="F23" s="5">
        <f>F21*F22</f>
        <v>0</v>
      </c>
      <c r="G23" s="5">
        <f>G21*G22</f>
        <v>0</v>
      </c>
    </row>
    <row r="25" spans="1:7">
      <c r="A25" s="3" t="s">
        <v>24</v>
      </c>
    </row>
    <row r="26" spans="1:7">
      <c r="A26" t="s">
        <v>25</v>
      </c>
      <c r="B26" s="5">
        <f>SUM(C23:G23)</f>
        <v>0</v>
      </c>
    </row>
    <row r="27" spans="1:7">
      <c r="A27" t="s">
        <v>26</v>
      </c>
      <c r="B27" s="5">
        <f>G21*(1+$B$13)</f>
        <v>0</v>
      </c>
    </row>
    <row r="28" spans="1:7">
      <c r="A28" t="s">
        <v>27</v>
      </c>
      <c r="B28" s="5">
        <f>B27/($B$12-$B$13)</f>
        <v>0</v>
      </c>
    </row>
    <row r="29" spans="1:7">
      <c r="A29" t="s">
        <v>28</v>
      </c>
      <c r="B29" s="5">
        <f>B28*G22</f>
        <v>0</v>
      </c>
    </row>
    <row r="30" spans="1:7">
      <c r="A30" t="s">
        <v>29</v>
      </c>
      <c r="B30" s="5">
        <f>B26+B29</f>
        <v>0</v>
      </c>
    </row>
    <row r="31" spans="1:7">
      <c r="A31" t="s">
        <v>30</v>
      </c>
      <c r="B31" s="5">
        <f>B9</f>
        <v>0</v>
      </c>
    </row>
    <row r="32" spans="1:7">
      <c r="A32" t="s">
        <v>31</v>
      </c>
      <c r="B32" s="5">
        <f>B30-B31</f>
        <v>0</v>
      </c>
    </row>
    <row r="33" spans="1:8">
      <c r="A33" s="8" t="s">
        <v>32</v>
      </c>
      <c r="B33" s="9">
        <f>B32/B6</f>
        <v>0</v>
      </c>
    </row>
    <row r="34" spans="1:8">
      <c r="A34" t="s">
        <v>33</v>
      </c>
      <c r="B34" s="10">
        <f>(B33-B5)/B5</f>
        <v>0</v>
      </c>
    </row>
    <row r="36" spans="1:8">
      <c r="A36" s="3" t="s">
        <v>34</v>
      </c>
    </row>
    <row r="37" spans="1:8">
      <c r="A37" t="s">
        <v>35</v>
      </c>
      <c r="B37" s="11">
        <f>B28/B6</f>
        <v>0</v>
      </c>
    </row>
    <row r="38" spans="1:8">
      <c r="A38" t="s">
        <v>36</v>
      </c>
      <c r="B38" s="9">
        <f>B37/(1.15^5)</f>
        <v>0</v>
      </c>
    </row>
    <row r="39" spans="1:8">
      <c r="A39" t="s">
        <v>37</v>
      </c>
      <c r="B39" s="10">
        <f>(B38-B5)/B5</f>
        <v>0</v>
      </c>
    </row>
    <row r="41" spans="1:8">
      <c r="A41" s="3" t="s">
        <v>38</v>
      </c>
    </row>
    <row r="42" spans="1:8">
      <c r="A42" s="7" t="s">
        <v>39</v>
      </c>
      <c r="B42" s="7" t="s">
        <v>40</v>
      </c>
      <c r="C42" s="7" t="s">
        <v>9</v>
      </c>
      <c r="D42" s="7" t="s">
        <v>41</v>
      </c>
      <c r="E42" s="7" t="s">
        <v>42</v>
      </c>
      <c r="F42" s="7" t="s">
        <v>43</v>
      </c>
      <c r="G42" s="7" t="s">
        <v>44</v>
      </c>
      <c r="H42" s="7" t="s">
        <v>45</v>
      </c>
    </row>
    <row r="43" spans="1:8">
      <c r="A43" s="8" t="s">
        <v>46</v>
      </c>
      <c r="B43" t="s">
        <v>47</v>
      </c>
      <c r="C43" s="10">
        <v>0.09</v>
      </c>
      <c r="D43" s="10">
        <v>0.035</v>
      </c>
      <c r="E43" s="5">
        <v>26118.435915264</v>
      </c>
      <c r="F43" s="5">
        <v>491501.475859968</v>
      </c>
      <c r="G43" s="11">
        <v>519.6520775188436</v>
      </c>
      <c r="H43" s="10">
        <f>(G43-$B$5)/$B$5</f>
        <v>0</v>
      </c>
    </row>
    <row r="44" spans="1:8">
      <c r="A44" s="8" t="s">
        <v>48</v>
      </c>
      <c r="B44" t="s">
        <v>49</v>
      </c>
      <c r="C44" s="10">
        <f>B12</f>
        <v>0</v>
      </c>
      <c r="D44" s="10">
        <f>B13</f>
        <v>0</v>
      </c>
      <c r="E44" s="5">
        <f>G21</f>
        <v>0</v>
      </c>
      <c r="F44" s="5">
        <f>B28</f>
        <v>0</v>
      </c>
      <c r="G44" s="11">
        <f>B33</f>
        <v>0</v>
      </c>
      <c r="H44" s="10">
        <f>B34</f>
        <v>0</v>
      </c>
    </row>
    <row r="45" spans="1:8">
      <c r="A45" s="8" t="s">
        <v>50</v>
      </c>
      <c r="B45" t="s">
        <v>51</v>
      </c>
      <c r="C45" s="10">
        <v>0.115</v>
      </c>
      <c r="D45" s="10">
        <v>0.025</v>
      </c>
      <c r="E45" s="5">
        <v>17331.698132112</v>
      </c>
      <c r="F45" s="5">
        <v>197388.7842823867</v>
      </c>
      <c r="G45" s="11">
        <v>202.3784080716145</v>
      </c>
      <c r="H45" s="10">
        <f>(G45-$B$5)/$B$5</f>
        <v>0</v>
      </c>
    </row>
    <row r="47" spans="1:8">
      <c r="A47" s="8" t="s">
        <v>52</v>
      </c>
      <c r="B47" t="s">
        <v>53</v>
      </c>
      <c r="G47" s="9">
        <f>G43*0.25+G44*0.50+G45*0.25</f>
        <v>0</v>
      </c>
      <c r="H47" s="10">
        <f>(G47-$B$5)/$B$5</f>
        <v>0</v>
      </c>
    </row>
    <row r="49" spans="1:7">
      <c r="A49" s="3" t="s">
        <v>54</v>
      </c>
    </row>
    <row r="50" spans="1:7">
      <c r="A50" t="s">
        <v>55</v>
      </c>
      <c r="B50" s="5">
        <v>28167</v>
      </c>
    </row>
    <row r="51" spans="1:7">
      <c r="A51" t="s">
        <v>56</v>
      </c>
      <c r="B51" s="10">
        <v>0.553</v>
      </c>
    </row>
    <row r="52" spans="1:7">
      <c r="A52" t="s">
        <v>57</v>
      </c>
      <c r="B52" s="5">
        <v>12874</v>
      </c>
    </row>
    <row r="53" spans="1:7">
      <c r="A53" t="s">
        <v>58</v>
      </c>
      <c r="B53" s="5">
        <v>13586</v>
      </c>
    </row>
    <row r="54" spans="1:7">
      <c r="A54" t="s">
        <v>11</v>
      </c>
      <c r="B54" s="10">
        <v>0.482</v>
      </c>
    </row>
    <row r="55" spans="1:7">
      <c r="A55" t="s">
        <v>59</v>
      </c>
      <c r="B55" s="10">
        <f>B53/B52</f>
        <v>0</v>
      </c>
    </row>
    <row r="57" spans="1:7">
      <c r="A57" s="12" t="s">
        <v>60</v>
      </c>
      <c r="B57" s="12"/>
      <c r="C57" s="12"/>
      <c r="D57" s="12"/>
      <c r="E57" s="12"/>
      <c r="F57" s="12"/>
      <c r="G57" s="12"/>
    </row>
  </sheetData>
  <mergeCells count="1">
    <mergeCell ref="A57:G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4.7109375" customWidth="1"/>
  </cols>
  <sheetData>
    <row r="1" spans="1:6">
      <c r="A1" s="1" t="s">
        <v>61</v>
      </c>
    </row>
    <row r="2" spans="1:6">
      <c r="A2" t="s">
        <v>62</v>
      </c>
    </row>
    <row r="4" spans="1:6">
      <c r="A4" s="7" t="s">
        <v>63</v>
      </c>
      <c r="B4" s="13">
        <v>0.02</v>
      </c>
      <c r="C4" s="13">
        <v>0.025</v>
      </c>
      <c r="D4" s="13">
        <v>0.03</v>
      </c>
      <c r="E4" s="13">
        <v>0.035</v>
      </c>
      <c r="F4" s="13">
        <v>0.04</v>
      </c>
    </row>
    <row r="5" spans="1:6">
      <c r="A5" s="13">
        <v>0.08</v>
      </c>
      <c r="B5" s="11">
        <f>(('DCF Model'!$G$21*(1+0.02)/(0.08-0.02))/(1+0.08)^5 + 'DCF Model'!$B$26 - 'DCF Model'!$B$9)/'DCF Model'!$B$6</f>
        <v>0</v>
      </c>
      <c r="C5" s="11">
        <f>(('DCF Model'!$G$21*(1+0.025)/(0.08-0.025))/(1+0.08)^5 + 'DCF Model'!$B$26 - 'DCF Model'!$B$9)/'DCF Model'!$B$6</f>
        <v>0</v>
      </c>
      <c r="D5" s="11">
        <f>(('DCF Model'!$G$21*(1+0.03)/(0.08-0.03))/(1+0.08)^5 + 'DCF Model'!$B$26 - 'DCF Model'!$B$9)/'DCF Model'!$B$6</f>
        <v>0</v>
      </c>
      <c r="E5" s="11">
        <f>(('DCF Model'!$G$21*(1+0.035)/(0.08-0.035))/(1+0.08)^5 + 'DCF Model'!$B$26 - 'DCF Model'!$B$9)/'DCF Model'!$B$6</f>
        <v>0</v>
      </c>
      <c r="F5" s="11">
        <f>(('DCF Model'!$G$21*(1+0.04)/(0.08-0.04))/(1+0.08)^5 + 'DCF Model'!$B$26 - 'DCF Model'!$B$9)/'DCF Model'!$B$6</f>
        <v>0</v>
      </c>
    </row>
    <row r="6" spans="1:6">
      <c r="A6" s="13">
        <v>0.09</v>
      </c>
      <c r="B6" s="11">
        <f>(('DCF Model'!$G$21*(1+0.02)/(0.09-0.02))/(1+0.09)^5 + 'DCF Model'!$B$26 - 'DCF Model'!$B$9)/'DCF Model'!$B$6</f>
        <v>0</v>
      </c>
      <c r="C6" s="11">
        <f>(('DCF Model'!$G$21*(1+0.025)/(0.09-0.025))/(1+0.09)^5 + 'DCF Model'!$B$26 - 'DCF Model'!$B$9)/'DCF Model'!$B$6</f>
        <v>0</v>
      </c>
      <c r="D6" s="14">
        <f>(('DCF Model'!$G$21*(1+0.03)/(0.10-0.03))/(1+0.10)^5 + 'DCF Model'!$B$26 - 'DCF Model'!$B$9)/'DCF Model'!$B$6</f>
        <v>0</v>
      </c>
      <c r="E6" s="11">
        <f>(('DCF Model'!$G$21*(1+0.035)/(0.09-0.035))/(1+0.09)^5 + 'DCF Model'!$B$26 - 'DCF Model'!$B$9)/'DCF Model'!$B$6</f>
        <v>0</v>
      </c>
      <c r="F6" s="11">
        <f>(('DCF Model'!$G$21*(1+0.04)/(0.09-0.04))/(1+0.09)^5 + 'DCF Model'!$B$26 - 'DCF Model'!$B$9)/'DCF Model'!$B$6</f>
        <v>0</v>
      </c>
    </row>
    <row r="7" spans="1:6">
      <c r="A7" s="13">
        <v>0.1</v>
      </c>
      <c r="B7" s="11">
        <f>(('DCF Model'!$G$21*(1+0.02)/(0.1-0.02))/(1+0.1)^5 + 'DCF Model'!$B$26 - 'DCF Model'!$B$9)/'DCF Model'!$B$6</f>
        <v>0</v>
      </c>
      <c r="C7" s="11">
        <f>(('DCF Model'!$G$21*(1+0.025)/(0.1-0.025))/(1+0.1)^5 + 'DCF Model'!$B$26 - 'DCF Model'!$B$9)/'DCF Model'!$B$6</f>
        <v>0</v>
      </c>
      <c r="D7" s="11">
        <f>(('DCF Model'!$G$21*(1+0.03)/(0.1-0.03))/(1+0.1)^5 + 'DCF Model'!$B$26 - 'DCF Model'!$B$9)/'DCF Model'!$B$6</f>
        <v>0</v>
      </c>
      <c r="E7" s="11">
        <f>(('DCF Model'!$G$21*(1+0.035)/(0.1-0.035))/(1+0.1)^5 + 'DCF Model'!$B$26 - 'DCF Model'!$B$9)/'DCF Model'!$B$6</f>
        <v>0</v>
      </c>
      <c r="F7" s="11">
        <f>(('DCF Model'!$G$21*(1+0.04)/(0.1-0.04))/(1+0.1)^5 + 'DCF Model'!$B$26 - 'DCF Model'!$B$9)/'DCF Model'!$B$6</f>
        <v>0</v>
      </c>
    </row>
    <row r="8" spans="1:6">
      <c r="A8" s="13">
        <v>0.11</v>
      </c>
      <c r="B8" s="11">
        <f>(('DCF Model'!$G$21*(1+0.02)/(0.11-0.02))/(1+0.11)^5 + 'DCF Model'!$B$26 - 'DCF Model'!$B$9)/'DCF Model'!$B$6</f>
        <v>0</v>
      </c>
      <c r="C8" s="11">
        <f>(('DCF Model'!$G$21*(1+0.025)/(0.11-0.025))/(1+0.11)^5 + 'DCF Model'!$B$26 - 'DCF Model'!$B$9)/'DCF Model'!$B$6</f>
        <v>0</v>
      </c>
      <c r="D8" s="11">
        <f>(('DCF Model'!$G$21*(1+0.03)/(0.11-0.03))/(1+0.11)^5 + 'DCF Model'!$B$26 - 'DCF Model'!$B$9)/'DCF Model'!$B$6</f>
        <v>0</v>
      </c>
      <c r="E8" s="11">
        <f>(('DCF Model'!$G$21*(1+0.035)/(0.11-0.035))/(1+0.11)^5 + 'DCF Model'!$B$26 - 'DCF Model'!$B$9)/'DCF Model'!$B$6</f>
        <v>0</v>
      </c>
      <c r="F8" s="11">
        <f>(('DCF Model'!$G$21*(1+0.04)/(0.11-0.04))/(1+0.11)^5 + 'DCF Model'!$B$26 - 'DCF Model'!$B$9)/'DCF Model'!$B$6</f>
        <v>0</v>
      </c>
    </row>
    <row r="9" spans="1:6">
      <c r="A9" s="13">
        <v>0.12</v>
      </c>
      <c r="B9" s="11">
        <f>(('DCF Model'!$G$21*(1+0.02)/(0.12-0.02))/(1+0.12)^5 + 'DCF Model'!$B$26 - 'DCF Model'!$B$9)/'DCF Model'!$B$6</f>
        <v>0</v>
      </c>
      <c r="C9" s="11">
        <f>(('DCF Model'!$G$21*(1+0.025)/(0.12-0.025))/(1+0.12)^5 + 'DCF Model'!$B$26 - 'DCF Model'!$B$9)/'DCF Model'!$B$6</f>
        <v>0</v>
      </c>
      <c r="D9" s="11">
        <f>(('DCF Model'!$G$21*(1+0.03)/(0.12-0.03))/(1+0.12)^5 + 'DCF Model'!$B$26 - 'DCF Model'!$B$9)/'DCF Model'!$B$6</f>
        <v>0</v>
      </c>
      <c r="E9" s="11">
        <f>(('DCF Model'!$G$21*(1+0.035)/(0.12-0.035))/(1+0.12)^5 + 'DCF Model'!$B$26 - 'DCF Model'!$B$9)/'DCF Model'!$B$6</f>
        <v>0</v>
      </c>
      <c r="F9" s="11">
        <f>(('DCF Model'!$G$21*(1+0.04)/(0.12-0.04))/(1+0.12)^5 + 'DCF Model'!$B$26 - 'DCF Model'!$B$9)/'DCF Model'!$B$6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1" width="20.7109375" customWidth="1"/>
    <col min="2" max="4" width="15.7109375" customWidth="1"/>
  </cols>
  <sheetData>
    <row r="1" spans="1:6">
      <c r="A1" s="1" t="s">
        <v>64</v>
      </c>
    </row>
    <row r="3" spans="1:6">
      <c r="A3" s="7" t="s">
        <v>65</v>
      </c>
      <c r="B3" s="7" t="s">
        <v>66</v>
      </c>
      <c r="C3" s="7" t="s">
        <v>67</v>
      </c>
      <c r="D3" s="7" t="s">
        <v>68</v>
      </c>
    </row>
    <row r="4" spans="1:6">
      <c r="A4" t="s">
        <v>69</v>
      </c>
      <c r="B4" s="10">
        <v>0.141</v>
      </c>
      <c r="C4" s="10">
        <v>0.108</v>
      </c>
      <c r="D4" t="s">
        <v>70</v>
      </c>
    </row>
    <row r="5" spans="1:6">
      <c r="A5" t="s">
        <v>71</v>
      </c>
      <c r="B5" s="10">
        <v>0.165</v>
      </c>
      <c r="C5" s="10">
        <v>0.118</v>
      </c>
      <c r="D5" t="s">
        <v>72</v>
      </c>
    </row>
    <row r="6" spans="1:6">
      <c r="A6" t="s">
        <v>73</v>
      </c>
      <c r="B6" s="10">
        <v>-0.039</v>
      </c>
      <c r="C6" s="10">
        <v>0.019</v>
      </c>
      <c r="D6" t="s">
        <v>74</v>
      </c>
    </row>
    <row r="7" spans="1:6">
      <c r="A7" t="s">
        <v>75</v>
      </c>
      <c r="B7" s="10">
        <v>0.163</v>
      </c>
      <c r="C7" s="10">
        <v>0.128</v>
      </c>
      <c r="D7" t="s">
        <v>76</v>
      </c>
    </row>
    <row r="9" spans="1:6">
      <c r="A9" s="8" t="s">
        <v>77</v>
      </c>
      <c r="B9" s="10">
        <v>0.108</v>
      </c>
    </row>
    <row r="10" spans="1:6">
      <c r="A10" t="s">
        <v>78</v>
      </c>
      <c r="B10" t="s">
        <v>79</v>
      </c>
    </row>
    <row r="12" spans="1:6">
      <c r="A12" s="3" t="s">
        <v>80</v>
      </c>
    </row>
    <row r="13" spans="1:6">
      <c r="A13" s="7" t="s">
        <v>81</v>
      </c>
      <c r="B13" s="7" t="s">
        <v>55</v>
      </c>
      <c r="C13" s="7" t="s">
        <v>57</v>
      </c>
      <c r="D13" s="7" t="s">
        <v>82</v>
      </c>
      <c r="E13" s="7" t="s">
        <v>71</v>
      </c>
      <c r="F13" s="7" t="s">
        <v>83</v>
      </c>
    </row>
    <row r="14" spans="1:6">
      <c r="A14" t="s">
        <v>84</v>
      </c>
      <c r="B14" s="5">
        <v>16883</v>
      </c>
      <c r="C14" s="5">
        <v>8118</v>
      </c>
      <c r="D14" s="5">
        <v>7455</v>
      </c>
      <c r="E14" s="15">
        <v>7.94</v>
      </c>
      <c r="F14" s="5">
        <v>5893</v>
      </c>
    </row>
    <row r="15" spans="1:6">
      <c r="A15" t="s">
        <v>85</v>
      </c>
      <c r="B15" s="5">
        <v>15301</v>
      </c>
      <c r="C15" s="5">
        <v>6411</v>
      </c>
      <c r="D15" s="5">
        <v>6516</v>
      </c>
      <c r="E15" s="15">
        <v>6.37</v>
      </c>
      <c r="F15" s="5">
        <v>6391</v>
      </c>
    </row>
    <row r="16" spans="1:6">
      <c r="A16" t="s">
        <v>86</v>
      </c>
      <c r="B16" s="5">
        <v>18884</v>
      </c>
      <c r="C16" s="5">
        <v>8687</v>
      </c>
      <c r="D16" s="5">
        <v>8649</v>
      </c>
      <c r="E16" s="15">
        <v>8.76</v>
      </c>
      <c r="F16" s="5">
        <v>7312</v>
      </c>
    </row>
    <row r="17" spans="1:6">
      <c r="A17" t="s">
        <v>87</v>
      </c>
      <c r="B17" s="5">
        <v>22237</v>
      </c>
      <c r="C17" s="5">
        <v>9930</v>
      </c>
      <c r="D17" s="5">
        <v>10098</v>
      </c>
      <c r="E17" s="15">
        <v>10.22</v>
      </c>
      <c r="F17" s="5">
        <v>6298</v>
      </c>
    </row>
    <row r="18" spans="1:6">
      <c r="A18" t="s">
        <v>88</v>
      </c>
      <c r="B18" s="5">
        <v>25098</v>
      </c>
      <c r="C18" s="5">
        <v>11195</v>
      </c>
      <c r="D18" s="5">
        <v>10892</v>
      </c>
      <c r="E18" s="15">
        <v>11.83</v>
      </c>
      <c r="F18" s="5">
        <v>6929</v>
      </c>
    </row>
    <row r="19" spans="1:6">
      <c r="A19" t="s">
        <v>89</v>
      </c>
      <c r="B19" s="5">
        <v>28167</v>
      </c>
      <c r="C19" s="5">
        <v>12874</v>
      </c>
      <c r="D19" s="5">
        <v>13586</v>
      </c>
      <c r="E19" s="15">
        <v>13.89</v>
      </c>
      <c r="F19" s="5">
        <v>6485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20.7109375" customWidth="1"/>
  </cols>
  <sheetData>
    <row r="1" spans="1:1">
      <c r="A1" s="1" t="s">
        <v>90</v>
      </c>
    </row>
    <row r="3" spans="1:1">
      <c r="A3" s="3" t="s">
        <v>91</v>
      </c>
    </row>
    <row r="4" spans="1:1">
      <c r="A4" s="16" t="s">
        <v>92</v>
      </c>
    </row>
    <row r="6" spans="1:1">
      <c r="A6" s="3" t="s">
        <v>93</v>
      </c>
    </row>
    <row r="7" spans="1:1">
      <c r="A7" s="16" t="s">
        <v>94</v>
      </c>
    </row>
    <row r="9" spans="1:1">
      <c r="A9" s="3" t="s">
        <v>95</v>
      </c>
    </row>
    <row r="10" spans="1:1">
      <c r="A10" s="16" t="s">
        <v>96</v>
      </c>
    </row>
    <row r="12" spans="1:1">
      <c r="A12" s="3" t="s">
        <v>97</v>
      </c>
    </row>
    <row r="13" spans="1:1">
      <c r="A13" t="s">
        <v>98</v>
      </c>
    </row>
    <row r="14" spans="1:1">
      <c r="A14" t="s">
        <v>99</v>
      </c>
    </row>
    <row r="15" spans="1:1">
      <c r="A15" t="s">
        <v>100</v>
      </c>
    </row>
    <row r="16" spans="1:1">
      <c r="A16" t="s">
        <v>101</v>
      </c>
    </row>
    <row r="17" spans="1:1">
      <c r="A17" s="3" t="s">
        <v>102</v>
      </c>
    </row>
    <row r="18" spans="1:1">
      <c r="A18" s="8" t="s">
        <v>103</v>
      </c>
    </row>
    <row r="19" spans="1:1">
      <c r="A19" s="16" t="s">
        <v>104</v>
      </c>
    </row>
    <row r="21" spans="1:1">
      <c r="A21" s="8" t="s">
        <v>105</v>
      </c>
    </row>
    <row r="22" spans="1:1">
      <c r="A22" s="16" t="s">
        <v>106</v>
      </c>
    </row>
    <row r="24" spans="1:1">
      <c r="A24" s="8" t="s">
        <v>107</v>
      </c>
    </row>
    <row r="25" spans="1:1">
      <c r="A25" s="1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2026-02-04T23:47:45Z</dcterms:created>
  <dcterms:modified xsi:type="dcterms:W3CDTF">2026-02-04T23:47:45Z</dcterms:modified>
</cp:coreProperties>
</file>