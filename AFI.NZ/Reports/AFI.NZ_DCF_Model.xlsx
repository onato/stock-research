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TA Model" sheetId="1" r:id="rId1"/>
    <sheet name="Sensitivity" sheetId="2" r:id="rId2"/>
    <sheet name="Historical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<sst xmlns="http://schemas.openxmlformats.org/spreadsheetml/2006/main" count="139" uniqueCount="119">
  <si>
    <t>AFI.NZ - AFIC NTA-Compounding Valuation Model</t>
  </si>
  <si>
    <t>LIC valuation: NTA total-return compounding + exit discount/premium (NOT a standard FCF DCF). Gray cells are INPUTS.</t>
  </si>
  <si>
    <t>KEY INPUTS</t>
  </si>
  <si>
    <t>Current Price - NZX (NZ$, AFI.NZ)</t>
  </si>
  <si>
    <t>Current Price - ASX (A$, AFI.AX)</t>
  </si>
  <si>
    <t>AUDNZD FX rate</t>
  </si>
  <si>
    <t>Pre-tax NTA per share (A$, latest)</t>
  </si>
  <si>
    <t>Shares Outstanding (M)</t>
  </si>
  <si>
    <t>Net Cash (A$M)</t>
  </si>
  <si>
    <t>Current Price / NTA discount (A$ basis)</t>
  </si>
  <si>
    <t>Cost of Equity (CoE)</t>
  </si>
  <si>
    <t>Dividend payout yield (all scenarios)</t>
  </si>
  <si>
    <t>SCENARIO ASSUMPTIONS</t>
  </si>
  <si>
    <t>Bear</t>
  </si>
  <si>
    <t>Base</t>
  </si>
  <si>
    <t>Bull</t>
  </si>
  <si>
    <t>NTA Total Return p.a.</t>
  </si>
  <si>
    <t>Implied NTA/share growth (= total return - div yield)</t>
  </si>
  <si>
    <t>Exit discount/(premium) to NTA, Yr5</t>
  </si>
  <si>
    <t>NTA &amp; DIVIDEND PROJECTIONS (A$ per share)</t>
  </si>
  <si>
    <t>BEAR</t>
  </si>
  <si>
    <t>FY2027</t>
  </si>
  <si>
    <t>FY2028</t>
  </si>
  <si>
    <t>FY2029</t>
  </si>
  <si>
    <t>FY2030</t>
  </si>
  <si>
    <t>FY2031</t>
  </si>
  <si>
    <t>NTA/share</t>
  </si>
  <si>
    <t>Dividend/share</t>
  </si>
  <si>
    <t>BASE</t>
  </si>
  <si>
    <t>BULL</t>
  </si>
  <si>
    <t>HEADLINE VALUATION (current NTA x fair exit discount)</t>
  </si>
  <si>
    <t>Intrinsic Value (A$)</t>
  </si>
  <si>
    <t>Intrinsic Value (NZ$)</t>
  </si>
  <si>
    <t>Upside vs current NZX price</t>
  </si>
  <si>
    <t>Implied P/NTA</t>
  </si>
  <si>
    <t>5-YEAR IRR BUILD (memo, discounted at CoE)</t>
  </si>
  <si>
    <t>Year-5 NTA/share (A$)</t>
  </si>
  <si>
    <t>Year-5 exit price (A$) = Y5 NTA x (1+exit disc)</t>
  </si>
  <si>
    <t>PV of dividends @ CoE (NPV yrs1-5)</t>
  </si>
  <si>
    <t>PV of exit value @ CoE</t>
  </si>
  <si>
    <t>5yr-build Fair Value (A$)</t>
  </si>
  <si>
    <t>5yr-build Fair Value (NZ$)</t>
  </si>
  <si>
    <t>ENTRY PRICE (15% IRR Target, base case cashflows)</t>
  </si>
  <si>
    <t>Hurdle rate</t>
  </si>
  <si>
    <t>PV of dividends @ 15% (base)</t>
  </si>
  <si>
    <t>PV of exit value @ 15% (base)</t>
  </si>
  <si>
    <t>Entry Price (A$)</t>
  </si>
  <si>
    <t>Entry Price (NZ$)</t>
  </si>
  <si>
    <t>Entry discount from current NZX price</t>
  </si>
  <si>
    <t>Note</t>
  </si>
  <si>
    <t>A 15% IRR from a ~7.5% total-return asset requires a very deep discount to NTA; entry price is expected to sit far below current price and below AFIC historical discount range.</t>
  </si>
  <si>
    <t>Prospective 5yr IRR if bought TODAY at current NZX price (base case)</t>
  </si>
  <si>
    <t>Cashflow array (Yr0=-price, Yr1-4=div, Yr5=div+exit), NZ$</t>
  </si>
  <si>
    <t>IRR at current price (base case)</t>
  </si>
  <si>
    <t>Sensitivity Analysis</t>
  </si>
  <si>
    <t>5yr-build Fair Value (A$) by Exit Discount (rows) x NTA Total Return (cols)</t>
  </si>
  <si>
    <t>Discount \ Return</t>
  </si>
  <si>
    <t>Note: uses 4.0% dividend payout yield for all cells (matches base assumption). Discount row -6% / return column 7.5% = base case.</t>
  </si>
  <si>
    <t>AFIC Historical NTA &amp; Dividend Data (A$)</t>
  </si>
  <si>
    <t>Period</t>
  </si>
  <si>
    <t>Pre-tax NTA/sh</t>
  </si>
  <si>
    <t>After-tax NTA/sh</t>
  </si>
  <si>
    <t>DPS (c)</t>
  </si>
  <si>
    <t>NPAT (A$m)</t>
  </si>
  <si>
    <t>Shares (M)</t>
  </si>
  <si>
    <t>MER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</si>
  <si>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</si>
  <si>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</si>
  <si>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</si>
  <si>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</si>
  <si>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</si>
  <si>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</si>
  <si>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</si>
  <si>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</si>
  <si>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</si>
  <si>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</si>
  <si>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</si>
  <si>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</si>
  <si>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Historical NTA Total-Return CAGRs</t>
  </si>
  <si>
    <t>5yr (FY21-FY26)</t>
  </si>
  <si>
    <t>10yr (FY16-FY26)</t>
  </si>
  <si>
    <t>Company-reported 10yr investment return</t>
  </si>
  <si>
    <t>Company-reported 10yr benchmark return</t>
  </si>
  <si>
    <t>Selected base-case total return assumption</t>
  </si>
  <si>
    <t>Model Provenance &amp; Methodology Notes</t>
  </si>
  <si>
    <t>Ticker</t>
  </si>
  <si>
    <t>AFI.NZ (NZX) / AFI.AX (ASX) - Australian Foundation Investment Company Limited</t>
  </si>
  <si>
    <t>Built by</t>
  </si>
  <si>
    <t>Claude (dcf-analyst agent), adapted per user instruction for LIC/closed-end fund valuation</t>
  </si>
  <si>
    <t>Build date</t>
  </si>
  <si>
    <t>2026-07-31</t>
  </si>
  <si>
    <t>Price data vintage</t>
  </si>
  <si>
    <t>NZX AFI.NZ live quote NZ$8.27, ASX AFI.AX live quote A$6.86, AUDNZD=X 1.19807 - all fetched from Yahoo Finance at build time (2026-07-31). RE-FETCH before relying on this model after any elapsed time; FX and prices move daily.</t>
  </si>
  <si>
    <t>Fundamental data vintage</t>
  </si>
  <si>
    <t>FY2026 headline results released 2026-07-27 (NPAT A$293.5m, pre-tax NTA/share A$7.93 at 30-Jun-2026, DPS 31.5c fully franked, portfolio return 0.9% vs ASX200 Accum 7.2%) per AFI.NZ_Analysis.json. Full FY2026 annual report text was not yet available in Extracted/ at build time (only H1-2026 to Dec-2025 was extracted, NTA $7.90). The FY2026 pre-tax NTA of $7.93 from the results announcement was used as the anchor in place of the H1 figure.</t>
  </si>
  <si>
    <t>Methodology</t>
  </si>
  <si>
    <t>NTA (net tangible assets) total-return compounding + exit discount/premium model - the standard approach for closed-end LICs/holdcos in this research folder (see also FIH.U Fairfax India, FRFHF Fairfax). NOT a standard FCF DCF: AFIC is an internally-managed investment company holding a ~A$9.8bn ASX-listed equity portfolio; "free cash flow" would just be dividend pass-through with no productive-asset reinvestment dynamic, and SBC/dilution mechanics do not apply.</t>
  </si>
  <si>
    <t>Value driver</t>
  </si>
  <si>
    <t>Pre-tax NTA per share TOTAL RETURN = NTA/share growth + dividends paid (since AFIC distributes nearly all income). Historical 5yr/10yr computed at 4.45%/6.64% (net of franking, per-share, non-grossed-up - appropriate for NZX holders who get no franking benefit). Cross-checked against AFIC-reported grossed-up 10yr investment return of 10.4% vs 9.5% benchmark (gross of expenses/tax, includes franking).</t>
  </si>
  <si>
    <t>Headline IV formula</t>
  </si>
  <si>
    <t>Intrinsic value = current pre-tax NTA/share x (1 + scenario fair P/NTA discount). This is the "simpler framing" specified in the build instructions: what today's known NTA is worth at a fair (rather than currently depressed) discount, converted to NZD at the live AUDNZD rate.</t>
  </si>
  <si>
    <t>5yr IRR build (memo)</t>
  </si>
  <si>
    <t>Separate cross-check: PV of 5 years of projected dividends + PV of year-5 exit value (year-5 compounded NTA x scenario exit discount), both discounted at the 8.75% cost of equity. Shown on the NTA Model sheet rows 43-50 and used as the basis for the Sensitivity sheet matrix.</t>
  </si>
  <si>
    <t>Exit discount assumptions</t>
  </si>
  <si>
    <t>Bear -13% (current wide discount persists), Base -6% (AFIC long-run average, supported by A$243m FY2026 buyback), Bull 0% / par (buybacks + new CEO Alison Gibson restore demand). Historical range is roughly -13% to +15%.</t>
  </si>
  <si>
    <t>Cost of equity / "WACC"</t>
  </si>
  <si>
    <t>8.75% (midpoint of 8.5-9%) - large-cap, ultra-liquid, ungeared (net cash), diversified blue-chip portfolio; explicitly NOT a small-cap risk premium.</t>
  </si>
  <si>
    <t>Entry price</t>
  </si>
  <si>
    <t>15% IRR hurdle applied to base-case dividends + year-5 exit value. Produces A$5.53/NZ$6.63 (~-30% implied P/NTA), deliberately far below AFIC's historical discount range and current price - this is the expected, correct output given AFIC's ~7.5% total-return profile cannot organically clear a 15% hurdle except at an implausibly deep discount. See entry_price.memo in the JSON.</t>
  </si>
  <si>
    <t>Prospective IRR at current price</t>
  </si>
  <si>
    <t>IRR of buying today at NZ$8.27 and holding 5 years under base-case assumptions is approximately 9.7% p.a. (computed via IRR() on Sheet 1, row 61-63) - a more realistic forward-return estimate for a buy-and-hold holder than the entry-price hurdle framing.</t>
  </si>
  <si>
    <t>Sanity check</t>
  </si>
  <si>
    <t>Current price/NTA discount (A$ basis) is -13.5%, at the extreme wide end of AFIC's own disclosed historical range (-13% to +15%). The bear-case intrinsic value (-13% discount) is therefore very close to today's actual price, i.e. the market is already pricing close to the bear scenario.</t>
  </si>
  <si>
    <t>What to refresh after next results</t>
  </si>
  <si>
    <t>(1) Live NZX/ASX prices and AUDNZD rate - re-fetch from Yahoo Finance. (2) Pre-tax NTA/share - AFIC discloses this weekly on its website and at each half-year/full-year result; update cell B8 on the NTA Model sheet. (3) Dividend policy/DPS if changed. (4) Buyback pace (A$66m FY2025 -&gt; A$243m FY2026) - if buybacks slow materially, revisit the base-case discount-narrowing assumption. (5) Portfolio return vs ASX200 Accumulation Index - if underperformance persists into FY2027, consider trimming the base-case total-return assumption further below the historical CAGR.</t>
  </si>
  <si>
    <t>Cell colour conventions</t>
  </si>
  <si>
    <t>Gray-filled cells = INPUTS (editable assumptions: prices, NTA, FX, CoE, dividend yield, scenario total returns and exit discounts). White cells with borders = FORMULAS (derived, do not hardcode over these). Green-filled bold cells = KEY OUTPUTS (intrinsic value, entry price, IRR).</t>
  </si>
  <si>
    <t>Staleness warning</t>
  </si>
  <si>
    <t>All prices, FX rates and the NTA figure are point-in-time. AFIC publishes NTA weekly - this model will go stale quickly relative to most DCF models. Always re-check the current NTA and price/NTA discount before using this model to make a decision.</t>
  </si>
</sst>
</file>

<file path=xl/styles.xml><?xml version="1.0" encoding="utf-8"?>
<styleSheet xmlns="http://schemas.openxmlformats.org/spreadsheetml/2006/main">
  <numFmts count="5">
    <numFmt numFmtId="164" formatCode="#,##0.0000"/>
    <numFmt numFmtId="165" formatCode="0.00%"/>
    <numFmt numFmtId="166" formatCode="&quot;$&quot;#,##0.00"/>
    <numFmt numFmtId="167" formatCode="&quot;$&quot;#,##0.0000"/>
    <numFmt numFmtId="168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4" fontId="0" fillId="0" borderId="2" xfId="0" applyNumberFormat="1" applyBorder="1"/>
    <xf numFmtId="166" fontId="0" fillId="0" borderId="2" xfId="0" applyNumberFormat="1" applyBorder="1"/>
    <xf numFmtId="167" fontId="4" fillId="4" borderId="2" xfId="0" applyNumberFormat="1" applyFont="1" applyFill="1" applyBorder="1"/>
    <xf numFmtId="168" fontId="4" fillId="4" borderId="2" xfId="0" applyNumberFormat="1" applyFont="1" applyFill="1" applyBorder="1"/>
    <xf numFmtId="167" fontId="0" fillId="0" borderId="2" xfId="0" applyNumberFormat="1" applyBorder="1"/>
    <xf numFmtId="0" fontId="0" fillId="0" borderId="0" xfId="0" applyAlignment="1">
      <alignment vertical="top" wrapText="1"/>
    </xf>
    <xf numFmtId="168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cols>
    <col min="1" max="1" width="32.7109375" customWidth="1"/>
    <col min="2" max="8" width="13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8.27</v>
      </c>
    </row>
    <row r="6" spans="1:2">
      <c r="A6" t="s">
        <v>4</v>
      </c>
      <c r="B6" s="4">
        <v>6.86</v>
      </c>
    </row>
    <row r="7" spans="1:2">
      <c r="A7" t="s">
        <v>5</v>
      </c>
      <c r="B7" s="4">
        <v>1.19807</v>
      </c>
    </row>
    <row r="8" spans="1:2">
      <c r="A8" t="s">
        <v>6</v>
      </c>
      <c r="B8" s="4">
        <v>7.93</v>
      </c>
    </row>
    <row r="9" spans="1:2">
      <c r="A9" t="s">
        <v>7</v>
      </c>
      <c r="B9" s="4">
        <v>1253</v>
      </c>
    </row>
    <row r="10" spans="1:2">
      <c r="A10" t="s">
        <v>8</v>
      </c>
      <c r="B10" s="4">
        <v>131.6</v>
      </c>
    </row>
    <row r="11" spans="1:2">
      <c r="A11" t="s">
        <v>9</v>
      </c>
      <c r="B11" s="5">
        <f>B6/B8-1</f>
        <v>0</v>
      </c>
    </row>
    <row r="13" spans="1:2">
      <c r="A13" t="s">
        <v>10</v>
      </c>
      <c r="B13" s="6">
        <v>0.08749999999999999</v>
      </c>
    </row>
    <row r="14" spans="1:2">
      <c r="A14" t="s">
        <v>11</v>
      </c>
      <c r="B14" s="6">
        <v>0.04</v>
      </c>
    </row>
    <row r="16" spans="1:2">
      <c r="A16" s="3" t="s">
        <v>12</v>
      </c>
    </row>
    <row r="17" spans="1:7">
      <c r="B17" s="7" t="s">
        <v>13</v>
      </c>
      <c r="C17" s="7" t="s">
        <v>14</v>
      </c>
      <c r="D17" s="7" t="s">
        <v>15</v>
      </c>
    </row>
    <row r="18" spans="1:7">
      <c r="A18" t="s">
        <v>16</v>
      </c>
      <c r="B18" s="6">
        <v>0.05</v>
      </c>
      <c r="C18" s="6">
        <v>0.075</v>
      </c>
      <c r="D18" s="6">
        <v>0.095</v>
      </c>
    </row>
    <row r="19" spans="1:7">
      <c r="A19" t="s">
        <v>17</v>
      </c>
      <c r="B19" s="5">
        <f>B18-$B$14</f>
        <v>0</v>
      </c>
      <c r="C19" s="5">
        <f>C18-$B$14</f>
        <v>0</v>
      </c>
      <c r="D19" s="5">
        <f>D18-$B$14</f>
        <v>0</v>
      </c>
    </row>
    <row r="20" spans="1:7">
      <c r="A20" t="s">
        <v>18</v>
      </c>
      <c r="B20" s="6">
        <v>-0.13</v>
      </c>
      <c r="C20" s="6">
        <v>-0.06</v>
      </c>
      <c r="D20" s="6">
        <v>0</v>
      </c>
    </row>
    <row r="22" spans="1:7">
      <c r="A22" s="3" t="s">
        <v>19</v>
      </c>
    </row>
    <row r="24" spans="1:7">
      <c r="A24" s="8" t="s">
        <v>20</v>
      </c>
      <c r="C24" s="7" t="s">
        <v>21</v>
      </c>
      <c r="D24" s="7" t="s">
        <v>22</v>
      </c>
      <c r="E24" s="7" t="s">
        <v>23</v>
      </c>
      <c r="F24" s="7" t="s">
        <v>24</v>
      </c>
      <c r="G24" s="7" t="s">
        <v>25</v>
      </c>
    </row>
    <row r="25" spans="1:7">
      <c r="B25" t="s">
        <v>26</v>
      </c>
      <c r="C25" s="9">
        <f>$B$8*(1+$B$19)</f>
        <v>0</v>
      </c>
      <c r="D25" s="9">
        <f>C25*(1+$B$19)</f>
        <v>0</v>
      </c>
      <c r="E25" s="9">
        <f>D25*(1+$B$19)</f>
        <v>0</v>
      </c>
      <c r="F25" s="9">
        <f>E25*(1+$B$19)</f>
        <v>0</v>
      </c>
      <c r="G25" s="9">
        <f>F25*(1+$B$19)</f>
        <v>0</v>
      </c>
    </row>
    <row r="26" spans="1:7">
      <c r="B26" t="s">
        <v>27</v>
      </c>
      <c r="C26" s="9">
        <f>$B$8*$B$14</f>
        <v>0</v>
      </c>
      <c r="D26" s="9">
        <f>C25*$B$14</f>
        <v>0</v>
      </c>
      <c r="E26" s="9">
        <f>D25*$B$14</f>
        <v>0</v>
      </c>
      <c r="F26" s="9">
        <f>E25*$B$14</f>
        <v>0</v>
      </c>
      <c r="G26" s="9">
        <f>F25*$B$14</f>
        <v>0</v>
      </c>
    </row>
    <row r="28" spans="1:7">
      <c r="A28" s="8" t="s">
        <v>28</v>
      </c>
      <c r="C28" s="7" t="s">
        <v>21</v>
      </c>
      <c r="D28" s="7" t="s">
        <v>22</v>
      </c>
      <c r="E28" s="7" t="s">
        <v>23</v>
      </c>
      <c r="F28" s="7" t="s">
        <v>24</v>
      </c>
      <c r="G28" s="7" t="s">
        <v>25</v>
      </c>
    </row>
    <row r="29" spans="1:7">
      <c r="B29" t="s">
        <v>26</v>
      </c>
      <c r="C29" s="9">
        <f>$B$8*(1+$C$19)</f>
        <v>0</v>
      </c>
      <c r="D29" s="9">
        <f>C29*(1+$C$19)</f>
        <v>0</v>
      </c>
      <c r="E29" s="9">
        <f>D29*(1+$C$19)</f>
        <v>0</v>
      </c>
      <c r="F29" s="9">
        <f>E29*(1+$C$19)</f>
        <v>0</v>
      </c>
      <c r="G29" s="9">
        <f>F29*(1+$C$19)</f>
        <v>0</v>
      </c>
    </row>
    <row r="30" spans="1:7">
      <c r="B30" t="s">
        <v>27</v>
      </c>
      <c r="C30" s="9">
        <f>$B$8*$B$14</f>
        <v>0</v>
      </c>
      <c r="D30" s="9">
        <f>C29*$B$14</f>
        <v>0</v>
      </c>
      <c r="E30" s="9">
        <f>D29*$B$14</f>
        <v>0</v>
      </c>
      <c r="F30" s="9">
        <f>E29*$B$14</f>
        <v>0</v>
      </c>
      <c r="G30" s="9">
        <f>F29*$B$14</f>
        <v>0</v>
      </c>
    </row>
    <row r="32" spans="1:7">
      <c r="A32" s="8" t="s">
        <v>29</v>
      </c>
      <c r="C32" s="7" t="s">
        <v>21</v>
      </c>
      <c r="D32" s="7" t="s">
        <v>22</v>
      </c>
      <c r="E32" s="7" t="s">
        <v>23</v>
      </c>
      <c r="F32" s="7" t="s">
        <v>24</v>
      </c>
      <c r="G32" s="7" t="s">
        <v>25</v>
      </c>
    </row>
    <row r="33" spans="1:7">
      <c r="B33" t="s">
        <v>26</v>
      </c>
      <c r="C33" s="9">
        <f>$B$8*(1+$D$19)</f>
        <v>0</v>
      </c>
      <c r="D33" s="9">
        <f>C33*(1+$D$19)</f>
        <v>0</v>
      </c>
      <c r="E33" s="9">
        <f>D33*(1+$D$19)</f>
        <v>0</v>
      </c>
      <c r="F33" s="9">
        <f>E33*(1+$D$19)</f>
        <v>0</v>
      </c>
      <c r="G33" s="9">
        <f>F33*(1+$D$19)</f>
        <v>0</v>
      </c>
    </row>
    <row r="34" spans="1:7">
      <c r="B34" t="s">
        <v>27</v>
      </c>
      <c r="C34" s="9">
        <f>$B$8*$B$14</f>
        <v>0</v>
      </c>
      <c r="D34" s="9">
        <f>C33*$B$14</f>
        <v>0</v>
      </c>
      <c r="E34" s="9">
        <f>D33*$B$14</f>
        <v>0</v>
      </c>
      <c r="F34" s="9">
        <f>E33*$B$14</f>
        <v>0</v>
      </c>
      <c r="G34" s="9">
        <f>F33*$B$14</f>
        <v>0</v>
      </c>
    </row>
    <row r="36" spans="1:7">
      <c r="A36" s="3" t="s">
        <v>30</v>
      </c>
    </row>
    <row r="37" spans="1:7">
      <c r="B37" s="7" t="s">
        <v>13</v>
      </c>
      <c r="C37" s="7" t="s">
        <v>14</v>
      </c>
      <c r="D37" s="7" t="s">
        <v>15</v>
      </c>
    </row>
    <row r="38" spans="1:7">
      <c r="A38" t="s">
        <v>31</v>
      </c>
      <c r="B38" s="10">
        <f>$B$8*(1+B20)</f>
        <v>0</v>
      </c>
      <c r="C38" s="10">
        <f>$B$8*(1+C20)</f>
        <v>0</v>
      </c>
      <c r="D38" s="10">
        <f>$B$8*(1+D20)</f>
        <v>0</v>
      </c>
    </row>
    <row r="39" spans="1:7">
      <c r="A39" t="s">
        <v>32</v>
      </c>
      <c r="B39" s="11">
        <f>B38*$B$7</f>
        <v>0</v>
      </c>
      <c r="C39" s="11">
        <f>C38*$B$7</f>
        <v>0</v>
      </c>
      <c r="D39" s="11">
        <f>D38*$B$7</f>
        <v>0</v>
      </c>
    </row>
    <row r="40" spans="1:7">
      <c r="A40" t="s">
        <v>33</v>
      </c>
      <c r="B40" s="12">
        <f>B39/$B$5-1</f>
        <v>0</v>
      </c>
      <c r="C40" s="12">
        <f>C39/$B$5-1</f>
        <v>0</v>
      </c>
      <c r="D40" s="12">
        <f>D39/$B$5-1</f>
        <v>0</v>
      </c>
    </row>
    <row r="41" spans="1:7">
      <c r="A41" t="s">
        <v>34</v>
      </c>
      <c r="B41" s="5">
        <f>B20</f>
        <v>0</v>
      </c>
      <c r="C41" s="5">
        <f>C20</f>
        <v>0</v>
      </c>
      <c r="D41" s="5">
        <f>D20</f>
        <v>0</v>
      </c>
    </row>
    <row r="43" spans="1:7">
      <c r="A43" s="3" t="s">
        <v>35</v>
      </c>
    </row>
    <row r="44" spans="1:7">
      <c r="B44" s="7" t="s">
        <v>13</v>
      </c>
      <c r="C44" s="7" t="s">
        <v>14</v>
      </c>
      <c r="D44" s="7" t="s">
        <v>15</v>
      </c>
    </row>
    <row r="45" spans="1:7">
      <c r="A45" t="s">
        <v>36</v>
      </c>
      <c r="B45" s="9">
        <f>G25</f>
        <v>0</v>
      </c>
      <c r="C45" s="9">
        <f>G29</f>
        <v>0</v>
      </c>
      <c r="D45" s="9">
        <f>G33</f>
        <v>0</v>
      </c>
    </row>
    <row r="46" spans="1:7">
      <c r="A46" t="s">
        <v>37</v>
      </c>
      <c r="B46" s="9">
        <f>B45*(1+B20)</f>
        <v>0</v>
      </c>
      <c r="C46" s="9">
        <f>C45*(1+C20)</f>
        <v>0</v>
      </c>
      <c r="D46" s="9">
        <f>D45*(1+D20)</f>
        <v>0</v>
      </c>
    </row>
    <row r="47" spans="1:7">
      <c r="A47" t="s">
        <v>38</v>
      </c>
      <c r="B47" s="9">
        <f>NPV($B$13,C26:G26)</f>
        <v>0</v>
      </c>
      <c r="C47" s="9">
        <f>NPV($B$13,C30:G30)</f>
        <v>0</v>
      </c>
      <c r="D47" s="9">
        <f>NPV($B$13,C34:G34)</f>
        <v>0</v>
      </c>
    </row>
    <row r="48" spans="1:7">
      <c r="A48" t="s">
        <v>39</v>
      </c>
      <c r="B48" s="9">
        <f>B46/(1+$B$13)^5</f>
        <v>0</v>
      </c>
      <c r="C48" s="9">
        <f>C46/(1+$B$13)^5</f>
        <v>0</v>
      </c>
      <c r="D48" s="9">
        <f>D46/(1+$B$13)^5</f>
        <v>0</v>
      </c>
    </row>
    <row r="49" spans="1:7">
      <c r="A49" t="s">
        <v>40</v>
      </c>
      <c r="B49" s="10">
        <f>B47+B48</f>
        <v>0</v>
      </c>
      <c r="C49" s="10">
        <f>C47+C48</f>
        <v>0</v>
      </c>
      <c r="D49" s="10">
        <f>D47+D48</f>
        <v>0</v>
      </c>
    </row>
    <row r="50" spans="1:7">
      <c r="A50" t="s">
        <v>41</v>
      </c>
      <c r="B50" s="10">
        <f>B49*$B$7</f>
        <v>0</v>
      </c>
      <c r="C50" s="10">
        <f>C49*$B$7</f>
        <v>0</v>
      </c>
      <c r="D50" s="10">
        <f>D49*$B$7</f>
        <v>0</v>
      </c>
    </row>
    <row r="52" spans="1:7">
      <c r="A52" s="3" t="s">
        <v>42</v>
      </c>
    </row>
    <row r="53" spans="1:7">
      <c r="A53" t="s">
        <v>43</v>
      </c>
      <c r="B53" s="6">
        <v>0.15</v>
      </c>
    </row>
    <row r="54" spans="1:7">
      <c r="A54" t="s">
        <v>44</v>
      </c>
      <c r="B54" s="9">
        <f>NPV(B53,C30:G30)</f>
        <v>0</v>
      </c>
    </row>
    <row r="55" spans="1:7">
      <c r="A55" t="s">
        <v>45</v>
      </c>
      <c r="B55" s="9">
        <f>C46/(1+B53)^5</f>
        <v>0</v>
      </c>
    </row>
    <row r="56" spans="1:7">
      <c r="A56" t="s">
        <v>46</v>
      </c>
      <c r="B56" s="13">
        <f>B54+B55</f>
        <v>0</v>
      </c>
    </row>
    <row r="57" spans="1:7">
      <c r="A57" t="s">
        <v>47</v>
      </c>
      <c r="B57" s="11">
        <f>B56*$B$7</f>
        <v>0</v>
      </c>
    </row>
    <row r="58" spans="1:7">
      <c r="A58" t="s">
        <v>48</v>
      </c>
      <c r="B58" s="5">
        <f>$B$5/B57-1</f>
        <v>0</v>
      </c>
    </row>
    <row r="59" spans="1:7" ht="45" customHeight="1">
      <c r="A59" t="s">
        <v>49</v>
      </c>
      <c r="B59" s="14" t="s">
        <v>50</v>
      </c>
    </row>
    <row r="61" spans="1:7">
      <c r="A61" t="s">
        <v>51</v>
      </c>
    </row>
    <row r="62" spans="1:7">
      <c r="A62" t="s">
        <v>52</v>
      </c>
      <c r="B62">
        <f>-B5</f>
        <v>0</v>
      </c>
      <c r="C62">
        <f>C30*$B$7</f>
        <v>0</v>
      </c>
      <c r="D62">
        <f>D30*$B$7</f>
        <v>0</v>
      </c>
      <c r="E62">
        <f>E30*$B$7</f>
        <v>0</v>
      </c>
      <c r="F62">
        <f>F30*$B$7</f>
        <v>0</v>
      </c>
      <c r="G62">
        <f>(G30+C46)*$B$7</f>
        <v>0</v>
      </c>
    </row>
    <row r="63" spans="1:7">
      <c r="A63" t="s">
        <v>53</v>
      </c>
      <c r="B63" s="12">
        <f>IRR(B62:G62)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54</v>
      </c>
    </row>
    <row r="2" spans="1:6">
      <c r="A2" s="2" t="s">
        <v>55</v>
      </c>
    </row>
    <row r="4" spans="1:6">
      <c r="A4" s="7" t="s">
        <v>56</v>
      </c>
      <c r="B4" s="15">
        <v>0.05</v>
      </c>
      <c r="C4" s="15">
        <v>0.065</v>
      </c>
      <c r="D4" s="15">
        <v>0.075</v>
      </c>
      <c r="E4" s="15">
        <v>0.08500000000000001</v>
      </c>
      <c r="F4" s="15">
        <v>0.095</v>
      </c>
    </row>
    <row r="5" spans="1:6">
      <c r="A5" s="15">
        <v>-0.13</v>
      </c>
      <c r="B5" s="10">
        <f>('NTA Model'!$B$8*(1+(0.05-'NTA Model'!$B$14))*0.04*(1/(1+'NTA Model'!$B$13)^1)+'NTA Model'!$B$8*(1+(0.05-'NTA Model'!$B$14))^2*0.04*(1/(1+'NTA Model'!$B$13)^2)+'NTA Model'!$B$8*(1+(0.05-'NTA Model'!$B$14))^3*0.04*(1/(1+'NTA Model'!$B$13)^3)+'NTA Model'!$B$8*(1+(0.05-'NTA Model'!$B$14))^4*0.04*(1/(1+'NTA Model'!$B$13)^4)+'NTA Model'!$B$8*(1+(0.05-'NTA Model'!$B$14))^5*0.04*(1/(1+'NTA Model'!$B$13)^5)+('NTA Model'!$B$8*(1+(0.05-'NTA Model'!$B$14))^5*(1+-0.13))/(1+'NTA Model'!$B$13)^5)</f>
        <v>0</v>
      </c>
      <c r="C5" s="10">
        <f>('NTA Model'!$B$8*(1+(0.065-'NTA Model'!$B$14))*0.04*(1/(1+'NTA Model'!$B$13)^1)+'NTA Model'!$B$8*(1+(0.065-'NTA Model'!$B$14))^2*0.04*(1/(1+'NTA Model'!$B$13)^2)+'NTA Model'!$B$8*(1+(0.065-'NTA Model'!$B$14))^3*0.04*(1/(1+'NTA Model'!$B$13)^3)+'NTA Model'!$B$8*(1+(0.065-'NTA Model'!$B$14))^4*0.04*(1/(1+'NTA Model'!$B$13)^4)+'NTA Model'!$B$8*(1+(0.065-'NTA Model'!$B$14))^5*0.04*(1/(1+'NTA Model'!$B$13)^5)+('NTA Model'!$B$8*(1+(0.065-'NTA Model'!$B$14))^5*(1+-0.13))/(1+'NTA Model'!$B$13)^5)</f>
        <v>0</v>
      </c>
      <c r="D5" s="10">
        <f>('NTA Model'!$B$8*(1+(0.075-'NTA Model'!$B$14))*0.04*(1/(1+'NTA Model'!$B$13)^1)+'NTA Model'!$B$8*(1+(0.075-'NTA Model'!$B$14))^2*0.04*(1/(1+'NTA Model'!$B$13)^2)+'NTA Model'!$B$8*(1+(0.075-'NTA Model'!$B$14))^3*0.04*(1/(1+'NTA Model'!$B$13)^3)+'NTA Model'!$B$8*(1+(0.075-'NTA Model'!$B$14))^4*0.04*(1/(1+'NTA Model'!$B$13)^4)+'NTA Model'!$B$8*(1+(0.075-'NTA Model'!$B$14))^5*0.04*(1/(1+'NTA Model'!$B$13)^5)+('NTA Model'!$B$8*(1+(0.075-'NTA Model'!$B$14))^5*(1+-0.13))/(1+'NTA Model'!$B$13)^5)</f>
        <v>0</v>
      </c>
      <c r="E5" s="10">
        <f>('NTA Model'!$B$8*(1+(0.085-'NTA Model'!$B$14))*0.04*(1/(1+'NTA Model'!$B$13)^1)+'NTA Model'!$B$8*(1+(0.085-'NTA Model'!$B$14))^2*0.04*(1/(1+'NTA Model'!$B$13)^2)+'NTA Model'!$B$8*(1+(0.085-'NTA Model'!$B$14))^3*0.04*(1/(1+'NTA Model'!$B$13)^3)+'NTA Model'!$B$8*(1+(0.085-'NTA Model'!$B$14))^4*0.04*(1/(1+'NTA Model'!$B$13)^4)+'NTA Model'!$B$8*(1+(0.085-'NTA Model'!$B$14))^5*0.04*(1/(1+'NTA Model'!$B$13)^5)+('NTA Model'!$B$8*(1+(0.085-'NTA Model'!$B$14))^5*(1+-0.13))/(1+'NTA Model'!$B$13)^5)</f>
        <v>0</v>
      </c>
      <c r="F5" s="10">
        <f>('NTA Model'!$B$8*(1+(0.095-'NTA Model'!$B$14))*0.04*(1/(1+'NTA Model'!$B$13)^1)+'NTA Model'!$B$8*(1+(0.095-'NTA Model'!$B$14))^2*0.04*(1/(1+'NTA Model'!$B$13)^2)+'NTA Model'!$B$8*(1+(0.095-'NTA Model'!$B$14))^3*0.04*(1/(1+'NTA Model'!$B$13)^3)+'NTA Model'!$B$8*(1+(0.095-'NTA Model'!$B$14))^4*0.04*(1/(1+'NTA Model'!$B$13)^4)+'NTA Model'!$B$8*(1+(0.095-'NTA Model'!$B$14))^5*0.04*(1/(1+'NTA Model'!$B$13)^5)+('NTA Model'!$B$8*(1+(0.095-'NTA Model'!$B$14))^5*(1+-0.13))/(1+'NTA Model'!$B$13)^5)</f>
        <v>0</v>
      </c>
    </row>
    <row r="6" spans="1:6">
      <c r="A6" s="15">
        <v>-0.09</v>
      </c>
      <c r="B6" s="10">
        <f>('NTA Model'!$B$8*(1+(0.05-'NTA Model'!$B$14))*0.04*(1/(1+'NTA Model'!$B$13)^1)+'NTA Model'!$B$8*(1+(0.05-'NTA Model'!$B$14))^2*0.04*(1/(1+'NTA Model'!$B$13)^2)+'NTA Model'!$B$8*(1+(0.05-'NTA Model'!$B$14))^3*0.04*(1/(1+'NTA Model'!$B$13)^3)+'NTA Model'!$B$8*(1+(0.05-'NTA Model'!$B$14))^4*0.04*(1/(1+'NTA Model'!$B$13)^4)+'NTA Model'!$B$8*(1+(0.05-'NTA Model'!$B$14))^5*0.04*(1/(1+'NTA Model'!$B$13)^5)+('NTA Model'!$B$8*(1+(0.05-'NTA Model'!$B$14))^5*(1+-0.09))/(1+'NTA Model'!$B$13)^5)</f>
        <v>0</v>
      </c>
      <c r="C6" s="10">
        <f>('NTA Model'!$B$8*(1+(0.065-'NTA Model'!$B$14))*0.04*(1/(1+'NTA Model'!$B$13)^1)+'NTA Model'!$B$8*(1+(0.065-'NTA Model'!$B$14))^2*0.04*(1/(1+'NTA Model'!$B$13)^2)+'NTA Model'!$B$8*(1+(0.065-'NTA Model'!$B$14))^3*0.04*(1/(1+'NTA Model'!$B$13)^3)+'NTA Model'!$B$8*(1+(0.065-'NTA Model'!$B$14))^4*0.04*(1/(1+'NTA Model'!$B$13)^4)+'NTA Model'!$B$8*(1+(0.065-'NTA Model'!$B$14))^5*0.04*(1/(1+'NTA Model'!$B$13)^5)+('NTA Model'!$B$8*(1+(0.065-'NTA Model'!$B$14))^5*(1+-0.09))/(1+'NTA Model'!$B$13)^5)</f>
        <v>0</v>
      </c>
      <c r="D6" s="10">
        <f>('NTA Model'!$B$8*(1+(0.075-'NTA Model'!$B$14))*0.04*(1/(1+'NTA Model'!$B$13)^1)+'NTA Model'!$B$8*(1+(0.075-'NTA Model'!$B$14))^2*0.04*(1/(1+'NTA Model'!$B$13)^2)+'NTA Model'!$B$8*(1+(0.075-'NTA Model'!$B$14))^3*0.04*(1/(1+'NTA Model'!$B$13)^3)+'NTA Model'!$B$8*(1+(0.075-'NTA Model'!$B$14))^4*0.04*(1/(1+'NTA Model'!$B$13)^4)+'NTA Model'!$B$8*(1+(0.075-'NTA Model'!$B$14))^5*0.04*(1/(1+'NTA Model'!$B$13)^5)+('NTA Model'!$B$8*(1+(0.075-'NTA Model'!$B$14))^5*(1+-0.09))/(1+'NTA Model'!$B$13)^5)</f>
        <v>0</v>
      </c>
      <c r="E6" s="10">
        <f>('NTA Model'!$B$8*(1+(0.085-'NTA Model'!$B$14))*0.04*(1/(1+'NTA Model'!$B$13)^1)+'NTA Model'!$B$8*(1+(0.085-'NTA Model'!$B$14))^2*0.04*(1/(1+'NTA Model'!$B$13)^2)+'NTA Model'!$B$8*(1+(0.085-'NTA Model'!$B$14))^3*0.04*(1/(1+'NTA Model'!$B$13)^3)+'NTA Model'!$B$8*(1+(0.085-'NTA Model'!$B$14))^4*0.04*(1/(1+'NTA Model'!$B$13)^4)+'NTA Model'!$B$8*(1+(0.085-'NTA Model'!$B$14))^5*0.04*(1/(1+'NTA Model'!$B$13)^5)+('NTA Model'!$B$8*(1+(0.085-'NTA Model'!$B$14))^5*(1+-0.09))/(1+'NTA Model'!$B$13)^5)</f>
        <v>0</v>
      </c>
      <c r="F6" s="10">
        <f>('NTA Model'!$B$8*(1+(0.095-'NTA Model'!$B$14))*0.04*(1/(1+'NTA Model'!$B$13)^1)+'NTA Model'!$B$8*(1+(0.095-'NTA Model'!$B$14))^2*0.04*(1/(1+'NTA Model'!$B$13)^2)+'NTA Model'!$B$8*(1+(0.095-'NTA Model'!$B$14))^3*0.04*(1/(1+'NTA Model'!$B$13)^3)+'NTA Model'!$B$8*(1+(0.095-'NTA Model'!$B$14))^4*0.04*(1/(1+'NTA Model'!$B$13)^4)+'NTA Model'!$B$8*(1+(0.095-'NTA Model'!$B$14))^5*0.04*(1/(1+'NTA Model'!$B$13)^5)+('NTA Model'!$B$8*(1+(0.095-'NTA Model'!$B$14))^5*(1+-0.09))/(1+'NTA Model'!$B$13)^5)</f>
        <v>0</v>
      </c>
    </row>
    <row r="7" spans="1:6">
      <c r="A7" s="15">
        <v>-0.06</v>
      </c>
      <c r="B7" s="10">
        <f>('NTA Model'!$B$8*(1+(0.05-'NTA Model'!$B$14))*0.04*(1/(1+'NTA Model'!$B$13)^1)+'NTA Model'!$B$8*(1+(0.05-'NTA Model'!$B$14))^2*0.04*(1/(1+'NTA Model'!$B$13)^2)+'NTA Model'!$B$8*(1+(0.05-'NTA Model'!$B$14))^3*0.04*(1/(1+'NTA Model'!$B$13)^3)+'NTA Model'!$B$8*(1+(0.05-'NTA Model'!$B$14))^4*0.04*(1/(1+'NTA Model'!$B$13)^4)+'NTA Model'!$B$8*(1+(0.05-'NTA Model'!$B$14))^5*0.04*(1/(1+'NTA Model'!$B$13)^5)+('NTA Model'!$B$8*(1+(0.05-'NTA Model'!$B$14))^5*(1+-0.06))/(1+'NTA Model'!$B$13)^5)</f>
        <v>0</v>
      </c>
      <c r="C7" s="10">
        <f>('NTA Model'!$B$8*(1+(0.065-'NTA Model'!$B$14))*0.04*(1/(1+'NTA Model'!$B$13)^1)+'NTA Model'!$B$8*(1+(0.065-'NTA Model'!$B$14))^2*0.04*(1/(1+'NTA Model'!$B$13)^2)+'NTA Model'!$B$8*(1+(0.065-'NTA Model'!$B$14))^3*0.04*(1/(1+'NTA Model'!$B$13)^3)+'NTA Model'!$B$8*(1+(0.065-'NTA Model'!$B$14))^4*0.04*(1/(1+'NTA Model'!$B$13)^4)+'NTA Model'!$B$8*(1+(0.065-'NTA Model'!$B$14))^5*0.04*(1/(1+'NTA Model'!$B$13)^5)+('NTA Model'!$B$8*(1+(0.065-'NTA Model'!$B$14))^5*(1+-0.06))/(1+'NTA Model'!$B$13)^5)</f>
        <v>0</v>
      </c>
      <c r="D7" s="10">
        <f>('NTA Model'!$B$8*(1+(0.075-'NTA Model'!$B$14))*0.04*(1/(1+'NTA Model'!$B$13)^1)+'NTA Model'!$B$8*(1+(0.075-'NTA Model'!$B$14))^2*0.04*(1/(1+'NTA Model'!$B$13)^2)+'NTA Model'!$B$8*(1+(0.075-'NTA Model'!$B$14))^3*0.04*(1/(1+'NTA Model'!$B$13)^3)+'NTA Model'!$B$8*(1+(0.075-'NTA Model'!$B$14))^4*0.04*(1/(1+'NTA Model'!$B$13)^4)+'NTA Model'!$B$8*(1+(0.075-'NTA Model'!$B$14))^5*0.04*(1/(1+'NTA Model'!$B$13)^5)+('NTA Model'!$B$8*(1+(0.075-'NTA Model'!$B$14))^5*(1+-0.06))/(1+'NTA Model'!$B$13)^5)</f>
        <v>0</v>
      </c>
      <c r="E7" s="10">
        <f>('NTA Model'!$B$8*(1+(0.085-'NTA Model'!$B$14))*0.04*(1/(1+'NTA Model'!$B$13)^1)+'NTA Model'!$B$8*(1+(0.085-'NTA Model'!$B$14))^2*0.04*(1/(1+'NTA Model'!$B$13)^2)+'NTA Model'!$B$8*(1+(0.085-'NTA Model'!$B$14))^3*0.04*(1/(1+'NTA Model'!$B$13)^3)+'NTA Model'!$B$8*(1+(0.085-'NTA Model'!$B$14))^4*0.04*(1/(1+'NTA Model'!$B$13)^4)+'NTA Model'!$B$8*(1+(0.085-'NTA Model'!$B$14))^5*0.04*(1/(1+'NTA Model'!$B$13)^5)+('NTA Model'!$B$8*(1+(0.085-'NTA Model'!$B$14))^5*(1+-0.06))/(1+'NTA Model'!$B$13)^5)</f>
        <v>0</v>
      </c>
      <c r="F7" s="10">
        <f>('NTA Model'!$B$8*(1+(0.095-'NTA Model'!$B$14))*0.04*(1/(1+'NTA Model'!$B$13)^1)+'NTA Model'!$B$8*(1+(0.095-'NTA Model'!$B$14))^2*0.04*(1/(1+'NTA Model'!$B$13)^2)+'NTA Model'!$B$8*(1+(0.095-'NTA Model'!$B$14))^3*0.04*(1/(1+'NTA Model'!$B$13)^3)+'NTA Model'!$B$8*(1+(0.095-'NTA Model'!$B$14))^4*0.04*(1/(1+'NTA Model'!$B$13)^4)+'NTA Model'!$B$8*(1+(0.095-'NTA Model'!$B$14))^5*0.04*(1/(1+'NTA Model'!$B$13)^5)+('NTA Model'!$B$8*(1+(0.095-'NTA Model'!$B$14))^5*(1+-0.06))/(1+'NTA Model'!$B$13)^5)</f>
        <v>0</v>
      </c>
    </row>
    <row r="8" spans="1:6">
      <c r="A8" s="15">
        <v>-0.03</v>
      </c>
      <c r="B8" s="10">
        <f>('NTA Model'!$B$8*(1+(0.05-'NTA Model'!$B$14))*0.04*(1/(1+'NTA Model'!$B$13)^1)+'NTA Model'!$B$8*(1+(0.05-'NTA Model'!$B$14))^2*0.04*(1/(1+'NTA Model'!$B$13)^2)+'NTA Model'!$B$8*(1+(0.05-'NTA Model'!$B$14))^3*0.04*(1/(1+'NTA Model'!$B$13)^3)+'NTA Model'!$B$8*(1+(0.05-'NTA Model'!$B$14))^4*0.04*(1/(1+'NTA Model'!$B$13)^4)+'NTA Model'!$B$8*(1+(0.05-'NTA Model'!$B$14))^5*0.04*(1/(1+'NTA Model'!$B$13)^5)+('NTA Model'!$B$8*(1+(0.05-'NTA Model'!$B$14))^5*(1+-0.03))/(1+'NTA Model'!$B$13)^5)</f>
        <v>0</v>
      </c>
      <c r="C8" s="10">
        <f>('NTA Model'!$B$8*(1+(0.065-'NTA Model'!$B$14))*0.04*(1/(1+'NTA Model'!$B$13)^1)+'NTA Model'!$B$8*(1+(0.065-'NTA Model'!$B$14))^2*0.04*(1/(1+'NTA Model'!$B$13)^2)+'NTA Model'!$B$8*(1+(0.065-'NTA Model'!$B$14))^3*0.04*(1/(1+'NTA Model'!$B$13)^3)+'NTA Model'!$B$8*(1+(0.065-'NTA Model'!$B$14))^4*0.04*(1/(1+'NTA Model'!$B$13)^4)+'NTA Model'!$B$8*(1+(0.065-'NTA Model'!$B$14))^5*0.04*(1/(1+'NTA Model'!$B$13)^5)+('NTA Model'!$B$8*(1+(0.065-'NTA Model'!$B$14))^5*(1+-0.03))/(1+'NTA Model'!$B$13)^5)</f>
        <v>0</v>
      </c>
      <c r="D8" s="10">
        <f>('NTA Model'!$B$8*(1+(0.075-'NTA Model'!$B$14))*0.04*(1/(1+'NTA Model'!$B$13)^1)+'NTA Model'!$B$8*(1+(0.075-'NTA Model'!$B$14))^2*0.04*(1/(1+'NTA Model'!$B$13)^2)+'NTA Model'!$B$8*(1+(0.075-'NTA Model'!$B$14))^3*0.04*(1/(1+'NTA Model'!$B$13)^3)+'NTA Model'!$B$8*(1+(0.075-'NTA Model'!$B$14))^4*0.04*(1/(1+'NTA Model'!$B$13)^4)+'NTA Model'!$B$8*(1+(0.075-'NTA Model'!$B$14))^5*0.04*(1/(1+'NTA Model'!$B$13)^5)+('NTA Model'!$B$8*(1+(0.075-'NTA Model'!$B$14))^5*(1+-0.03))/(1+'NTA Model'!$B$13)^5)</f>
        <v>0</v>
      </c>
      <c r="E8" s="10">
        <f>('NTA Model'!$B$8*(1+(0.085-'NTA Model'!$B$14))*0.04*(1/(1+'NTA Model'!$B$13)^1)+'NTA Model'!$B$8*(1+(0.085-'NTA Model'!$B$14))^2*0.04*(1/(1+'NTA Model'!$B$13)^2)+'NTA Model'!$B$8*(1+(0.085-'NTA Model'!$B$14))^3*0.04*(1/(1+'NTA Model'!$B$13)^3)+'NTA Model'!$B$8*(1+(0.085-'NTA Model'!$B$14))^4*0.04*(1/(1+'NTA Model'!$B$13)^4)+'NTA Model'!$B$8*(1+(0.085-'NTA Model'!$B$14))^5*0.04*(1/(1+'NTA Model'!$B$13)^5)+('NTA Model'!$B$8*(1+(0.085-'NTA Model'!$B$14))^5*(1+-0.03))/(1+'NTA Model'!$B$13)^5)</f>
        <v>0</v>
      </c>
      <c r="F8" s="10">
        <f>('NTA Model'!$B$8*(1+(0.095-'NTA Model'!$B$14))*0.04*(1/(1+'NTA Model'!$B$13)^1)+'NTA Model'!$B$8*(1+(0.095-'NTA Model'!$B$14))^2*0.04*(1/(1+'NTA Model'!$B$13)^2)+'NTA Model'!$B$8*(1+(0.095-'NTA Model'!$B$14))^3*0.04*(1/(1+'NTA Model'!$B$13)^3)+'NTA Model'!$B$8*(1+(0.095-'NTA Model'!$B$14))^4*0.04*(1/(1+'NTA Model'!$B$13)^4)+'NTA Model'!$B$8*(1+(0.095-'NTA Model'!$B$14))^5*0.04*(1/(1+'NTA Model'!$B$13)^5)+('NTA Model'!$B$8*(1+(0.095-'NTA Model'!$B$14))^5*(1+-0.03))/(1+'NTA Model'!$B$13)^5)</f>
        <v>0</v>
      </c>
    </row>
    <row r="9" spans="1:6">
      <c r="A9" s="15">
        <v>0</v>
      </c>
      <c r="B9" s="10">
        <f>('NTA Model'!$B$8*(1+(0.05-'NTA Model'!$B$14))*0.04*(1/(1+'NTA Model'!$B$13)^1)+'NTA Model'!$B$8*(1+(0.05-'NTA Model'!$B$14))^2*0.04*(1/(1+'NTA Model'!$B$13)^2)+'NTA Model'!$B$8*(1+(0.05-'NTA Model'!$B$14))^3*0.04*(1/(1+'NTA Model'!$B$13)^3)+'NTA Model'!$B$8*(1+(0.05-'NTA Model'!$B$14))^4*0.04*(1/(1+'NTA Model'!$B$13)^4)+'NTA Model'!$B$8*(1+(0.05-'NTA Model'!$B$14))^5*0.04*(1/(1+'NTA Model'!$B$13)^5)+('NTA Model'!$B$8*(1+(0.05-'NTA Model'!$B$14))^5*(1+0.0))/(1+'NTA Model'!$B$13)^5)</f>
        <v>0</v>
      </c>
      <c r="C9" s="10">
        <f>('NTA Model'!$B$8*(1+(0.065-'NTA Model'!$B$14))*0.04*(1/(1+'NTA Model'!$B$13)^1)+'NTA Model'!$B$8*(1+(0.065-'NTA Model'!$B$14))^2*0.04*(1/(1+'NTA Model'!$B$13)^2)+'NTA Model'!$B$8*(1+(0.065-'NTA Model'!$B$14))^3*0.04*(1/(1+'NTA Model'!$B$13)^3)+'NTA Model'!$B$8*(1+(0.065-'NTA Model'!$B$14))^4*0.04*(1/(1+'NTA Model'!$B$13)^4)+'NTA Model'!$B$8*(1+(0.065-'NTA Model'!$B$14))^5*0.04*(1/(1+'NTA Model'!$B$13)^5)+('NTA Model'!$B$8*(1+(0.065-'NTA Model'!$B$14))^5*(1+0.0))/(1+'NTA Model'!$B$13)^5)</f>
        <v>0</v>
      </c>
      <c r="D9" s="10">
        <f>('NTA Model'!$B$8*(1+(0.075-'NTA Model'!$B$14))*0.04*(1/(1+'NTA Model'!$B$13)^1)+'NTA Model'!$B$8*(1+(0.075-'NTA Model'!$B$14))^2*0.04*(1/(1+'NTA Model'!$B$13)^2)+'NTA Model'!$B$8*(1+(0.075-'NTA Model'!$B$14))^3*0.04*(1/(1+'NTA Model'!$B$13)^3)+'NTA Model'!$B$8*(1+(0.075-'NTA Model'!$B$14))^4*0.04*(1/(1+'NTA Model'!$B$13)^4)+'NTA Model'!$B$8*(1+(0.075-'NTA Model'!$B$14))^5*0.04*(1/(1+'NTA Model'!$B$13)^5)+('NTA Model'!$B$8*(1+(0.075-'NTA Model'!$B$14))^5*(1+0.0))/(1+'NTA Model'!$B$13)^5)</f>
        <v>0</v>
      </c>
      <c r="E9" s="10">
        <f>('NTA Model'!$B$8*(1+(0.085-'NTA Model'!$B$14))*0.04*(1/(1+'NTA Model'!$B$13)^1)+'NTA Model'!$B$8*(1+(0.085-'NTA Model'!$B$14))^2*0.04*(1/(1+'NTA Model'!$B$13)^2)+'NTA Model'!$B$8*(1+(0.085-'NTA Model'!$B$14))^3*0.04*(1/(1+'NTA Model'!$B$13)^3)+'NTA Model'!$B$8*(1+(0.085-'NTA Model'!$B$14))^4*0.04*(1/(1+'NTA Model'!$B$13)^4)+'NTA Model'!$B$8*(1+(0.085-'NTA Model'!$B$14))^5*0.04*(1/(1+'NTA Model'!$B$13)^5)+('NTA Model'!$B$8*(1+(0.085-'NTA Model'!$B$14))^5*(1+0.0))/(1+'NTA Model'!$B$13)^5)</f>
        <v>0</v>
      </c>
      <c r="F9" s="10">
        <f>('NTA Model'!$B$8*(1+(0.095-'NTA Model'!$B$14))*0.04*(1/(1+'NTA Model'!$B$13)^1)+'NTA Model'!$B$8*(1+(0.095-'NTA Model'!$B$14))^2*0.04*(1/(1+'NTA Model'!$B$13)^2)+'NTA Model'!$B$8*(1+(0.095-'NTA Model'!$B$14))^3*0.04*(1/(1+'NTA Model'!$B$13)^3)+'NTA Model'!$B$8*(1+(0.095-'NTA Model'!$B$14))^4*0.04*(1/(1+'NTA Model'!$B$13)^4)+'NTA Model'!$B$8*(1+(0.095-'NTA Model'!$B$14))^5*0.04*(1/(1+'NTA Model'!$B$13)^5)+('NTA Model'!$B$8*(1+(0.095-'NTA Model'!$B$14))^5*(1+0.0))/(1+'NTA Model'!$B$13)^5)</f>
        <v>0</v>
      </c>
    </row>
    <row r="11" spans="1:6" ht="30" customHeight="1">
      <c r="A11" s="1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12.7109375" customWidth="1"/>
    <col min="2" max="8" width="14.7109375" customWidth="1"/>
  </cols>
  <sheetData>
    <row r="1" spans="1:7">
      <c r="A1" s="1" t="s">
        <v>58</v>
      </c>
    </row>
    <row r="3" spans="1:7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  <c r="G3" s="7" t="s">
        <v>65</v>
      </c>
    </row>
    <row r="4" spans="1:7">
      <c r="A4" t="s">
        <v>66</v>
      </c>
      <c r="B4" s="9">
        <v>5.85</v>
      </c>
      <c r="C4" s="9">
        <v>5</v>
      </c>
      <c r="D4" s="9">
        <v>23</v>
      </c>
      <c r="E4" s="9">
        <v>293.6</v>
      </c>
      <c r="F4" s="9">
        <v>1089.8</v>
      </c>
      <c r="G4" s="5">
        <v>0.16</v>
      </c>
    </row>
    <row r="5" spans="1:7">
      <c r="A5" t="s">
        <v>67</v>
      </c>
      <c r="B5" s="9">
        <v>5.5</v>
      </c>
      <c r="C5" s="9">
        <v>4.79</v>
      </c>
      <c r="D5" s="9">
        <v>24</v>
      </c>
      <c r="E5" s="9">
        <v>265.8</v>
      </c>
      <c r="F5" s="9">
        <v>1130.3</v>
      </c>
      <c r="G5" s="5">
        <v>0.16</v>
      </c>
    </row>
    <row r="6" spans="1:7">
      <c r="A6" t="s">
        <v>68</v>
      </c>
      <c r="B6" s="9">
        <v>5.89</v>
      </c>
      <c r="C6" s="9">
        <v>5.07</v>
      </c>
      <c r="D6" s="9">
        <v>24</v>
      </c>
      <c r="E6" s="9">
        <v>245.3</v>
      </c>
      <c r="F6" s="9">
        <v>1176.1</v>
      </c>
      <c r="G6" s="5">
        <v>0.14</v>
      </c>
    </row>
    <row r="7" spans="1:7">
      <c r="A7" t="s">
        <v>69</v>
      </c>
      <c r="B7" s="9">
        <v>6.27</v>
      </c>
      <c r="C7" s="9">
        <v>5.34</v>
      </c>
      <c r="D7" s="9">
        <v>24</v>
      </c>
      <c r="E7" s="9">
        <v>279</v>
      </c>
      <c r="F7" s="9">
        <v>1186.1</v>
      </c>
      <c r="G7" s="5">
        <v>0.14</v>
      </c>
    </row>
    <row r="8" spans="1:7">
      <c r="A8" t="s">
        <v>70</v>
      </c>
      <c r="B8" s="9">
        <v>6.49</v>
      </c>
      <c r="C8" s="9">
        <v>5.52</v>
      </c>
      <c r="D8" s="9">
        <v>24</v>
      </c>
      <c r="E8" s="9">
        <v>406.4</v>
      </c>
      <c r="F8" s="9">
        <v>1200.1</v>
      </c>
      <c r="G8" s="5">
        <v>0.13</v>
      </c>
    </row>
    <row r="9" spans="1:7">
      <c r="A9" t="s">
        <v>71</v>
      </c>
      <c r="B9" s="9">
        <v>5.96</v>
      </c>
      <c r="C9" s="9">
        <v>5.16</v>
      </c>
      <c r="D9" s="9">
        <v>24</v>
      </c>
      <c r="E9" s="9">
        <v>240.4</v>
      </c>
      <c r="F9" s="9">
        <v>1210.4</v>
      </c>
      <c r="G9" s="5">
        <v>0.13</v>
      </c>
    </row>
    <row r="10" spans="1:7">
      <c r="A10" t="s">
        <v>72</v>
      </c>
      <c r="B10" s="9">
        <v>7.45</v>
      </c>
      <c r="C10" s="9">
        <v>6.19</v>
      </c>
      <c r="D10" s="9">
        <v>24</v>
      </c>
      <c r="E10" s="9">
        <v>235.1</v>
      </c>
      <c r="F10" s="9">
        <v>1220.8</v>
      </c>
      <c r="G10" s="5">
        <v>0.14</v>
      </c>
    </row>
    <row r="11" spans="1:7">
      <c r="A11" t="s">
        <v>73</v>
      </c>
      <c r="B11" s="9">
        <v>6.63</v>
      </c>
      <c r="C11" s="9">
        <v>5.68</v>
      </c>
      <c r="D11" s="9">
        <v>24</v>
      </c>
      <c r="E11" s="9">
        <v>360.6</v>
      </c>
      <c r="F11" s="9">
        <v>1229.9</v>
      </c>
      <c r="G11" s="5">
        <v>0.16</v>
      </c>
    </row>
    <row r="12" spans="1:7">
      <c r="A12" t="s">
        <v>74</v>
      </c>
      <c r="B12" s="9">
        <v>7.19</v>
      </c>
      <c r="C12" s="9">
        <v>6.09</v>
      </c>
      <c r="D12" s="9">
        <v>25</v>
      </c>
      <c r="E12" s="9">
        <v>310.2</v>
      </c>
      <c r="F12" s="9">
        <v>1240.3</v>
      </c>
      <c r="G12" s="5">
        <v>0.14</v>
      </c>
    </row>
    <row r="13" spans="1:7">
      <c r="A13" t="s">
        <v>75</v>
      </c>
      <c r="B13" s="9">
        <v>7.88</v>
      </c>
      <c r="C13" s="9">
        <v>6.6</v>
      </c>
      <c r="D13" s="9">
        <v>26</v>
      </c>
      <c r="E13" s="9">
        <v>296.4</v>
      </c>
      <c r="F13" s="9">
        <v>1251.6</v>
      </c>
      <c r="G13" s="5">
        <v>0.15</v>
      </c>
    </row>
    <row r="14" spans="1:7">
      <c r="A14" t="s">
        <v>76</v>
      </c>
      <c r="B14" s="9">
        <v>8.33</v>
      </c>
      <c r="C14" s="9">
        <v>6.97</v>
      </c>
      <c r="D14" s="9">
        <v>26.5</v>
      </c>
      <c r="E14" s="9">
        <v>285</v>
      </c>
      <c r="F14" s="9">
        <v>1254.1</v>
      </c>
      <c r="G14" s="5">
        <v>0.16</v>
      </c>
    </row>
    <row r="15" spans="1:7">
      <c r="A15" t="s">
        <v>77</v>
      </c>
      <c r="B15" s="9">
        <v>7.93</v>
      </c>
      <c r="D15" s="9">
        <v>31.5</v>
      </c>
      <c r="E15" s="9">
        <v>293.5</v>
      </c>
      <c r="F15" s="9">
        <v>1253</v>
      </c>
      <c r="G15" s="5">
        <v>0.14</v>
      </c>
    </row>
    <row r="17" spans="1:2">
      <c r="A17" s="3" t="s">
        <v>78</v>
      </c>
    </row>
    <row r="18" spans="1:2">
      <c r="A18" t="s">
        <v>79</v>
      </c>
      <c r="B18" s="5">
        <v>0.0445</v>
      </c>
    </row>
    <row r="19" spans="1:2">
      <c r="A19" t="s">
        <v>80</v>
      </c>
      <c r="B19" s="5">
        <v>0.0664</v>
      </c>
    </row>
    <row r="20" spans="1:2">
      <c r="A20" t="s">
        <v>81</v>
      </c>
      <c r="B20" s="5">
        <v>0.08900000000000001</v>
      </c>
    </row>
    <row r="21" spans="1:2">
      <c r="A21" t="s">
        <v>82</v>
      </c>
      <c r="B21" s="5">
        <v>0.08400000000000001</v>
      </c>
    </row>
    <row r="22" spans="1:2">
      <c r="A22" t="s">
        <v>83</v>
      </c>
      <c r="B22" s="5">
        <v>0.075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84</v>
      </c>
    </row>
    <row r="4" spans="1:2" ht="45" customHeight="1">
      <c r="A4" s="8" t="s">
        <v>85</v>
      </c>
      <c r="B4" s="14" t="s">
        <v>86</v>
      </c>
    </row>
    <row r="5" spans="1:2" ht="45" customHeight="1">
      <c r="A5" s="8" t="s">
        <v>87</v>
      </c>
      <c r="B5" s="14" t="s">
        <v>88</v>
      </c>
    </row>
    <row r="6" spans="1:2" ht="45" customHeight="1">
      <c r="A6" s="8" t="s">
        <v>89</v>
      </c>
      <c r="B6" s="14" t="s">
        <v>90</v>
      </c>
    </row>
    <row r="7" spans="1:2" ht="45" customHeight="1">
      <c r="A7" s="8" t="s">
        <v>91</v>
      </c>
      <c r="B7" s="14" t="s">
        <v>92</v>
      </c>
    </row>
    <row r="8" spans="1:2" ht="45" customHeight="1">
      <c r="A8" s="8" t="s">
        <v>93</v>
      </c>
      <c r="B8" s="14" t="s">
        <v>94</v>
      </c>
    </row>
    <row r="9" spans="1:2" ht="45" customHeight="1">
      <c r="A9" s="8" t="s">
        <v>95</v>
      </c>
      <c r="B9" s="14" t="s">
        <v>96</v>
      </c>
    </row>
    <row r="10" spans="1:2" ht="45" customHeight="1">
      <c r="A10" s="8" t="s">
        <v>97</v>
      </c>
      <c r="B10" s="14" t="s">
        <v>98</v>
      </c>
    </row>
    <row r="11" spans="1:2" ht="45" customHeight="1">
      <c r="A11" s="8" t="s">
        <v>99</v>
      </c>
      <c r="B11" s="14" t="s">
        <v>100</v>
      </c>
    </row>
    <row r="12" spans="1:2" ht="45" customHeight="1">
      <c r="A12" s="8" t="s">
        <v>101</v>
      </c>
      <c r="B12" s="14" t="s">
        <v>102</v>
      </c>
    </row>
    <row r="13" spans="1:2" ht="45" customHeight="1">
      <c r="A13" s="8" t="s">
        <v>103</v>
      </c>
      <c r="B13" s="14" t="s">
        <v>104</v>
      </c>
    </row>
    <row r="14" spans="1:2" ht="45" customHeight="1">
      <c r="A14" s="8" t="s">
        <v>105</v>
      </c>
      <c r="B14" s="14" t="s">
        <v>106</v>
      </c>
    </row>
    <row r="15" spans="1:2" ht="45" customHeight="1">
      <c r="A15" s="8" t="s">
        <v>107</v>
      </c>
      <c r="B15" s="14" t="s">
        <v>108</v>
      </c>
    </row>
    <row r="16" spans="1:2" ht="45" customHeight="1">
      <c r="A16" s="8" t="s">
        <v>109</v>
      </c>
      <c r="B16" s="14" t="s">
        <v>110</v>
      </c>
    </row>
    <row r="17" spans="1:2" ht="45" customHeight="1">
      <c r="A17" s="8" t="s">
        <v>111</v>
      </c>
      <c r="B17" s="14" t="s">
        <v>112</v>
      </c>
    </row>
    <row r="18" spans="1:2" ht="45" customHeight="1">
      <c r="A18" s="8" t="s">
        <v>113</v>
      </c>
      <c r="B18" s="14" t="s">
        <v>114</v>
      </c>
    </row>
    <row r="19" spans="1:2" ht="45" customHeight="1">
      <c r="A19" s="8" t="s">
        <v>115</v>
      </c>
      <c r="B19" s="14" t="s">
        <v>116</v>
      </c>
    </row>
    <row r="20" spans="1:2" ht="45" customHeight="1">
      <c r="A20" s="8" t="s">
        <v>117</v>
      </c>
      <c r="B20" s="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NTA Model</vt:lpstr>
      <vt:lpstr>Sensitivity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2026-07-31T05:36:06Z</dcterms:created>
  <dcterms:modified xsi:type="dcterms:W3CDTF">2026-07-31T05:36:06Z</dcterms:modified>
</cp:coreProperties>
</file>