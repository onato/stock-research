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 Data" sheetId="3" r:id="rId3"/>
  </sheets>
  <calcPr calcId="124519" fullCalcOnLoad="1"/>
</workbook>
</file>

<file path=xl/sharedStrings.xml><?xml version="1.0" encoding="utf-8"?>
<sst xmlns="http://schemas.openxmlformats.org/spreadsheetml/2006/main" count="175" uniqueCount="145">
  <si>
    <t>TEAM - Atlassian Corporation DCF Valuation Model</t>
  </si>
  <si>
    <t>Gray cells are INPUTS - adjust to see valuation change automatically</t>
  </si>
  <si>
    <t>Valuation Date: 2026-02-24 | Current Price: $68.81</t>
  </si>
  <si>
    <t>KEY INPUTS</t>
  </si>
  <si>
    <t>Current Stock Price ($)</t>
  </si>
  <si>
    <t>Shares Outstanding (M)</t>
  </si>
  <si>
    <t>Cash &amp; Investments (M)</t>
  </si>
  <si>
    <t>Total Debt (M)</t>
  </si>
  <si>
    <t>Net Debt (M) [Debt - Cash]</t>
  </si>
  <si>
    <t>Base Year FCF (M) [FY2025]</t>
  </si>
  <si>
    <t>WACC (Base Case)</t>
  </si>
  <si>
    <t>Terminal Growth Rate</t>
  </si>
  <si>
    <t>BASE CASE - FCF GROWTH RATES</t>
  </si>
  <si>
    <t>Year 1</t>
  </si>
  <si>
    <t>Year 2</t>
  </si>
  <si>
    <t>Year 3</t>
  </si>
  <si>
    <t>Year 4</t>
  </si>
  <si>
    <t>Year 5</t>
  </si>
  <si>
    <t>FCF Growth Rate</t>
  </si>
  <si>
    <t>BASE CASE PROJECTIONS</t>
  </si>
  <si>
    <t>Metric</t>
  </si>
  <si>
    <t>Base FCF</t>
  </si>
  <si>
    <t>Free Cash Flow (M)</t>
  </si>
  <si>
    <t>Discount Factor (WACC)</t>
  </si>
  <si>
    <t>PV of FCF (M)</t>
  </si>
  <si>
    <t>VALUATION SUMMARY</t>
  </si>
  <si>
    <t>Sum of PV of FCF (M)</t>
  </si>
  <si>
    <t>Terminal Year FCF (Y5 x (1+g))</t>
  </si>
  <si>
    <t>Terminal Value (M)</t>
  </si>
  <si>
    <t>PV of Terminal Value (M)</t>
  </si>
  <si>
    <t>% of EV from Terminal Value</t>
  </si>
  <si>
    <t>Enterprise Value (M)</t>
  </si>
  <si>
    <t>Less: Net Debt (M) [neg = net cash]</t>
  </si>
  <si>
    <t>Equity Value (M)</t>
  </si>
  <si>
    <t>BASE CASE INTRINSIC VALUE/SHARE</t>
  </si>
  <si>
    <t>Upside / (Downside) to IV</t>
  </si>
  <si>
    <t>ENTRY PRICE (15% CAGR Target)</t>
  </si>
  <si>
    <t>Terminal Value per Share ($)</t>
  </si>
  <si>
    <t>Entry Price for 15% CAGR ($)</t>
  </si>
  <si>
    <t>Entry Price vs. Current Price</t>
  </si>
  <si>
    <t>Note: Entry price is price today needed to achieve 15% annualized return to terminal value per share over 5 years.</t>
  </si>
  <si>
    <t>SCENARIO COMPARISON</t>
  </si>
  <si>
    <t>Bear Case</t>
  </si>
  <si>
    <t>Base Case</t>
  </si>
  <si>
    <t>Bull Case</t>
  </si>
  <si>
    <t>WACC</t>
  </si>
  <si>
    <t>12%</t>
  </si>
  <si>
    <t>10%</t>
  </si>
  <si>
    <t>9%</t>
  </si>
  <si>
    <t>2.5%</t>
  </si>
  <si>
    <t>3%</t>
  </si>
  <si>
    <t>3.5%</t>
  </si>
  <si>
    <t>FCF Growth Y1-Y5</t>
  </si>
  <si>
    <t>13-4%</t>
  </si>
  <si>
    <t>20-12%</t>
  </si>
  <si>
    <t>27-16%</t>
  </si>
  <si>
    <t>Intrinsic Value/Share</t>
  </si>
  <si>
    <t>$76.02</t>
  </si>
  <si>
    <t>$137.60</t>
  </si>
  <si>
    <t>$217.16</t>
  </si>
  <si>
    <t>Upside to IV</t>
  </si>
  <si>
    <t>10.5%</t>
  </si>
  <si>
    <t>100.0%</t>
  </si>
  <si>
    <t>215.6%</t>
  </si>
  <si>
    <t>Entry Price (15% CAGR)</t>
  </si>
  <si>
    <t>$42.60</t>
  </si>
  <si>
    <t>$82.32</t>
  </si>
  <si>
    <t>$134.21</t>
  </si>
  <si>
    <t>Terminal Value per Share</t>
  </si>
  <si>
    <t>$85.68</t>
  </si>
  <si>
    <t>$165.58</t>
  </si>
  <si>
    <t>$269.95</t>
  </si>
  <si>
    <t>PROBABILITY-WEIGHTED IV</t>
  </si>
  <si>
    <t>Weights: Bear 25%</t>
  </si>
  <si>
    <t>Base 50%</t>
  </si>
  <si>
    <t>Bull 25%</t>
  </si>
  <si>
    <t>Probability-Weighted Intrinsic Value</t>
  </si>
  <si>
    <t>$142.09</t>
  </si>
  <si>
    <t>Upside: 106.5%</t>
  </si>
  <si>
    <t>KEY NOTES:</t>
  </si>
  <si>
    <t>1. FCF is the primary valuation metric (not GAAP earnings). Atlassian SBC is ~27% of revenue; GAAP operating income is negative.</t>
  </si>
  <si>
    <t>2. FY2025 FCF = $1,415.5M on $5,215M revenue (27.2% FCF margin). Management targets 25%+ non-GAAP operating margin in FY27.</t>
  </si>
  <si>
    <t>3. Net cash position of $577.4M (Cash $1,566M - Debt $989M) adds to equity value.</t>
  </si>
  <si>
    <t>4. Data Center 2029 EOL creates guaranteed cloud migration pipeline; FY27 DC revenue expected to decelerate meaningfully.</t>
  </si>
  <si>
    <t>5. Adjustable gray cells: change WACC, Terminal Growth, and FCF Growth Rates to stress-test the valuation.</t>
  </si>
  <si>
    <t>TEAM - Sensitivity Analysis: Intrinsic Value per Share</t>
  </si>
  <si>
    <t>Base case FCF growth rates [20%, 18%, 16%, 14%, 12%] applied from FY2025 FCF of $1,415.5M. Net cash of $577.4M added.</t>
  </si>
  <si>
    <t>Highlighted: Current Price = $68.81 | Base Case IV = $137.60 | Probability-Weighted IV = $142.09</t>
  </si>
  <si>
    <t>WACC \ Term Growth</t>
  </si>
  <si>
    <t>2.0%</t>
  </si>
  <si>
    <t>3.0%</t>
  </si>
  <si>
    <t>4.0%</t>
  </si>
  <si>
    <t>8.0%</t>
  </si>
  <si>
    <t>9.0%</t>
  </si>
  <si>
    <t>10.0%</t>
  </si>
  <si>
    <t>11.0%</t>
  </si>
  <si>
    <t>12.0%</t>
  </si>
  <si>
    <t>Color Legend:</t>
  </si>
  <si>
    <t>Dark Green: &gt;1.5x current price (&gt;$103)</t>
  </si>
  <si>
    <t>Light Green: above current price ($68.81+)</t>
  </si>
  <si>
    <t>Yellow: below current price (&lt;$68.81)</t>
  </si>
  <si>
    <t>SCENARIO ASSUMPTIONS REFERENCE</t>
  </si>
  <si>
    <t>Scenario</t>
  </si>
  <si>
    <t>FCF Growth Rates</t>
  </si>
  <si>
    <t>Terminal Growth</t>
  </si>
  <si>
    <t>Intrinsic Value</t>
  </si>
  <si>
    <t>Upside</t>
  </si>
  <si>
    <t>13%, 10%, 8%, 6%, 4%</t>
  </si>
  <si>
    <t>20%, 18%, 16%, 14%, 12%</t>
  </si>
  <si>
    <t>27%, 25%, 22%, 19%, 16%</t>
  </si>
  <si>
    <t>Prob. Weighted</t>
  </si>
  <si>
    <t>Bear 25% / Base 50% / Bull 25%</t>
  </si>
  <si>
    <t>—</t>
  </si>
  <si>
    <t>106.5%</t>
  </si>
  <si>
    <t>TEAM - Historical Growth Rates &amp; Metrics</t>
  </si>
  <si>
    <t>Source: TEAM_Metrics.csv (US GAAP). FY ends June 30.</t>
  </si>
  <si>
    <t>3-Year CAGR</t>
  </si>
  <si>
    <t>5-Year CAGR</t>
  </si>
  <si>
    <t>Notes</t>
  </si>
  <si>
    <t>Revenue</t>
  </si>
  <si>
    <t>FY2022-FY2025 (3Y): $2.8B-&gt;$5.2B. FY2020-FY2025 (5Y): $1.6B-&gt;$5.2B. Strong consistent growth.</t>
  </si>
  <si>
    <t>Free Cash Flow</t>
  </si>
  <si>
    <t>FY2022-FY2025 (3Y): $750M-&gt;$1,415M. FCF flat YoY in FY25 due to capex ramp. Primary valuation metric.</t>
  </si>
  <si>
    <t>Shareholders Equity</t>
  </si>
  <si>
    <t>FY2022-FY2025 (3Y): $327M-&gt;$1,346M. 3Y CAGR inflated by depressed FY22 base. Not used as primary metric.</t>
  </si>
  <si>
    <t>EPS (GAAP)</t>
  </si>
  <si>
    <t>N/A</t>
  </si>
  <si>
    <t>All years negative (-$2.05 FY22 to -$0.98 FY25). CAGR not meaningful. EPS improving but SBC-driven losses persist.</t>
  </si>
  <si>
    <t>Selected Growth Rate:</t>
  </si>
  <si>
    <t>Source:</t>
  </si>
  <si>
    <t>fcf_3yr_cagr</t>
  </si>
  <si>
    <t>Rationale:</t>
  </si>
  <si>
    <t>Per company-specific instructions, FCF CAGR is the primary metric for TEAM (not equity CAGR), as GAAP net losses from SBC make equity growth unreliable. The FCF 3-year CAGR of 23.6% aligns closely with revenue growth (23.0% 3Y CAGR) and management guidance of 20%+ through FY2027. Selected as the representative growth rate, with scenarios modeled above and below this.</t>
  </si>
  <si>
    <t>DIVERGENCE WARNING: Equity 3Y CAGR (60.2%) diverges significantly from Revenue 3Y CAGR (23.0%) — gap of 37.2pp. This is due to the artificially depressed FY2022 equity base ($327M) from GAAP net losses. Equity CAGR is not used for DCF; FCF CAGR is the selected primary metric. No divergence concern between FCF and Revenue CAGRs (0.6pp gap).</t>
  </si>
  <si>
    <t>ANNUAL REVENUE HISTORY</t>
  </si>
  <si>
    <t>Fiscal Year</t>
  </si>
  <si>
    <t>Revenue (M)</t>
  </si>
  <si>
    <t>FCF (M)</t>
  </si>
  <si>
    <t>FCF Margin</t>
  </si>
  <si>
    <t>FY2020</t>
  </si>
  <si>
    <t>FY2021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</si>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</sst>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#,##0.00"/>
    <numFmt numFmtId="167" formatCode="&quot;$&quot;#,##0.00"/>
  </numFmts>
  <fonts count="9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36E72"/>
      <name val="Calibri"/>
      <family val="2"/>
      <scheme val="minor"/>
    </font>
    <font>
      <i/>
      <sz val="11"/>
      <color rgb="FF2D343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6FA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FDCB6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3" borderId="2" xfId="0" applyNumberFormat="1" applyFill="1" applyBorder="1"/>
    <xf numFmtId="164" fontId="0" fillId="0" borderId="2" xfId="0" applyNumberFormat="1" applyBorder="1"/>
    <xf numFmtId="165" fontId="0" fillId="3" borderId="2" xfId="0" applyNumberFormat="1" applyFill="1" applyBorder="1"/>
    <xf numFmtId="0" fontId="4" fillId="4" borderId="2" xfId="0" applyFont="1" applyFill="1" applyBorder="1" applyAlignment="1">
      <alignment horizontal="center"/>
    </xf>
    <xf numFmtId="0" fontId="5" fillId="0" borderId="0" xfId="0" applyFont="1"/>
    <xf numFmtId="166" fontId="0" fillId="0" borderId="2" xfId="0" applyNumberFormat="1" applyBorder="1"/>
    <xf numFmtId="165" fontId="0" fillId="0" borderId="2" xfId="0" applyNumberFormat="1" applyBorder="1"/>
    <xf numFmtId="167" fontId="6" fillId="5" borderId="3" xfId="0" applyNumberFormat="1" applyFont="1" applyFill="1" applyBorder="1"/>
    <xf numFmtId="167" fontId="0" fillId="0" borderId="2" xfId="0" applyNumberFormat="1" applyBorder="1"/>
    <xf numFmtId="0" fontId="7" fillId="0" borderId="0" xfId="0" applyFont="1" applyAlignment="1">
      <alignment wrapText="1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65" fontId="4" fillId="5" borderId="2" xfId="0" applyNumberFormat="1" applyFont="1" applyFill="1" applyBorder="1"/>
    <xf numFmtId="167" fontId="4" fillId="5" borderId="2" xfId="0" applyNumberFormat="1" applyFont="1" applyFill="1" applyBorder="1"/>
    <xf numFmtId="167" fontId="0" fillId="8" borderId="2" xfId="0" applyNumberFormat="1" applyFill="1" applyBorder="1"/>
    <xf numFmtId="0" fontId="4" fillId="5" borderId="2" xfId="0" applyFont="1" applyFill="1" applyBorder="1"/>
    <xf numFmtId="0" fontId="0" fillId="8" borderId="2" xfId="0" applyFill="1" applyBorder="1"/>
    <xf numFmtId="0" fontId="0" fillId="9" borderId="2" xfId="0" applyFill="1" applyBorder="1"/>
    <xf numFmtId="0" fontId="0" fillId="0" borderId="2" xfId="0" applyBorder="1"/>
    <xf numFmtId="0" fontId="8" fillId="1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zoomScale="90" zoomScaleNormal="90" workbookViewId="0"/>
  </sheetViews>
  <sheetFormatPr defaultRowHeight="15"/>
  <cols>
    <col min="1" max="1" width="30.7109375" customWidth="1"/>
    <col min="2" max="8" width="15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</row>
    <row r="3" spans="1:7">
      <c r="A3" s="2" t="s">
        <v>2</v>
      </c>
    </row>
    <row r="5" spans="1:7">
      <c r="A5" s="3" t="s">
        <v>3</v>
      </c>
      <c r="B5" s="3"/>
    </row>
    <row r="6" spans="1:7">
      <c r="A6" t="s">
        <v>4</v>
      </c>
      <c r="B6" s="4">
        <v>68.81</v>
      </c>
    </row>
    <row r="7" spans="1:7">
      <c r="A7" t="s">
        <v>5</v>
      </c>
      <c r="B7" s="4">
        <v>263.8</v>
      </c>
    </row>
    <row r="8" spans="1:7">
      <c r="A8" t="s">
        <v>6</v>
      </c>
      <c r="B8" s="4">
        <v>1566</v>
      </c>
    </row>
    <row r="9" spans="1:7">
      <c r="A9" t="s">
        <v>7</v>
      </c>
      <c r="B9" s="4">
        <v>988.6</v>
      </c>
    </row>
    <row r="10" spans="1:7">
      <c r="A10" t="s">
        <v>8</v>
      </c>
      <c r="B10" s="5">
        <f>B9-B8</f>
        <v>0</v>
      </c>
    </row>
    <row r="11" spans="1:7">
      <c r="A11" t="s">
        <v>9</v>
      </c>
      <c r="B11" s="4">
        <v>1415.5</v>
      </c>
    </row>
    <row r="13" spans="1:7">
      <c r="A13" t="s">
        <v>10</v>
      </c>
      <c r="B13" s="6">
        <v>0.1</v>
      </c>
    </row>
    <row r="14" spans="1:7">
      <c r="A14" t="s">
        <v>11</v>
      </c>
      <c r="B14" s="6">
        <v>0.03</v>
      </c>
    </row>
    <row r="16" spans="1:7">
      <c r="A16" s="3" t="s">
        <v>12</v>
      </c>
      <c r="B16" s="3"/>
    </row>
    <row r="17" spans="1:7">
      <c r="A17" t="s">
        <v>18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</row>
    <row r="18" spans="1:7">
      <c r="A18" s="8" t="s">
        <v>18</v>
      </c>
      <c r="B18" s="6">
        <v>0.2</v>
      </c>
      <c r="C18" s="6">
        <v>0.18</v>
      </c>
      <c r="D18" s="6">
        <v>0.16</v>
      </c>
      <c r="E18" s="6">
        <v>0.14</v>
      </c>
      <c r="F18" s="6">
        <v>0.12</v>
      </c>
    </row>
    <row r="20" spans="1:7">
      <c r="A20" s="3" t="s">
        <v>19</v>
      </c>
      <c r="B20" s="3"/>
    </row>
    <row r="21" spans="1:7">
      <c r="A21" s="7" t="s">
        <v>20</v>
      </c>
      <c r="B21" s="7" t="s">
        <v>21</v>
      </c>
      <c r="C21" s="7" t="s">
        <v>13</v>
      </c>
      <c r="D21" s="7" t="s">
        <v>14</v>
      </c>
      <c r="E21" s="7" t="s">
        <v>15</v>
      </c>
      <c r="F21" s="7" t="s">
        <v>16</v>
      </c>
      <c r="G21" s="7" t="s">
        <v>17</v>
      </c>
    </row>
    <row r="22" spans="1:7">
      <c r="A22" t="s">
        <v>22</v>
      </c>
      <c r="B22" s="5">
        <f>B11</f>
        <v>0</v>
      </c>
      <c r="C22" s="5">
        <f>B22*(1+B18)</f>
        <v>0</v>
      </c>
      <c r="D22" s="5">
        <f>C22*(1+C18)</f>
        <v>0</v>
      </c>
      <c r="E22" s="5">
        <f>D22*(1+D18)</f>
        <v>0</v>
      </c>
      <c r="F22" s="5">
        <f>E22*(1+E18)</f>
        <v>0</v>
      </c>
      <c r="G22" s="5">
        <f>F22*(1+F18)</f>
        <v>0</v>
      </c>
    </row>
    <row r="23" spans="1:7">
      <c r="A23" t="s">
        <v>23</v>
      </c>
      <c r="B23" s="9">
        <v>1</v>
      </c>
      <c r="C23" s="9">
        <f>1/(1+$B$13)^1</f>
        <v>0</v>
      </c>
      <c r="D23" s="9">
        <f>1/(1+$B$13)^2</f>
        <v>0</v>
      </c>
      <c r="E23" s="9">
        <f>1/(1+$B$13)^3</f>
        <v>0</v>
      </c>
      <c r="F23" s="9">
        <f>1/(1+$B$13)^4</f>
        <v>0</v>
      </c>
      <c r="G23" s="9">
        <f>1/(1+$B$13)^5</f>
        <v>0</v>
      </c>
    </row>
    <row r="24" spans="1:7">
      <c r="A24" t="s">
        <v>24</v>
      </c>
      <c r="B24" s="5"/>
      <c r="C24" s="5">
        <f>C22*C23</f>
        <v>0</v>
      </c>
      <c r="D24" s="5">
        <f>D22*D23</f>
        <v>0</v>
      </c>
      <c r="E24" s="5">
        <f>E22*E23</f>
        <v>0</v>
      </c>
      <c r="F24" s="5">
        <f>F22*F23</f>
        <v>0</v>
      </c>
      <c r="G24" s="5">
        <f>G22*G23</f>
        <v>0</v>
      </c>
    </row>
    <row r="26" spans="1:7">
      <c r="A26" s="3" t="s">
        <v>25</v>
      </c>
      <c r="B26" s="3"/>
    </row>
    <row r="27" spans="1:7">
      <c r="A27" t="s">
        <v>26</v>
      </c>
      <c r="B27" s="5">
        <f>SUM(C24:G24)</f>
        <v>0</v>
      </c>
    </row>
    <row r="28" spans="1:7">
      <c r="A28" t="s">
        <v>27</v>
      </c>
      <c r="B28" s="5">
        <f>G22*(1+$B$14)</f>
        <v>0</v>
      </c>
    </row>
    <row r="29" spans="1:7">
      <c r="A29" t="s">
        <v>28</v>
      </c>
      <c r="B29" s="5">
        <f>B28/($B$13-$B$14)</f>
        <v>0</v>
      </c>
    </row>
    <row r="30" spans="1:7">
      <c r="A30" t="s">
        <v>29</v>
      </c>
      <c r="B30" s="5">
        <f>B29*G23</f>
        <v>0</v>
      </c>
    </row>
    <row r="31" spans="1:7">
      <c r="A31" t="s">
        <v>30</v>
      </c>
      <c r="B31" s="10">
        <f>B30/(B27+B30)</f>
        <v>0</v>
      </c>
    </row>
    <row r="32" spans="1:7">
      <c r="A32" t="s">
        <v>31</v>
      </c>
      <c r="B32" s="5">
        <f>B27+B30</f>
        <v>0</v>
      </c>
    </row>
    <row r="33" spans="1:4">
      <c r="A33" t="s">
        <v>32</v>
      </c>
      <c r="B33" s="5">
        <f>B10</f>
        <v>0</v>
      </c>
    </row>
    <row r="34" spans="1:4">
      <c r="A34" t="s">
        <v>33</v>
      </c>
      <c r="B34" s="5">
        <f>B32-B33</f>
        <v>0</v>
      </c>
    </row>
    <row r="35" spans="1:4">
      <c r="A35" t="s">
        <v>34</v>
      </c>
      <c r="B35" s="11">
        <f>B34/B7</f>
        <v>0</v>
      </c>
    </row>
    <row r="36" spans="1:4">
      <c r="A36" t="s">
        <v>35</v>
      </c>
      <c r="B36" s="10">
        <f>(B35-B6)/B6</f>
        <v>0</v>
      </c>
    </row>
    <row r="38" spans="1:4">
      <c r="A38" s="3" t="s">
        <v>36</v>
      </c>
      <c r="B38" s="3"/>
    </row>
    <row r="39" spans="1:4">
      <c r="A39" t="s">
        <v>37</v>
      </c>
      <c r="B39" s="12">
        <f>B29/B7</f>
        <v>0</v>
      </c>
    </row>
    <row r="40" spans="1:4">
      <c r="A40" t="s">
        <v>38</v>
      </c>
      <c r="B40" s="11">
        <f>B39/(1.15^5)</f>
        <v>0</v>
      </c>
    </row>
    <row r="41" spans="1:4">
      <c r="A41" t="s">
        <v>39</v>
      </c>
      <c r="B41" s="10">
        <f>(B40-B6)/B6</f>
        <v>0</v>
      </c>
    </row>
    <row r="43" spans="1:4">
      <c r="A43" s="13" t="s">
        <v>40</v>
      </c>
    </row>
    <row r="45" spans="1:4">
      <c r="A45" s="3" t="s">
        <v>41</v>
      </c>
      <c r="B45" s="3"/>
    </row>
    <row r="46" spans="1:4">
      <c r="A46" s="14" t="s">
        <v>20</v>
      </c>
      <c r="B46" s="15" t="s">
        <v>42</v>
      </c>
      <c r="C46" s="7" t="s">
        <v>43</v>
      </c>
      <c r="D46" s="16" t="s">
        <v>44</v>
      </c>
    </row>
    <row r="47" spans="1:4">
      <c r="A47" s="8" t="s">
        <v>45</v>
      </c>
      <c r="B47" t="s">
        <v>46</v>
      </c>
      <c r="C47" t="s">
        <v>47</v>
      </c>
      <c r="D47" t="s">
        <v>48</v>
      </c>
    </row>
    <row r="48" spans="1:4">
      <c r="A48" s="8" t="s">
        <v>11</v>
      </c>
      <c r="B48" t="s">
        <v>49</v>
      </c>
      <c r="C48" t="s">
        <v>50</v>
      </c>
      <c r="D48" t="s">
        <v>51</v>
      </c>
    </row>
    <row r="49" spans="1:4">
      <c r="A49" s="8" t="s">
        <v>52</v>
      </c>
      <c r="B49" t="s">
        <v>53</v>
      </c>
      <c r="C49" t="s">
        <v>54</v>
      </c>
      <c r="D49" t="s">
        <v>55</v>
      </c>
    </row>
    <row r="50" spans="1:4">
      <c r="A50" s="8" t="s">
        <v>56</v>
      </c>
      <c r="B50" t="s">
        <v>57</v>
      </c>
      <c r="C50" t="s">
        <v>58</v>
      </c>
      <c r="D50" t="s">
        <v>59</v>
      </c>
    </row>
    <row r="51" spans="1:4">
      <c r="A51" s="8" t="s">
        <v>60</v>
      </c>
      <c r="B51" t="s">
        <v>61</v>
      </c>
      <c r="C51" t="s">
        <v>62</v>
      </c>
      <c r="D51" t="s">
        <v>63</v>
      </c>
    </row>
    <row r="52" spans="1:4">
      <c r="A52" s="8" t="s">
        <v>64</v>
      </c>
      <c r="B52" t="s">
        <v>65</v>
      </c>
      <c r="C52" t="s">
        <v>66</v>
      </c>
      <c r="D52" t="s">
        <v>67</v>
      </c>
    </row>
    <row r="53" spans="1:4">
      <c r="A53" s="8" t="s">
        <v>68</v>
      </c>
      <c r="B53" t="s">
        <v>69</v>
      </c>
      <c r="C53" t="s">
        <v>70</v>
      </c>
      <c r="D53" t="s">
        <v>71</v>
      </c>
    </row>
    <row r="55" spans="1:4">
      <c r="A55" s="8" t="s">
        <v>72</v>
      </c>
      <c r="B55" t="s">
        <v>73</v>
      </c>
      <c r="C55" t="s">
        <v>74</v>
      </c>
      <c r="D55" t="s">
        <v>75</v>
      </c>
    </row>
    <row r="56" spans="1:4">
      <c r="A56" s="8" t="s">
        <v>76</v>
      </c>
      <c r="B56" s="11" t="s">
        <v>77</v>
      </c>
      <c r="C56" s="17" t="s">
        <v>78</v>
      </c>
    </row>
    <row r="58" spans="1:4">
      <c r="A58" s="8" t="s">
        <v>79</v>
      </c>
    </row>
    <row r="59" spans="1:4" ht="20" customHeight="1">
      <c r="A59" s="13" t="s">
        <v>80</v>
      </c>
    </row>
    <row r="60" spans="1:4" ht="20" customHeight="1">
      <c r="A60" s="13" t="s">
        <v>81</v>
      </c>
    </row>
    <row r="61" spans="1:4" ht="20" customHeight="1">
      <c r="A61" s="13" t="s">
        <v>82</v>
      </c>
    </row>
    <row r="62" spans="1:4" ht="20" customHeight="1">
      <c r="A62" s="13" t="s">
        <v>83</v>
      </c>
    </row>
    <row r="63" spans="1:4" ht="20" customHeight="1">
      <c r="A63" s="13" t="s">
        <v>84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zoomScale="90" zoomScaleNormal="90" workbookViewId="0"/>
  </sheetViews>
  <sheetFormatPr defaultRowHeight="15"/>
  <cols>
    <col min="1" max="1" width="20.7109375" customWidth="1"/>
    <col min="2" max="7" width="14.7109375" customWidth="1"/>
  </cols>
  <sheetData>
    <row r="1" spans="1:6">
      <c r="A1" s="1" t="s">
        <v>85</v>
      </c>
      <c r="B1" s="1"/>
      <c r="C1" s="1"/>
      <c r="D1" s="1"/>
      <c r="E1" s="1"/>
      <c r="F1" s="1"/>
    </row>
    <row r="2" spans="1:6">
      <c r="A2" s="2" t="s">
        <v>86</v>
      </c>
    </row>
    <row r="3" spans="1:6">
      <c r="A3" s="2" t="s">
        <v>87</v>
      </c>
    </row>
    <row r="5" spans="1:6">
      <c r="A5" s="14" t="s">
        <v>88</v>
      </c>
      <c r="B5" s="14" t="s">
        <v>89</v>
      </c>
      <c r="C5" s="14" t="s">
        <v>49</v>
      </c>
      <c r="D5" s="14" t="s">
        <v>90</v>
      </c>
      <c r="E5" s="14" t="s">
        <v>51</v>
      </c>
      <c r="F5" s="14" t="s">
        <v>91</v>
      </c>
    </row>
    <row r="6" spans="1:6">
      <c r="A6" s="14" t="s">
        <v>92</v>
      </c>
      <c r="B6" s="18">
        <v>166.9</v>
      </c>
      <c r="C6" s="18">
        <v>179.44</v>
      </c>
      <c r="D6" s="18">
        <v>194.48</v>
      </c>
      <c r="E6" s="18">
        <v>212.86</v>
      </c>
      <c r="F6" s="18">
        <v>235.83</v>
      </c>
    </row>
    <row r="7" spans="1:6">
      <c r="A7" s="14" t="s">
        <v>93</v>
      </c>
      <c r="B7" s="18">
        <v>142.3</v>
      </c>
      <c r="C7" s="18">
        <v>151.06</v>
      </c>
      <c r="D7" s="18">
        <v>161.28</v>
      </c>
      <c r="E7" s="18">
        <v>173.36</v>
      </c>
      <c r="F7" s="18">
        <v>187.86</v>
      </c>
    </row>
    <row r="8" spans="1:6">
      <c r="A8" s="14" t="s">
        <v>94</v>
      </c>
      <c r="B8" s="18">
        <v>123.88</v>
      </c>
      <c r="C8" s="18">
        <v>130.29</v>
      </c>
      <c r="D8" s="18">
        <v>137.61</v>
      </c>
      <c r="E8" s="18">
        <v>146.05</v>
      </c>
      <c r="F8" s="18">
        <v>155.91</v>
      </c>
    </row>
    <row r="9" spans="1:6">
      <c r="A9" s="14" t="s">
        <v>95</v>
      </c>
      <c r="B9" s="18">
        <v>109.58</v>
      </c>
      <c r="C9" s="18">
        <v>114.43</v>
      </c>
      <c r="D9" s="18">
        <v>119.88</v>
      </c>
      <c r="E9" s="18">
        <v>126.06</v>
      </c>
      <c r="F9" s="18">
        <v>133.12</v>
      </c>
    </row>
    <row r="10" spans="1:6">
      <c r="A10" s="14" t="s">
        <v>96</v>
      </c>
      <c r="B10" s="19">
        <v>98.17</v>
      </c>
      <c r="C10" s="19">
        <v>101.93</v>
      </c>
      <c r="D10" s="18">
        <v>106.12</v>
      </c>
      <c r="E10" s="18">
        <v>110.79</v>
      </c>
      <c r="F10" s="18">
        <v>116.05</v>
      </c>
    </row>
    <row r="12" spans="1:6">
      <c r="A12" s="8" t="s">
        <v>97</v>
      </c>
      <c r="B12" s="20" t="s">
        <v>98</v>
      </c>
      <c r="C12" s="21" t="s">
        <v>99</v>
      </c>
      <c r="D12" s="22" t="s">
        <v>100</v>
      </c>
    </row>
    <row r="15" spans="1:6">
      <c r="A15" s="8" t="s">
        <v>101</v>
      </c>
    </row>
    <row r="16" spans="1:6">
      <c r="A16" s="14" t="s">
        <v>102</v>
      </c>
      <c r="B16" s="14" t="s">
        <v>103</v>
      </c>
      <c r="C16" s="14" t="s">
        <v>45</v>
      </c>
      <c r="D16" s="14" t="s">
        <v>104</v>
      </c>
      <c r="E16" s="14" t="s">
        <v>105</v>
      </c>
      <c r="F16" s="14" t="s">
        <v>106</v>
      </c>
    </row>
    <row r="17" spans="1:6">
      <c r="A17" s="23" t="s">
        <v>42</v>
      </c>
      <c r="B17" s="23" t="s">
        <v>107</v>
      </c>
      <c r="C17" s="23" t="s">
        <v>96</v>
      </c>
      <c r="D17" s="23" t="s">
        <v>49</v>
      </c>
      <c r="E17" s="23" t="s">
        <v>57</v>
      </c>
      <c r="F17" s="23" t="s">
        <v>61</v>
      </c>
    </row>
    <row r="18" spans="1:6">
      <c r="A18" s="23" t="s">
        <v>43</v>
      </c>
      <c r="B18" s="23" t="s">
        <v>108</v>
      </c>
      <c r="C18" s="23" t="s">
        <v>94</v>
      </c>
      <c r="D18" s="23" t="s">
        <v>90</v>
      </c>
      <c r="E18" s="23" t="s">
        <v>58</v>
      </c>
      <c r="F18" s="23" t="s">
        <v>62</v>
      </c>
    </row>
    <row r="19" spans="1:6">
      <c r="A19" s="23" t="s">
        <v>44</v>
      </c>
      <c r="B19" s="23" t="s">
        <v>109</v>
      </c>
      <c r="C19" s="23" t="s">
        <v>93</v>
      </c>
      <c r="D19" s="23" t="s">
        <v>51</v>
      </c>
      <c r="E19" s="23" t="s">
        <v>59</v>
      </c>
      <c r="F19" s="23" t="s">
        <v>63</v>
      </c>
    </row>
    <row r="20" spans="1:6">
      <c r="A20" s="23" t="s">
        <v>110</v>
      </c>
      <c r="B20" s="23" t="s">
        <v>111</v>
      </c>
      <c r="C20" s="23" t="s">
        <v>112</v>
      </c>
      <c r="D20" s="23" t="s">
        <v>112</v>
      </c>
      <c r="E20" s="23" t="s">
        <v>77</v>
      </c>
      <c r="F20" s="23" t="s">
        <v>113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zoomScale="90" zoomScaleNormal="90" workbookViewId="0"/>
  </sheetViews>
  <sheetFormatPr defaultRowHeight="15"/>
  <cols>
    <col min="1" max="1" width="22.7109375" customWidth="1"/>
    <col min="2" max="3" width="16.7109375" customWidth="1"/>
    <col min="4" max="4" width="50.7109375" customWidth="1"/>
  </cols>
  <sheetData>
    <row r="1" spans="1:4">
      <c r="A1" s="1" t="s">
        <v>114</v>
      </c>
      <c r="B1" s="1"/>
      <c r="C1" s="1"/>
      <c r="D1" s="1"/>
    </row>
    <row r="2" spans="1:4">
      <c r="A2" s="2" t="s">
        <v>115</v>
      </c>
    </row>
    <row r="4" spans="1:4">
      <c r="A4" s="14" t="s">
        <v>20</v>
      </c>
      <c r="B4" s="14" t="s">
        <v>116</v>
      </c>
      <c r="C4" s="14" t="s">
        <v>117</v>
      </c>
      <c r="D4" s="14" t="s">
        <v>118</v>
      </c>
    </row>
    <row r="5" spans="1:4" ht="30" customHeight="1">
      <c r="A5" s="8" t="s">
        <v>119</v>
      </c>
      <c r="B5" s="10">
        <v>0.23</v>
      </c>
      <c r="C5" s="10">
        <v>0.264</v>
      </c>
      <c r="D5" s="13" t="s">
        <v>120</v>
      </c>
    </row>
    <row r="6" spans="1:4" ht="30" customHeight="1">
      <c r="A6" s="8" t="s">
        <v>121</v>
      </c>
      <c r="B6" s="10">
        <v>0.236</v>
      </c>
      <c r="C6" s="10">
        <v>0.231</v>
      </c>
      <c r="D6" s="13" t="s">
        <v>122</v>
      </c>
    </row>
    <row r="7" spans="1:4" ht="30" customHeight="1">
      <c r="A7" s="8" t="s">
        <v>123</v>
      </c>
      <c r="B7" s="10">
        <v>0.602</v>
      </c>
      <c r="C7" s="10">
        <v>0.185</v>
      </c>
      <c r="D7" s="13" t="s">
        <v>124</v>
      </c>
    </row>
    <row r="8" spans="1:4" ht="30" customHeight="1">
      <c r="A8" s="8" t="s">
        <v>125</v>
      </c>
      <c r="B8" t="s">
        <v>126</v>
      </c>
      <c r="C8" t="s">
        <v>126</v>
      </c>
      <c r="D8" s="13" t="s">
        <v>127</v>
      </c>
    </row>
    <row r="10" spans="1:4">
      <c r="A10" s="8" t="s">
        <v>128</v>
      </c>
      <c r="B10" s="10">
        <v>0.236</v>
      </c>
    </row>
    <row r="11" spans="1:4">
      <c r="A11" t="s">
        <v>129</v>
      </c>
      <c r="B11" t="s">
        <v>130</v>
      </c>
    </row>
    <row r="12" spans="1:4" ht="45" customHeight="1">
      <c r="A12" t="s">
        <v>131</v>
      </c>
      <c r="B12" s="13" t="s">
        <v>132</v>
      </c>
      <c r="C12" s="13"/>
      <c r="D12" s="13"/>
    </row>
    <row r="14" spans="1:4" ht="50" customHeight="1">
      <c r="A14" s="24" t="s">
        <v>133</v>
      </c>
      <c r="B14" s="24"/>
      <c r="C14" s="24"/>
      <c r="D14" s="24"/>
    </row>
    <row r="17" spans="1:4">
      <c r="A17" s="8" t="s">
        <v>134</v>
      </c>
    </row>
    <row r="18" spans="1:4">
      <c r="A18" s="14" t="s">
        <v>135</v>
      </c>
      <c r="B18" s="14" t="s">
        <v>136</v>
      </c>
      <c r="C18" s="14" t="s">
        <v>137</v>
      </c>
      <c r="D18" s="14" t="s">
        <v>138</v>
      </c>
    </row>
    <row r="19" spans="1:4">
      <c r="A19" t="s">
        <v>139</v>
      </c>
      <c r="B19" s="5">
        <v>1614.2</v>
      </c>
      <c r="C19" s="5">
        <v>500.4</v>
      </c>
      <c r="D19" s="10">
        <v>0.3099987609961591</v>
      </c>
    </row>
    <row r="20" spans="1:4">
      <c r="A20" t="s">
        <v>140</v>
      </c>
      <c r="B20" s="5">
        <v>2089.1</v>
      </c>
      <c r="C20" s="5">
        <v>809.8</v>
      </c>
      <c r="D20" s="10">
        <v>0.3876310372887846</v>
      </c>
    </row>
    <row r="21" spans="1:4">
      <c r="A21" t="s">
        <v>141</v>
      </c>
      <c r="B21" s="5">
        <v>2802.9</v>
      </c>
      <c r="C21" s="5">
        <v>750.4</v>
      </c>
      <c r="D21" s="10">
        <v>0.2677227157586785</v>
      </c>
    </row>
    <row r="22" spans="1:4">
      <c r="A22" t="s">
        <v>142</v>
      </c>
      <c r="B22" s="5">
        <v>3534.6</v>
      </c>
      <c r="C22" s="5">
        <v>842.5</v>
      </c>
      <c r="D22" s="10">
        <v>0.2383579471510213</v>
      </c>
    </row>
    <row r="23" spans="1:4">
      <c r="A23" t="s">
        <v>143</v>
      </c>
      <c r="B23" s="5">
        <v>4358.6</v>
      </c>
      <c r="C23" s="5">
        <v>1415.6</v>
      </c>
      <c r="D23" s="10">
        <v>0.3247831872619648</v>
      </c>
    </row>
    <row r="24" spans="1:4">
      <c r="A24" t="s">
        <v>144</v>
      </c>
      <c r="B24" s="5">
        <v>5215.3</v>
      </c>
      <c r="C24" s="5">
        <v>1415.5</v>
      </c>
      <c r="D24" s="10">
        <v>0.2714129580273426</v>
      </c>
    </row>
  </sheetData>
  <mergeCells count="3">
    <mergeCell ref="A1:D1"/>
    <mergeCell ref="B12:D12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 Model</vt:lpstr>
      <vt:lpstr>Sensitivity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2026-02-24T03:47:52Z</dcterms:created>
  <dcterms:modified xsi:type="dcterms:W3CDTF">2026-02-24T03:47:52Z</dcterms:modified>
</cp:coreProperties>
</file>