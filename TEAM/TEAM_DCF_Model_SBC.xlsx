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Overview" sheetId="1" state="visible" r:id="rId3"/>
    <sheet name="DCF Model" sheetId="2" state="visible" r:id="rId4"/>
    <sheet name="Sensitivity Analysis" sheetId="3" state="visible" r:id="rId5"/>
    <sheet name="Scenario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<sst xmlns="http://schemas.openxmlformats.org/spreadsheetml/2006/main" count="220" uniqueCount="186">
  <si>
    <t xml:space="preserve">Atlassian Corporation (NASDAQ: TEAM)</t>
  </si>
  <si>
    <t xml:space="preserve">Deep Dive &amp; DCF Valuation — SBC-Adjusted</t>
  </si>
  <si>
    <t xml:space="preserve">As of February 24, 2026</t>
  </si>
  <si>
    <t xml:space="preserve">Company Snapshot</t>
  </si>
  <si>
    <t xml:space="preserve">Headquarters</t>
  </si>
  <si>
    <t xml:space="preserve">Sydney, Australia</t>
  </si>
  <si>
    <t xml:space="preserve">CEO &amp; Co-Founder</t>
  </si>
  <si>
    <t xml:space="preserve">Mike Cannon-Brookes</t>
  </si>
  <si>
    <t xml:space="preserve">Fiscal Year End</t>
  </si>
  <si>
    <t xml:space="preserve">June 30</t>
  </si>
  <si>
    <t xml:space="preserve">Employees</t>
  </si>
  <si>
    <t xml:space="preserve">~13,000</t>
  </si>
  <si>
    <t xml:space="preserve">Customers</t>
  </si>
  <si>
    <t xml:space="preserve">350,000+</t>
  </si>
  <si>
    <t xml:space="preserve">Cloud ARR Customers &gt;$10K</t>
  </si>
  <si>
    <t xml:space="preserve">49,449+ (as of Q2 FY25)</t>
  </si>
  <si>
    <t xml:space="preserve">AI Monthly Active Users (Rovo)</t>
  </si>
  <si>
    <t xml:space="preserve">5,000,000+</t>
  </si>
  <si>
    <t xml:space="preserve">Historical Financials ($mm)</t>
  </si>
  <si>
    <t xml:space="preserve">FY2022</t>
  </si>
  <si>
    <t xml:space="preserve">FY2023</t>
  </si>
  <si>
    <t xml:space="preserve">FY2024</t>
  </si>
  <si>
    <t xml:space="preserve">FY2025</t>
  </si>
  <si>
    <t xml:space="preserve">Q2 FY2026 (TTM)</t>
  </si>
  <si>
    <t xml:space="preserve">Total Revenue</t>
  </si>
  <si>
    <t xml:space="preserve">YoY Growth</t>
  </si>
  <si>
    <t xml:space="preserve">N/A</t>
  </si>
  <si>
    <t xml:space="preserve">Gross Profit</t>
  </si>
  <si>
    <t xml:space="preserve">Gross Margin</t>
  </si>
  <si>
    <t xml:space="preserve">GAAP Operating Income</t>
  </si>
  <si>
    <t xml:space="preserve">Non-GAAP Operating Margin</t>
  </si>
  <si>
    <t xml:space="preserve">Stock-Based Compensation</t>
  </si>
  <si>
    <t xml:space="preserve">SBC as % of Revenue</t>
  </si>
  <si>
    <t xml:space="preserve">Free Cash Flow</t>
  </si>
  <si>
    <t xml:space="preserve">FCF Margin</t>
  </si>
  <si>
    <t xml:space="preserve">Market Data (as of Feb 2026)</t>
  </si>
  <si>
    <t xml:space="preserve">Current Stock Price</t>
  </si>
  <si>
    <t xml:space="preserve">$68.81</t>
  </si>
  <si>
    <t xml:space="preserve">Shares Outstanding</t>
  </si>
  <si>
    <t xml:space="preserve">263.7M</t>
  </si>
  <si>
    <t xml:space="preserve">Market Capitalization</t>
  </si>
  <si>
    <t xml:space="preserve">~$18.1B</t>
  </si>
  <si>
    <t xml:space="preserve">52-Week Range</t>
  </si>
  <si>
    <t xml:space="preserve">$75.01 - $298.63</t>
  </si>
  <si>
    <t xml:space="preserve">Total Debt</t>
  </si>
  <si>
    <t xml:space="preserve">$1.24B</t>
  </si>
  <si>
    <t xml:space="preserve">Cash &amp; Equivalents</t>
  </si>
  <si>
    <t xml:space="preserve">$2.51B</t>
  </si>
  <si>
    <t xml:space="preserve">Enterprise Value</t>
  </si>
  <si>
    <t xml:space="preserve">~$16.8B</t>
  </si>
  <si>
    <t xml:space="preserve">P/S (TTM)</t>
  </si>
  <si>
    <t xml:space="preserve">~3.1x</t>
  </si>
  <si>
    <t xml:space="preserve">Key Risks (SBC Focus)</t>
  </si>
  <si>
    <t xml:space="preserve">  • SBC is 26% of revenue ($1.36B FY2025) — growing 25%+ YoY, diluting shareholders</t>
  </si>
  <si>
    <t xml:space="preserve">  • GAAP operating loss of $130M despite $5.2B revenue — SBC is the primary reason</t>
  </si>
  <si>
    <t xml:space="preserve">  • Buybacks ($800M+ in H1 FY2026) consume real cash to offset dilution</t>
  </si>
  <si>
    <t xml:space="preserve">  • AI / vibe-coding disruption risk to developer tool demand (Klarna narrative)</t>
  </si>
  <si>
    <t xml:space="preserve">  • Data Center revenue is a melting ice cube — support ends March 2029</t>
  </si>
  <si>
    <t xml:space="preserve">  • Dual-class share structure limits shareholder governance</t>
  </si>
  <si>
    <t xml:space="preserve">Atlassian (TEAM) — SBC-Adjusted DCF Model</t>
  </si>
  <si>
    <t xml:space="preserve">All figures in $mm unless noted. Blue = input. Red = SBC adjustment.</t>
  </si>
  <si>
    <t xml:space="preserve">KEY ASSUMPTIONS</t>
  </si>
  <si>
    <t xml:space="preserve">Tax Rate</t>
  </si>
  <si>
    <t xml:space="preserve">Source: TEAM 10-K FY2025, non-GAAP tax rate</t>
  </si>
  <si>
    <t xml:space="preserve">Risk-Free Rate</t>
  </si>
  <si>
    <t xml:space="preserve">Source: 10-Year US Treasury, Feb 2026</t>
  </si>
  <si>
    <t xml:space="preserve">Equity Risk Premium</t>
  </si>
  <si>
    <t xml:space="preserve">Source: Damodaran, Jan 2026</t>
  </si>
  <si>
    <t xml:space="preserve">Beta (adjusted)</t>
  </si>
  <si>
    <t xml:space="preserve">Adjusted for 70% drawdown, SaaS repricing risk</t>
  </si>
  <si>
    <t xml:space="preserve">Cost of Equity (CAPM)</t>
  </si>
  <si>
    <t xml:space="preserve">Formula: Rf + Beta × ERP</t>
  </si>
  <si>
    <t xml:space="preserve">Cost of Debt (pre-tax)</t>
  </si>
  <si>
    <t xml:space="preserve">Source: ValueInvesting.io</t>
  </si>
  <si>
    <t xml:space="preserve">Debt Weight</t>
  </si>
  <si>
    <t xml:space="preserve">Source: Alpha Spread</t>
  </si>
  <si>
    <t xml:space="preserve">WACC</t>
  </si>
  <si>
    <t xml:space="preserve">Formula</t>
  </si>
  <si>
    <t xml:space="preserve">Terminal Growth Rate</t>
  </si>
  <si>
    <t xml:space="preserve">Assumption: long-run GDP + inflation</t>
  </si>
  <si>
    <t xml:space="preserve">Shares Outstanding (mm)</t>
  </si>
  <si>
    <t xml:space="preserve">Source: Latest filing</t>
  </si>
  <si>
    <t xml:space="preserve">Current Stock Price ($)</t>
  </si>
  <si>
    <t xml:space="preserve">Source: Market data, Feb 24, 2026</t>
  </si>
  <si>
    <t xml:space="preserve">Net Debt ($mm)</t>
  </si>
  <si>
    <t xml:space="preserve">Debt $1,240 minus Cash $2,510</t>
  </si>
  <si>
    <t xml:space="preserve">REVENUE PROJECTION</t>
  </si>
  <si>
    <t xml:space="preserve">Base (FY25)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</si>
  <si>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</si>
  <si>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</si>
  <si>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</si>
  <si>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</si>
  <si>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</si>
  <si>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</si>
  <si>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</si>
  <si>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</si>
  <si>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</si>
  <si>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</si>
  <si>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Revenue Growth Rate</t>
  </si>
  <si>
    <t xml:space="preserve">FREE CASH FLOW BUILD (Non-GAAP)</t>
  </si>
  <si>
    <t xml:space="preserve">Non-GAAP Operating Income</t>
  </si>
  <si>
    <t xml:space="preserve">Less: Taxes</t>
  </si>
  <si>
    <t xml:space="preserve">NOPAT</t>
  </si>
  <si>
    <t xml:space="preserve">Add: D&amp;A + Non-cash Adj (% Rev)</t>
  </si>
  <si>
    <t xml:space="preserve">D&amp;A + Non-cash adjustments</t>
  </si>
  <si>
    <t xml:space="preserve">Less: CapEx (% of Rev)</t>
  </si>
  <si>
    <t xml:space="preserve">CapEx</t>
  </si>
  <si>
    <t xml:space="preserve">Change in WC (% Rev)</t>
  </si>
  <si>
    <t xml:space="preserve">Working Capital Benefit</t>
  </si>
  <si>
    <t xml:space="preserve">Standard UFCF (excl. SBC cost)</t>
  </si>
  <si>
    <t xml:space="preserve">Standard FCF Margin</t>
  </si>
  <si>
    <t xml:space="preserve">SBC ADJUSTMENT — REAL ECONOMIC COST OF DILUTION</t>
  </si>
  <si>
    <t xml:space="preserve">Gross SBC Expense</t>
  </si>
  <si>
    <t xml:space="preserve">Buyback Offset (% of SBC)</t>
  </si>
  <si>
    <t xml:space="preserve">Net SBC Cost to Shareholders</t>
  </si>
  <si>
    <t xml:space="preserve">Less: Buyback Cash Spent</t>
  </si>
  <si>
    <t xml:space="preserve">Total SBC Drag (dilution + buybacks)</t>
  </si>
  <si>
    <t xml:space="preserve">SBC-ADJUSTED UFCF</t>
  </si>
  <si>
    <t xml:space="preserve">SBC-Adjusted FCF Margin</t>
  </si>
  <si>
    <t xml:space="preserve">SBC Drag as % of Standard UFCF</t>
  </si>
  <si>
    <t xml:space="preserve">DCF VALUATION — STANDARD vs. SBC-ADJUSTED</t>
  </si>
  <si>
    <t xml:space="preserve">Discount Period</t>
  </si>
  <si>
    <t xml:space="preserve">Discount Factor</t>
  </si>
  <si>
    <t xml:space="preserve">PV of Standard UFCF</t>
  </si>
  <si>
    <t xml:space="preserve">—</t>
  </si>
  <si>
    <t xml:space="preserve">PV of SBC-Adjusted UFCF</t>
  </si>
  <si>
    <t xml:space="preserve">TERMINAL VALUE &amp; EQUITY VALUE</t>
  </si>
  <si>
    <t xml:space="preserve">Standard</t>
  </si>
  <si>
    <t xml:space="preserve">SBC-Adjusted</t>
  </si>
  <si>
    <t xml:space="preserve">Terminal Year UFCF (FY2035E)</t>
  </si>
  <si>
    <t xml:space="preserve">Terminal Value (Gordon Growth)</t>
  </si>
  <si>
    <t xml:space="preserve">PV of Terminal Value</t>
  </si>
  <si>
    <t xml:space="preserve">Sum of PV of FCFs (Yr 1-10)</t>
  </si>
  <si>
    <t xml:space="preserve">Less: Net Debt (neg = net cash)</t>
  </si>
  <si>
    <t xml:space="preserve">Equity Value</t>
  </si>
  <si>
    <t xml:space="preserve">Implied Share Price</t>
  </si>
  <si>
    <t xml:space="preserve">Current Market Price</t>
  </si>
  <si>
    <t xml:space="preserve">Upside / (Downside)</t>
  </si>
  <si>
    <t xml:space="preserve">% Value from Terminal Value</t>
  </si>
  <si>
    <t xml:space="preserve">Margin of Safety</t>
  </si>
  <si>
    <t xml:space="preserve">Sensitivity Analysis — SBC-Adjusted Implied Price</t>
  </si>
  <si>
    <t xml:space="preserve">WACC vs. Terminal Growth Rate (SBC-Adjusted)</t>
  </si>
  <si>
    <t xml:space="preserve">WACC \ TGR</t>
  </si>
  <si>
    <t xml:space="preserve">SBC % of Revenue vs. Revenue Growth (Implied Price)</t>
  </si>
  <si>
    <t xml:space="preserve">SBC% \ Rev Gr</t>
  </si>
  <si>
    <t xml:space="preserve">Notes:</t>
  </si>
  <si>
    <t xml:space="preserve">1. All prices use SBC-ADJUSTED free cash flows — SBC treated as real economic cost.</t>
  </si>
  <si>
    <t xml:space="preserve">2. WACC vs TGR table uses SBC-adjusted terminal FCF from DCF Model sheet.</t>
  </si>
  <si>
    <t xml:space="preserve">3. SBC% vs Revenue Growth shows impact of SBC intensity on valuation at different growth rates.</t>
  </si>
  <si>
    <t xml:space="preserve">4. At 26% SBC/Rev (current level), even 16% revenue growth produces modest valuations.</t>
  </si>
  <si>
    <t xml:space="preserve">5. The key to upside: SBC % declining toward 12-15% while revenue growth stays &gt;12%.</t>
  </si>
  <si>
    <t xml:space="preserve">Scenario Analysis — SBC-Adjusted</t>
  </si>
  <si>
    <t xml:space="preserve">All scenarios deduct SBC as a real economic cost</t>
  </si>
  <si>
    <t xml:space="preserve">Bear Case</t>
  </si>
  <si>
    <t xml:space="preserve">Base Case</t>
  </si>
  <si>
    <t xml:space="preserve">Bull Case</t>
  </si>
  <si>
    <t xml:space="preserve">5-Yr Avg Revenue CAGR</t>
  </si>
  <si>
    <t xml:space="preserve">Terminal Revenue Growth</t>
  </si>
  <si>
    <t xml:space="preserve">Terminal Non-GAAP Op Margin</t>
  </si>
  <si>
    <t xml:space="preserve">Terminal SBC % of Revenue</t>
  </si>
  <si>
    <t xml:space="preserve">FY2035E Revenue ($mm)</t>
  </si>
  <si>
    <t xml:space="preserve">FY2035E Standard UFCF ($mm)</t>
  </si>
  <si>
    <t xml:space="preserve">Less: Terminal SBC ($mm)</t>
  </si>
  <si>
    <t xml:space="preserve">FY2035E SBC-Adjusted UFCF ($mm)</t>
  </si>
  <si>
    <t xml:space="preserve">Terminal Value ($mm)</t>
  </si>
  <si>
    <t xml:space="preserve">PV of Terminal Value ($mm)</t>
  </si>
  <si>
    <t xml:space="preserve">Approx PV of Adj FCFs 1-10 ($mm)</t>
  </si>
  <si>
    <t xml:space="preserve">Enterprise Value ($mm)</t>
  </si>
  <si>
    <t xml:space="preserve">Plus: Net Cash ($mm)</t>
  </si>
  <si>
    <t xml:space="preserve">Equity Value ($mm)</t>
  </si>
  <si>
    <t xml:space="preserve">SBC-Adjusted Implied Price</t>
  </si>
  <si>
    <t xml:space="preserve">Upside / (Downside) vs $68.81</t>
  </si>
  <si>
    <t xml:space="preserve">Scenario Narratives:</t>
  </si>
  <si>
    <t xml:space="preserve">Bear Case:</t>
  </si>
  <si>
    <t xml:space="preserve">Growth decelerates to 12% CAGR. SBC remains elevated at 18% of revenue through terminal year. AI competition compresses margins. Higher WACC reflects sustained uncertainty.</t>
  </si>
  <si>
    <t xml:space="preserve">Base Case:</t>
  </si>
  <si>
    <t xml:space="preserve">16% revenue CAGR from cloud migration + enterprise wins. SBC declines to 12% of revenue as company matures. 10% WACC reflects elevated but manageable risk.</t>
  </si>
  <si>
    <t xml:space="preserve">Bull Case:</t>
  </si>
  <si>
    <t xml:space="preserve">AI tailwinds via Rovo drive 20% CAGR. SBC drops to 8% as scale reduces reliance on equity comp. Enterprise ITSM + marketing WM expand TAM significantly.</t>
  </si>
  <si>
    <t xml:space="preserve">KEY INSIGHT — SBC Impact:</t>
  </si>
  <si>
    <t xml:space="preserve">Standard DCF (no SBC adj) implied price:</t>
  </si>
  <si>
    <t xml:space="preserve">~$179</t>
  </si>
  <si>
    <t xml:space="preserve">SBC-Adjusted base case implied price:</t>
  </si>
  <si>
    <t xml:space="preserve">See above</t>
  </si>
  <si>
    <t xml:space="preserve">SBC haircut to intrinsic value:</t>
  </si>
  <si>
    <t xml:space="preserve">~30-45% reduction from standard DCF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</si>
</sst>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\$#,##0.00"/>
    <numFmt numFmtId="170" formatCode="0"/>
    <numFmt numFmtId="171" formatCode="0.000"/>
    <numFmt numFmtId="172" formatCode="\$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10"/>
      <color rgb="FFCC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10"/>
      <color rgb="FFCC0000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C6EFCE"/>
      </patternFill>
    </fill>
    <fill>
      <patternFill patternType="solid">
        <fgColor rgb="FF2F5496"/>
        <bgColor rgb="FF555555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DE0DC"/>
        <bgColor rgb="FFF2F2F2"/>
      </patternFill>
    </fill>
    <fill>
      <patternFill patternType="solid">
        <fgColor rgb="FFC0392B"/>
        <bgColor rgb="FF993366"/>
      </patternFill>
    </fill>
    <fill>
      <patternFill patternType="solid">
        <fgColor rgb="FFC6EFCE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DE0D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6100"/>
      <rgbColor rgb="FF333300"/>
      <rgbColor rgb="FFC0392B"/>
      <rgbColor rgb="FF993366"/>
      <rgbColor rgb="FF2F5496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15" hidden="false" customHeight="false" outlineLevel="0" collapsed="false">
      <c r="A8" s="6" t="s">
        <v>8</v>
      </c>
      <c r="B8" s="7" t="s">
        <v>9</v>
      </c>
    </row>
    <row r="9" customFormat="false" ht="15" hidden="false" customHeight="false" outlineLevel="0" collapsed="false">
      <c r="A9" s="6" t="s">
        <v>10</v>
      </c>
      <c r="B9" s="7" t="s">
        <v>11</v>
      </c>
    </row>
    <row r="10" customFormat="false" ht="15" hidden="false" customHeight="false" outlineLevel="0" collapsed="false">
      <c r="A10" s="6" t="s">
        <v>12</v>
      </c>
      <c r="B10" s="7" t="s">
        <v>13</v>
      </c>
    </row>
    <row r="11" customFormat="false" ht="15" hidden="false" customHeight="false" outlineLevel="0" collapsed="false">
      <c r="A11" s="6" t="s">
        <v>14</v>
      </c>
      <c r="B11" s="7" t="s">
        <v>15</v>
      </c>
    </row>
    <row r="12" customFormat="false" ht="15" hidden="false" customHeight="false" outlineLevel="0" collapsed="false">
      <c r="A12" s="6" t="s">
        <v>16</v>
      </c>
      <c r="B12" s="7" t="s">
        <v>17</v>
      </c>
    </row>
    <row r="14" customFormat="false" ht="15" hidden="false" customHeight="false" outlineLevel="0" collapsed="false">
      <c r="A14" s="4" t="s">
        <v>18</v>
      </c>
      <c r="B14" s="5"/>
      <c r="C14" s="5"/>
      <c r="D14" s="5"/>
      <c r="E14" s="5"/>
      <c r="F14" s="5"/>
    </row>
    <row r="15" customFormat="false" ht="15" hidden="false" customHeight="false" outlineLevel="0" collapsed="false">
      <c r="A15" s="8"/>
      <c r="B15" s="8" t="s">
        <v>19</v>
      </c>
      <c r="C15" s="8" t="s">
        <v>20</v>
      </c>
      <c r="D15" s="8" t="s">
        <v>21</v>
      </c>
      <c r="E15" s="8" t="s">
        <v>22</v>
      </c>
      <c r="F15" s="8" t="s">
        <v>23</v>
      </c>
    </row>
    <row r="16" customFormat="false" ht="15" hidden="false" customHeight="false" outlineLevel="0" collapsed="false">
      <c r="A16" s="6" t="s">
        <v>24</v>
      </c>
      <c r="B16" s="9" t="n">
        <v>2803</v>
      </c>
      <c r="C16" s="9" t="n">
        <v>3535</v>
      </c>
      <c r="D16" s="9" t="n">
        <v>4359</v>
      </c>
      <c r="E16" s="9" t="n">
        <v>5215</v>
      </c>
      <c r="F16" s="9" t="n">
        <v>5760</v>
      </c>
    </row>
    <row r="17" customFormat="false" ht="15" hidden="false" customHeight="false" outlineLevel="0" collapsed="false">
      <c r="A17" s="10" t="s">
        <v>25</v>
      </c>
      <c r="B17" s="11" t="s">
        <v>26</v>
      </c>
      <c r="C17" s="12" t="n">
        <v>0.261</v>
      </c>
      <c r="D17" s="12" t="n">
        <v>0.233</v>
      </c>
      <c r="E17" s="12" t="n">
        <v>0.197</v>
      </c>
      <c r="F17" s="11" t="s">
        <v>26</v>
      </c>
    </row>
    <row r="18" customFormat="false" ht="15" hidden="false" customHeight="false" outlineLevel="0" collapsed="false">
      <c r="A18" s="6" t="s">
        <v>27</v>
      </c>
      <c r="B18" s="9" t="n">
        <v>2350</v>
      </c>
      <c r="C18" s="9" t="n">
        <v>2901</v>
      </c>
      <c r="D18" s="9" t="n">
        <v>3555</v>
      </c>
      <c r="E18" s="9" t="n">
        <v>4320</v>
      </c>
      <c r="F18" s="13" t="s">
        <v>26</v>
      </c>
    </row>
    <row r="19" customFormat="false" ht="15" hidden="false" customHeight="false" outlineLevel="0" collapsed="false">
      <c r="A19" s="10" t="s">
        <v>28</v>
      </c>
      <c r="B19" s="12" t="n">
        <v>0.838</v>
      </c>
      <c r="C19" s="12" t="n">
        <v>0.821</v>
      </c>
      <c r="D19" s="12" t="n">
        <v>0.816</v>
      </c>
      <c r="E19" s="12" t="n">
        <v>0.828</v>
      </c>
      <c r="F19" s="11" t="s">
        <v>26</v>
      </c>
    </row>
    <row r="20" customFormat="false" ht="15" hidden="false" customHeight="false" outlineLevel="0" collapsed="false">
      <c r="A20" s="6" t="s">
        <v>29</v>
      </c>
      <c r="B20" s="9" t="n">
        <v>70</v>
      </c>
      <c r="C20" s="9" t="n">
        <v>-345</v>
      </c>
      <c r="D20" s="9" t="n">
        <v>-117</v>
      </c>
      <c r="E20" s="9" t="n">
        <v>-130</v>
      </c>
      <c r="F20" s="13" t="s">
        <v>26</v>
      </c>
    </row>
    <row r="21" customFormat="false" ht="15" hidden="false" customHeight="false" outlineLevel="0" collapsed="false">
      <c r="A21" s="10" t="s">
        <v>30</v>
      </c>
      <c r="B21" s="11" t="s">
        <v>26</v>
      </c>
      <c r="C21" s="11" t="s">
        <v>26</v>
      </c>
      <c r="D21" s="12" t="n">
        <v>0.2</v>
      </c>
      <c r="E21" s="12" t="n">
        <v>0.22</v>
      </c>
      <c r="F21" s="12" t="n">
        <v>0.271</v>
      </c>
    </row>
    <row r="22" customFormat="false" ht="15" hidden="false" customHeight="false" outlineLevel="0" collapsed="false">
      <c r="A22" s="14" t="s">
        <v>31</v>
      </c>
      <c r="B22" s="13" t="s">
        <v>26</v>
      </c>
      <c r="C22" s="13" t="s">
        <v>26</v>
      </c>
      <c r="D22" s="15" t="n">
        <v>1081</v>
      </c>
      <c r="E22" s="15" t="n">
        <v>1362</v>
      </c>
      <c r="F22" s="13" t="s">
        <v>26</v>
      </c>
    </row>
    <row r="23" customFormat="false" ht="15" hidden="false" customHeight="false" outlineLevel="0" collapsed="false">
      <c r="A23" s="16" t="s">
        <v>32</v>
      </c>
      <c r="B23" s="11" t="s">
        <v>26</v>
      </c>
      <c r="C23" s="11" t="s">
        <v>26</v>
      </c>
      <c r="D23" s="17" t="n">
        <v>0.248</v>
      </c>
      <c r="E23" s="17" t="n">
        <v>0.261</v>
      </c>
      <c r="F23" s="11" t="s">
        <v>26</v>
      </c>
    </row>
    <row r="24" customFormat="false" ht="15" hidden="false" customHeight="false" outlineLevel="0" collapsed="false">
      <c r="A24" s="6" t="s">
        <v>33</v>
      </c>
      <c r="B24" s="9" t="n">
        <v>746</v>
      </c>
      <c r="C24" s="9" t="n">
        <v>842</v>
      </c>
      <c r="D24" s="9" t="n">
        <v>1415</v>
      </c>
      <c r="E24" s="9" t="n">
        <v>1416</v>
      </c>
      <c r="F24" s="9" t="n">
        <v>1456</v>
      </c>
    </row>
    <row r="25" customFormat="false" ht="15" hidden="false" customHeight="false" outlineLevel="0" collapsed="false">
      <c r="A25" s="10" t="s">
        <v>34</v>
      </c>
      <c r="B25" s="12" t="n">
        <v>0.266</v>
      </c>
      <c r="C25" s="12" t="n">
        <v>0.238</v>
      </c>
      <c r="D25" s="12" t="n">
        <v>0.325</v>
      </c>
      <c r="E25" s="12" t="n">
        <v>0.272</v>
      </c>
      <c r="F25" s="12" t="n">
        <v>0.253</v>
      </c>
    </row>
    <row r="27" customFormat="false" ht="15" hidden="false" customHeight="false" outlineLevel="0" collapsed="false">
      <c r="A27" s="4" t="s">
        <v>35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6" t="s">
        <v>36</v>
      </c>
      <c r="B28" s="18" t="s">
        <v>37</v>
      </c>
    </row>
    <row r="29" customFormat="false" ht="15" hidden="false" customHeight="false" outlineLevel="0" collapsed="false">
      <c r="A29" s="6" t="s">
        <v>38</v>
      </c>
      <c r="B29" s="18" t="s">
        <v>39</v>
      </c>
    </row>
    <row r="30" customFormat="false" ht="15" hidden="false" customHeight="false" outlineLevel="0" collapsed="false">
      <c r="A30" s="6" t="s">
        <v>40</v>
      </c>
      <c r="B30" s="18" t="s">
        <v>41</v>
      </c>
    </row>
    <row r="31" customFormat="false" ht="15" hidden="false" customHeight="false" outlineLevel="0" collapsed="false">
      <c r="A31" s="6" t="s">
        <v>42</v>
      </c>
      <c r="B31" s="18" t="s">
        <v>43</v>
      </c>
    </row>
    <row r="32" customFormat="false" ht="15" hidden="false" customHeight="false" outlineLevel="0" collapsed="false">
      <c r="A32" s="6" t="s">
        <v>44</v>
      </c>
      <c r="B32" s="18" t="s">
        <v>45</v>
      </c>
    </row>
    <row r="33" customFormat="false" ht="15" hidden="false" customHeight="false" outlineLevel="0" collapsed="false">
      <c r="A33" s="6" t="s">
        <v>46</v>
      </c>
      <c r="B33" s="18" t="s">
        <v>47</v>
      </c>
    </row>
    <row r="34" customFormat="false" ht="15" hidden="false" customHeight="false" outlineLevel="0" collapsed="false">
      <c r="A34" s="6" t="s">
        <v>48</v>
      </c>
      <c r="B34" s="18" t="s">
        <v>49</v>
      </c>
    </row>
    <row r="35" customFormat="false" ht="15" hidden="false" customHeight="false" outlineLevel="0" collapsed="false">
      <c r="A35" s="6" t="s">
        <v>50</v>
      </c>
      <c r="B35" s="18" t="s">
        <v>51</v>
      </c>
    </row>
    <row r="37" customFormat="false" ht="15" hidden="false" customHeight="false" outlineLevel="0" collapsed="false">
      <c r="A37" s="4" t="s">
        <v>52</v>
      </c>
      <c r="B37" s="5"/>
      <c r="C37" s="5"/>
      <c r="D37" s="5"/>
      <c r="E37" s="5"/>
      <c r="F37" s="5"/>
    </row>
    <row r="38" customFormat="false" ht="15" hidden="false" customHeight="false" outlineLevel="0" collapsed="false">
      <c r="A38" s="19" t="s">
        <v>53</v>
      </c>
      <c r="B38" s="19"/>
      <c r="C38" s="19"/>
      <c r="D38" s="19"/>
      <c r="E38" s="19"/>
      <c r="F38" s="19"/>
    </row>
    <row r="39" customFormat="false" ht="15" hidden="false" customHeight="false" outlineLevel="0" collapsed="false">
      <c r="A39" s="19" t="s">
        <v>54</v>
      </c>
      <c r="B39" s="19"/>
      <c r="C39" s="19"/>
      <c r="D39" s="19"/>
      <c r="E39" s="19"/>
      <c r="F39" s="19"/>
    </row>
    <row r="40" customFormat="false" ht="15" hidden="false" customHeight="false" outlineLevel="0" collapsed="false">
      <c r="A40" s="19" t="s">
        <v>55</v>
      </c>
      <c r="B40" s="19"/>
      <c r="C40" s="19"/>
      <c r="D40" s="19"/>
      <c r="E40" s="19"/>
      <c r="F40" s="19"/>
    </row>
    <row r="41" customFormat="false" ht="15" hidden="false" customHeight="false" outlineLevel="0" collapsed="false">
      <c r="A41" s="20" t="s">
        <v>56</v>
      </c>
      <c r="B41" s="20"/>
      <c r="C41" s="20"/>
      <c r="D41" s="20"/>
      <c r="E41" s="20"/>
      <c r="F41" s="20"/>
    </row>
    <row r="42" customFormat="false" ht="15" hidden="false" customHeight="false" outlineLevel="0" collapsed="false">
      <c r="A42" s="20" t="s">
        <v>57</v>
      </c>
      <c r="B42" s="20"/>
      <c r="C42" s="20"/>
      <c r="D42" s="20"/>
      <c r="E42" s="20"/>
      <c r="F42" s="20"/>
    </row>
    <row r="43" customFormat="false" ht="15" hidden="false" customHeight="false" outlineLevel="0" collapsed="false">
      <c r="A43" s="20" t="s">
        <v>58</v>
      </c>
      <c r="B43" s="20"/>
      <c r="C43" s="20"/>
      <c r="D43" s="20"/>
      <c r="E43" s="20"/>
      <c r="F43" s="20"/>
    </row>
  </sheetData>
  <mergeCells count="6">
    <mergeCell ref="A38:F38"/>
    <mergeCell ref="A39:F39"/>
    <mergeCell ref="A40:F40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1" t="s">
        <v>60</v>
      </c>
    </row>
    <row r="4" customFormat="false" ht="15" hidden="false" customHeight="false" outlineLevel="0" collapsed="false">
      <c r="A4" s="4" t="s">
        <v>61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5" hidden="false" customHeight="false" outlineLevel="0" collapsed="false">
      <c r="A5" s="6" t="s">
        <v>62</v>
      </c>
      <c r="B5" s="22" t="n">
        <v>0.26</v>
      </c>
      <c r="C5" s="23" t="s">
        <v>63</v>
      </c>
      <c r="D5" s="23"/>
      <c r="E5" s="23"/>
      <c r="F5" s="23"/>
      <c r="G5" s="23"/>
      <c r="H5" s="23"/>
      <c r="I5" s="23"/>
      <c r="J5" s="23"/>
      <c r="K5" s="23"/>
      <c r="L5" s="23"/>
    </row>
    <row r="6" customFormat="false" ht="15" hidden="false" customHeight="false" outlineLevel="0" collapsed="false">
      <c r="A6" s="6" t="s">
        <v>64</v>
      </c>
      <c r="B6" s="24" t="n">
        <v>0.0417</v>
      </c>
      <c r="C6" s="23" t="s">
        <v>65</v>
      </c>
      <c r="D6" s="23"/>
      <c r="E6" s="23"/>
      <c r="F6" s="23"/>
      <c r="G6" s="23"/>
      <c r="H6" s="23"/>
      <c r="I6" s="23"/>
      <c r="J6" s="23"/>
      <c r="K6" s="23"/>
      <c r="L6" s="23"/>
    </row>
    <row r="7" customFormat="false" ht="15" hidden="false" customHeight="false" outlineLevel="0" collapsed="false">
      <c r="A7" s="6" t="s">
        <v>66</v>
      </c>
      <c r="B7" s="24" t="n">
        <v>0.0418</v>
      </c>
      <c r="C7" s="23" t="s">
        <v>67</v>
      </c>
      <c r="D7" s="23"/>
      <c r="E7" s="23"/>
      <c r="F7" s="23"/>
      <c r="G7" s="23"/>
      <c r="H7" s="23"/>
      <c r="I7" s="23"/>
      <c r="J7" s="23"/>
      <c r="K7" s="23"/>
      <c r="L7" s="23"/>
    </row>
    <row r="8" customFormat="false" ht="15" hidden="false" customHeight="false" outlineLevel="0" collapsed="false">
      <c r="A8" s="6" t="s">
        <v>68</v>
      </c>
      <c r="B8" s="25" t="n">
        <v>1.4</v>
      </c>
      <c r="C8" s="23" t="s">
        <v>69</v>
      </c>
      <c r="D8" s="23"/>
      <c r="E8" s="23"/>
      <c r="F8" s="23"/>
      <c r="G8" s="23"/>
      <c r="H8" s="23"/>
      <c r="I8" s="23"/>
      <c r="J8" s="23"/>
      <c r="K8" s="23"/>
      <c r="L8" s="23"/>
    </row>
    <row r="9" customFormat="false" ht="15" hidden="false" customHeight="false" outlineLevel="0" collapsed="false">
      <c r="A9" s="6" t="s">
        <v>70</v>
      </c>
      <c r="B9" s="26" t="n">
        <f aca="false">B6+B8*B7</f>
        <v>0.10022</v>
      </c>
      <c r="C9" s="23" t="s">
        <v>71</v>
      </c>
      <c r="D9" s="23"/>
      <c r="E9" s="23"/>
      <c r="F9" s="23"/>
      <c r="G9" s="23"/>
      <c r="H9" s="23"/>
      <c r="I9" s="23"/>
      <c r="J9" s="23"/>
      <c r="K9" s="23"/>
      <c r="L9" s="23"/>
    </row>
    <row r="10" customFormat="false" ht="15" hidden="false" customHeight="false" outlineLevel="0" collapsed="false">
      <c r="A10" s="6" t="s">
        <v>72</v>
      </c>
      <c r="B10" s="24" t="n">
        <v>0.055</v>
      </c>
      <c r="C10" s="23" t="s">
        <v>73</v>
      </c>
      <c r="D10" s="23"/>
      <c r="E10" s="23"/>
      <c r="F10" s="23"/>
      <c r="G10" s="23"/>
      <c r="H10" s="23"/>
      <c r="I10" s="23"/>
      <c r="J10" s="23"/>
      <c r="K10" s="23"/>
      <c r="L10" s="23"/>
    </row>
    <row r="11" customFormat="false" ht="15" hidden="false" customHeight="false" outlineLevel="0" collapsed="false">
      <c r="A11" s="6" t="s">
        <v>74</v>
      </c>
      <c r="B11" s="24" t="n">
        <v>0.0226</v>
      </c>
      <c r="C11" s="23" t="s">
        <v>75</v>
      </c>
      <c r="D11" s="23"/>
      <c r="E11" s="23"/>
      <c r="F11" s="23"/>
      <c r="G11" s="23"/>
      <c r="H11" s="23"/>
      <c r="I11" s="23"/>
      <c r="J11" s="23"/>
      <c r="K11" s="23"/>
      <c r="L11" s="23"/>
    </row>
    <row r="12" customFormat="false" ht="15" hidden="false" customHeight="false" outlineLevel="0" collapsed="false">
      <c r="A12" s="6" t="s">
        <v>76</v>
      </c>
      <c r="B12" s="26" t="n">
        <f aca="false">B9*(1-B11)+B10*(1-B5)*B11</f>
        <v>0.098874848</v>
      </c>
      <c r="C12" s="23" t="s">
        <v>77</v>
      </c>
      <c r="D12" s="23"/>
      <c r="E12" s="23"/>
      <c r="F12" s="23"/>
      <c r="G12" s="23"/>
      <c r="H12" s="23"/>
      <c r="I12" s="23"/>
      <c r="J12" s="23"/>
      <c r="K12" s="23"/>
      <c r="L12" s="23"/>
    </row>
    <row r="13" customFormat="false" ht="15" hidden="false" customHeight="false" outlineLevel="0" collapsed="false">
      <c r="A13" s="6" t="s">
        <v>78</v>
      </c>
      <c r="B13" s="22" t="n">
        <v>0.03</v>
      </c>
      <c r="C13" s="23" t="s">
        <v>79</v>
      </c>
      <c r="D13" s="23"/>
      <c r="E13" s="23"/>
      <c r="F13" s="23"/>
      <c r="G13" s="23"/>
      <c r="H13" s="23"/>
      <c r="I13" s="23"/>
      <c r="J13" s="23"/>
      <c r="K13" s="23"/>
      <c r="L13" s="23"/>
    </row>
    <row r="14" customFormat="false" ht="15" hidden="false" customHeight="false" outlineLevel="0" collapsed="false">
      <c r="A14" s="6" t="s">
        <v>80</v>
      </c>
      <c r="B14" s="27" t="n">
        <v>263.7</v>
      </c>
      <c r="C14" s="23" t="s">
        <v>81</v>
      </c>
      <c r="D14" s="23"/>
      <c r="E14" s="23"/>
      <c r="F14" s="23"/>
      <c r="G14" s="23"/>
      <c r="H14" s="23"/>
      <c r="I14" s="23"/>
      <c r="J14" s="23"/>
      <c r="K14" s="23"/>
      <c r="L14" s="23"/>
    </row>
    <row r="15" customFormat="false" ht="15" hidden="false" customHeight="false" outlineLevel="0" collapsed="false">
      <c r="A15" s="6" t="s">
        <v>82</v>
      </c>
      <c r="B15" s="28" t="n">
        <v>68.81</v>
      </c>
      <c r="C15" s="23" t="s">
        <v>83</v>
      </c>
      <c r="D15" s="23"/>
      <c r="E15" s="23"/>
      <c r="F15" s="23"/>
      <c r="G15" s="23"/>
      <c r="H15" s="23"/>
      <c r="I15" s="23"/>
      <c r="J15" s="23"/>
      <c r="K15" s="23"/>
      <c r="L15" s="23"/>
    </row>
    <row r="16" customFormat="false" ht="15" hidden="false" customHeight="false" outlineLevel="0" collapsed="false">
      <c r="A16" s="6" t="s">
        <v>84</v>
      </c>
      <c r="B16" s="9" t="n">
        <v>-1270</v>
      </c>
      <c r="C16" s="23" t="s">
        <v>85</v>
      </c>
      <c r="D16" s="23"/>
      <c r="E16" s="23"/>
      <c r="F16" s="23"/>
      <c r="G16" s="23"/>
      <c r="H16" s="23"/>
      <c r="I16" s="23"/>
      <c r="J16" s="23"/>
      <c r="K16" s="23"/>
      <c r="L16" s="23"/>
    </row>
    <row r="18" customFormat="false" ht="15" hidden="false" customHeight="false" outlineLevel="0" collapsed="false">
      <c r="A18" s="4" t="s">
        <v>86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false" outlineLevel="0" collapsed="false">
      <c r="A19" s="8"/>
      <c r="B19" s="8" t="s">
        <v>87</v>
      </c>
      <c r="C19" s="8" t="s">
        <v>88</v>
      </c>
      <c r="D19" s="8" t="s">
        <v>89</v>
      </c>
      <c r="E19" s="8" t="s">
        <v>90</v>
      </c>
      <c r="F19" s="8" t="s">
        <v>91</v>
      </c>
      <c r="G19" s="8" t="s">
        <v>92</v>
      </c>
      <c r="H19" s="8" t="s">
        <v>93</v>
      </c>
      <c r="I19" s="8" t="s">
        <v>94</v>
      </c>
      <c r="J19" s="8" t="s">
        <v>95</v>
      </c>
      <c r="K19" s="8" t="s">
        <v>96</v>
      </c>
      <c r="L19" s="8" t="s">
        <v>97</v>
      </c>
    </row>
    <row r="20" customFormat="false" ht="15" hidden="false" customHeight="false" outlineLevel="0" collapsed="false">
      <c r="A20" s="6" t="s">
        <v>98</v>
      </c>
      <c r="B20" s="29" t="n">
        <v>0.197</v>
      </c>
      <c r="C20" s="24" t="n">
        <v>0.22</v>
      </c>
      <c r="D20" s="24" t="n">
        <v>0.2</v>
      </c>
      <c r="E20" s="24" t="n">
        <v>0.18</v>
      </c>
      <c r="F20" s="24" t="n">
        <v>0.16</v>
      </c>
      <c r="G20" s="24" t="n">
        <v>0.14</v>
      </c>
      <c r="H20" s="24" t="n">
        <v>0.12</v>
      </c>
      <c r="I20" s="24" t="n">
        <v>0.1</v>
      </c>
      <c r="J20" s="24" t="n">
        <v>0.08</v>
      </c>
      <c r="K20" s="24" t="n">
        <v>0.06</v>
      </c>
      <c r="L20" s="24" t="n">
        <v>0.05</v>
      </c>
    </row>
    <row r="21" customFormat="false" ht="15" hidden="false" customHeight="false" outlineLevel="0" collapsed="false">
      <c r="A21" s="6" t="s">
        <v>24</v>
      </c>
      <c r="B21" s="9" t="n">
        <v>5215</v>
      </c>
      <c r="C21" s="30" t="n">
        <f aca="false">B21*(1+C20)</f>
        <v>6362.3</v>
      </c>
      <c r="D21" s="30" t="n">
        <f aca="false">C21*(1+D20)</f>
        <v>7634.76</v>
      </c>
      <c r="E21" s="30" t="n">
        <f aca="false">D21*(1+E20)</f>
        <v>9009.0168</v>
      </c>
      <c r="F21" s="30" t="n">
        <f aca="false">E21*(1+F20)</f>
        <v>10450.459488</v>
      </c>
      <c r="G21" s="30" t="n">
        <f aca="false">F21*(1+G20)</f>
        <v>11913.52381632</v>
      </c>
      <c r="H21" s="30" t="n">
        <f aca="false">G21*(1+H20)</f>
        <v>13343.1466742784</v>
      </c>
      <c r="I21" s="30" t="n">
        <f aca="false">H21*(1+I20)</f>
        <v>14677.4613417062</v>
      </c>
      <c r="J21" s="30" t="n">
        <f aca="false">I21*(1+J20)</f>
        <v>15851.6582490427</v>
      </c>
      <c r="K21" s="30" t="n">
        <f aca="false">J21*(1+K20)</f>
        <v>16802.7577439853</v>
      </c>
      <c r="L21" s="30" t="n">
        <f aca="false">K21*(1+L20)</f>
        <v>17642.8956311846</v>
      </c>
    </row>
    <row r="23" customFormat="false" ht="15" hidden="false" customHeight="false" outlineLevel="0" collapsed="false">
      <c r="A23" s="4" t="s">
        <v>99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15" hidden="false" customHeight="false" outlineLevel="0" collapsed="false">
      <c r="A24" s="6" t="s">
        <v>30</v>
      </c>
      <c r="B24" s="29" t="n">
        <v>0.22</v>
      </c>
      <c r="C24" s="24" t="n">
        <v>0.255</v>
      </c>
      <c r="D24" s="24" t="n">
        <v>0.27</v>
      </c>
      <c r="E24" s="24" t="n">
        <v>0.285</v>
      </c>
      <c r="F24" s="24" t="n">
        <v>0.3</v>
      </c>
      <c r="G24" s="24" t="n">
        <v>0.31</v>
      </c>
      <c r="H24" s="24" t="n">
        <v>0.32</v>
      </c>
      <c r="I24" s="24" t="n">
        <v>0.325</v>
      </c>
      <c r="J24" s="24" t="n">
        <v>0.33</v>
      </c>
      <c r="K24" s="24" t="n">
        <v>0.335</v>
      </c>
      <c r="L24" s="24" t="n">
        <v>0.34</v>
      </c>
    </row>
    <row r="25" customFormat="false" ht="15" hidden="false" customHeight="false" outlineLevel="0" collapsed="false">
      <c r="A25" s="6" t="s">
        <v>100</v>
      </c>
      <c r="B25" s="30" t="n">
        <f aca="false">B21*B24</f>
        <v>1147.3</v>
      </c>
      <c r="C25" s="30" t="n">
        <f aca="false">C21*C24</f>
        <v>1622.3865</v>
      </c>
      <c r="D25" s="30" t="n">
        <f aca="false">D21*D24</f>
        <v>2061.3852</v>
      </c>
      <c r="E25" s="30" t="n">
        <f aca="false">E21*E24</f>
        <v>2567.569788</v>
      </c>
      <c r="F25" s="30" t="n">
        <f aca="false">F21*F24</f>
        <v>3135.1378464</v>
      </c>
      <c r="G25" s="30" t="n">
        <f aca="false">G21*G24</f>
        <v>3693.1923830592</v>
      </c>
      <c r="H25" s="30" t="n">
        <f aca="false">H21*H24</f>
        <v>4269.80693576909</v>
      </c>
      <c r="I25" s="30" t="n">
        <f aca="false">I21*I24</f>
        <v>4770.17493605453</v>
      </c>
      <c r="J25" s="30" t="n">
        <f aca="false">J21*J24</f>
        <v>5231.04722218411</v>
      </c>
      <c r="K25" s="30" t="n">
        <f aca="false">K21*K24</f>
        <v>5628.92384423508</v>
      </c>
      <c r="L25" s="30" t="n">
        <f aca="false">L21*L24</f>
        <v>5998.58451460276</v>
      </c>
    </row>
    <row r="26" customFormat="false" ht="15" hidden="false" customHeight="false" outlineLevel="0" collapsed="false">
      <c r="A26" s="6" t="s">
        <v>101</v>
      </c>
      <c r="B26" s="30" t="n">
        <f aca="false">-B25*$B$5</f>
        <v>-298.298</v>
      </c>
      <c r="C26" s="30" t="n">
        <f aca="false">-C25*$B$5</f>
        <v>-421.82049</v>
      </c>
      <c r="D26" s="30" t="n">
        <f aca="false">-D25*$B$5</f>
        <v>-535.960152</v>
      </c>
      <c r="E26" s="30" t="n">
        <f aca="false">-E25*$B$5</f>
        <v>-667.56814488</v>
      </c>
      <c r="F26" s="30" t="n">
        <f aca="false">-F25*$B$5</f>
        <v>-815.135840064</v>
      </c>
      <c r="G26" s="30" t="n">
        <f aca="false">-G25*$B$5</f>
        <v>-960.230019595392</v>
      </c>
      <c r="H26" s="30" t="n">
        <f aca="false">-H25*$B$5</f>
        <v>-1110.14980329996</v>
      </c>
      <c r="I26" s="30" t="n">
        <f aca="false">-I25*$B$5</f>
        <v>-1240.24548337418</v>
      </c>
      <c r="J26" s="30" t="n">
        <f aca="false">-J25*$B$5</f>
        <v>-1360.07227776787</v>
      </c>
      <c r="K26" s="30" t="n">
        <f aca="false">-K25*$B$5</f>
        <v>-1463.52019950112</v>
      </c>
      <c r="L26" s="30" t="n">
        <f aca="false">-L25*$B$5</f>
        <v>-1559.63197379672</v>
      </c>
    </row>
    <row r="27" customFormat="false" ht="15" hidden="false" customHeight="false" outlineLevel="0" collapsed="false">
      <c r="A27" s="6" t="s">
        <v>102</v>
      </c>
      <c r="B27" s="31" t="n">
        <f aca="false">B25+B26</f>
        <v>849.002</v>
      </c>
      <c r="C27" s="31" t="n">
        <f aca="false">C25+C26</f>
        <v>1200.56601</v>
      </c>
      <c r="D27" s="31" t="n">
        <f aca="false">D25+D26</f>
        <v>1525.425048</v>
      </c>
      <c r="E27" s="31" t="n">
        <f aca="false">E25+E26</f>
        <v>1900.00164312</v>
      </c>
      <c r="F27" s="31" t="n">
        <f aca="false">F25+F26</f>
        <v>2320.002006336</v>
      </c>
      <c r="G27" s="31" t="n">
        <f aca="false">G25+G26</f>
        <v>2732.96236346381</v>
      </c>
      <c r="H27" s="31" t="n">
        <f aca="false">H25+H26</f>
        <v>3159.65713246913</v>
      </c>
      <c r="I27" s="31" t="n">
        <f aca="false">I25+I26</f>
        <v>3529.92945268035</v>
      </c>
      <c r="J27" s="31" t="n">
        <f aca="false">J25+J26</f>
        <v>3870.97494441624</v>
      </c>
      <c r="K27" s="31" t="n">
        <f aca="false">K25+K26</f>
        <v>4165.40364473396</v>
      </c>
      <c r="L27" s="31" t="n">
        <f aca="false">L25+L26</f>
        <v>4438.95254080604</v>
      </c>
    </row>
    <row r="28" customFormat="false" ht="15" hidden="false" customHeight="false" outlineLevel="0" collapsed="false">
      <c r="A28" s="6" t="s">
        <v>103</v>
      </c>
      <c r="B28" s="24" t="n">
        <v>0.04</v>
      </c>
      <c r="C28" s="24" t="n">
        <v>0.04</v>
      </c>
      <c r="D28" s="24" t="n">
        <v>0.035</v>
      </c>
      <c r="E28" s="24" t="n">
        <v>0.035</v>
      </c>
      <c r="F28" s="24" t="n">
        <v>0.03</v>
      </c>
      <c r="G28" s="24" t="n">
        <v>0.03</v>
      </c>
      <c r="H28" s="24" t="n">
        <v>0.025</v>
      </c>
      <c r="I28" s="24" t="n">
        <v>0.025</v>
      </c>
      <c r="J28" s="24" t="n">
        <v>0.02</v>
      </c>
      <c r="K28" s="24" t="n">
        <v>0.02</v>
      </c>
      <c r="L28" s="24" t="n">
        <v>0.02</v>
      </c>
    </row>
    <row r="29" customFormat="false" ht="15" hidden="false" customHeight="false" outlineLevel="0" collapsed="false">
      <c r="A29" s="6" t="s">
        <v>104</v>
      </c>
      <c r="B29" s="30" t="n">
        <f aca="false">B21*B28</f>
        <v>208.6</v>
      </c>
      <c r="C29" s="30" t="n">
        <f aca="false">C21*C28</f>
        <v>254.492</v>
      </c>
      <c r="D29" s="30" t="n">
        <f aca="false">D21*D28</f>
        <v>267.2166</v>
      </c>
      <c r="E29" s="30" t="n">
        <f aca="false">E21*E28</f>
        <v>315.315588</v>
      </c>
      <c r="F29" s="30" t="n">
        <f aca="false">F21*F28</f>
        <v>313.51378464</v>
      </c>
      <c r="G29" s="30" t="n">
        <f aca="false">G21*G28</f>
        <v>357.4057144896</v>
      </c>
      <c r="H29" s="30" t="n">
        <f aca="false">H21*H28</f>
        <v>333.57866685696</v>
      </c>
      <c r="I29" s="30" t="n">
        <f aca="false">I21*I28</f>
        <v>366.936533542656</v>
      </c>
      <c r="J29" s="30" t="n">
        <f aca="false">J21*J28</f>
        <v>317.033164980855</v>
      </c>
      <c r="K29" s="30" t="n">
        <f aca="false">K21*K28</f>
        <v>336.055154879706</v>
      </c>
      <c r="L29" s="30" t="n">
        <f aca="false">L21*L28</f>
        <v>352.857912623691</v>
      </c>
    </row>
    <row r="30" customFormat="false" ht="15" hidden="false" customHeight="false" outlineLevel="0" collapsed="false">
      <c r="A30" s="6" t="s">
        <v>105</v>
      </c>
      <c r="B30" s="24" t="n">
        <v>0.009</v>
      </c>
      <c r="C30" s="24" t="n">
        <v>0.009</v>
      </c>
      <c r="D30" s="24" t="n">
        <v>0.009</v>
      </c>
      <c r="E30" s="24" t="n">
        <v>0.008</v>
      </c>
      <c r="F30" s="24" t="n">
        <v>0.008</v>
      </c>
      <c r="G30" s="24" t="n">
        <v>0.008</v>
      </c>
      <c r="H30" s="24" t="n">
        <v>0.007</v>
      </c>
      <c r="I30" s="24" t="n">
        <v>0.007</v>
      </c>
      <c r="J30" s="24" t="n">
        <v>0.007</v>
      </c>
      <c r="K30" s="24" t="n">
        <v>0.007</v>
      </c>
      <c r="L30" s="24" t="n">
        <v>0.007</v>
      </c>
    </row>
    <row r="31" customFormat="false" ht="15" hidden="false" customHeight="false" outlineLevel="0" collapsed="false">
      <c r="A31" s="6" t="s">
        <v>106</v>
      </c>
      <c r="B31" s="30" t="n">
        <f aca="false">-B21*B30</f>
        <v>-46.935</v>
      </c>
      <c r="C31" s="30" t="n">
        <f aca="false">-C21*C30</f>
        <v>-57.2607</v>
      </c>
      <c r="D31" s="30" t="n">
        <f aca="false">-D21*D30</f>
        <v>-68.71284</v>
      </c>
      <c r="E31" s="30" t="n">
        <f aca="false">-E21*E30</f>
        <v>-72.0721344</v>
      </c>
      <c r="F31" s="30" t="n">
        <f aca="false">-F21*F30</f>
        <v>-83.603675904</v>
      </c>
      <c r="G31" s="30" t="n">
        <f aca="false">-G21*G30</f>
        <v>-95.30819053056</v>
      </c>
      <c r="H31" s="30" t="n">
        <f aca="false">-H21*H30</f>
        <v>-93.4020267199488</v>
      </c>
      <c r="I31" s="30" t="n">
        <f aca="false">-I21*I30</f>
        <v>-102.742229391944</v>
      </c>
      <c r="J31" s="30" t="n">
        <f aca="false">-J21*J30</f>
        <v>-110.961607743299</v>
      </c>
      <c r="K31" s="30" t="n">
        <f aca="false">-K21*K30</f>
        <v>-117.619304207897</v>
      </c>
      <c r="L31" s="30" t="n">
        <f aca="false">-L21*L30</f>
        <v>-123.500269418292</v>
      </c>
    </row>
    <row r="32" customFormat="false" ht="15" hidden="false" customHeight="false" outlineLevel="0" collapsed="false">
      <c r="A32" s="6" t="s">
        <v>107</v>
      </c>
      <c r="B32" s="24" t="n">
        <v>0.02</v>
      </c>
      <c r="C32" s="24" t="n">
        <v>0.02</v>
      </c>
      <c r="D32" s="24" t="n">
        <v>0.015</v>
      </c>
      <c r="E32" s="24" t="n">
        <v>0.015</v>
      </c>
      <c r="F32" s="24" t="n">
        <v>0.01</v>
      </c>
      <c r="G32" s="24" t="n">
        <v>0.01</v>
      </c>
      <c r="H32" s="24" t="n">
        <v>0.01</v>
      </c>
      <c r="I32" s="24" t="n">
        <v>0.01</v>
      </c>
      <c r="J32" s="24" t="n">
        <v>0.005</v>
      </c>
      <c r="K32" s="24" t="n">
        <v>0.005</v>
      </c>
      <c r="L32" s="24" t="n">
        <v>0.005</v>
      </c>
    </row>
    <row r="33" customFormat="false" ht="15" hidden="false" customHeight="false" outlineLevel="0" collapsed="false">
      <c r="A33" s="6" t="s">
        <v>108</v>
      </c>
      <c r="B33" s="30" t="n">
        <f aca="false">B21*B32</f>
        <v>104.3</v>
      </c>
      <c r="C33" s="30" t="n">
        <f aca="false">C21*C32</f>
        <v>127.246</v>
      </c>
      <c r="D33" s="30" t="n">
        <f aca="false">D21*D32</f>
        <v>114.5214</v>
      </c>
      <c r="E33" s="30" t="n">
        <f aca="false">E21*E32</f>
        <v>135.135252</v>
      </c>
      <c r="F33" s="30" t="n">
        <f aca="false">F21*F32</f>
        <v>104.50459488</v>
      </c>
      <c r="G33" s="30" t="n">
        <f aca="false">G21*G32</f>
        <v>119.1352381632</v>
      </c>
      <c r="H33" s="30" t="n">
        <f aca="false">H21*H32</f>
        <v>133.431466742784</v>
      </c>
      <c r="I33" s="30" t="n">
        <f aca="false">I21*I32</f>
        <v>146.774613417062</v>
      </c>
      <c r="J33" s="30" t="n">
        <f aca="false">J21*J32</f>
        <v>79.2582912452137</v>
      </c>
      <c r="K33" s="30" t="n">
        <f aca="false">K21*K32</f>
        <v>84.0137887199265</v>
      </c>
      <c r="L33" s="30" t="n">
        <f aca="false">L21*L32</f>
        <v>88.2144781559229</v>
      </c>
    </row>
    <row r="34" customFormat="false" ht="15" hidden="false" customHeight="false" outlineLevel="0" collapsed="false">
      <c r="A34" s="6" t="s">
        <v>109</v>
      </c>
      <c r="B34" s="32" t="n">
        <f aca="false">B27+B29+B31+B33</f>
        <v>1114.967</v>
      </c>
      <c r="C34" s="32" t="n">
        <f aca="false">C27+C29+C31+C33</f>
        <v>1525.04331</v>
      </c>
      <c r="D34" s="32" t="n">
        <f aca="false">D27+D29+D31+D33</f>
        <v>1838.450208</v>
      </c>
      <c r="E34" s="32" t="n">
        <f aca="false">E27+E29+E31+E33</f>
        <v>2278.38034872</v>
      </c>
      <c r="F34" s="32" t="n">
        <f aca="false">F27+F29+F31+F33</f>
        <v>2654.416709952</v>
      </c>
      <c r="G34" s="32" t="n">
        <f aca="false">G27+G29+G31+G33</f>
        <v>3114.19512558605</v>
      </c>
      <c r="H34" s="32" t="n">
        <f aca="false">H27+H29+H31+H33</f>
        <v>3533.26523934892</v>
      </c>
      <c r="I34" s="32" t="n">
        <f aca="false">I27+I29+I31+I33</f>
        <v>3940.89837024813</v>
      </c>
      <c r="J34" s="32" t="n">
        <f aca="false">J27+J29+J31+J33</f>
        <v>4156.30479289901</v>
      </c>
      <c r="K34" s="32" t="n">
        <f aca="false">K27+K29+K31+K33</f>
        <v>4467.85328412569</v>
      </c>
      <c r="L34" s="32" t="n">
        <f aca="false">L27+L29+L31+L33</f>
        <v>4756.52466216736</v>
      </c>
    </row>
    <row r="35" customFormat="false" ht="15" hidden="false" customHeight="false" outlineLevel="0" collapsed="false">
      <c r="A35" s="6" t="s">
        <v>110</v>
      </c>
      <c r="B35" s="26" t="n">
        <f aca="false">B34/B21</f>
        <v>0.2138</v>
      </c>
      <c r="C35" s="26" t="n">
        <f aca="false">C34/C21</f>
        <v>0.2397</v>
      </c>
      <c r="D35" s="26" t="n">
        <f aca="false">D34/D21</f>
        <v>0.2408</v>
      </c>
      <c r="E35" s="26" t="n">
        <f aca="false">E34/E21</f>
        <v>0.2529</v>
      </c>
      <c r="F35" s="26" t="n">
        <f aca="false">F34/F21</f>
        <v>0.254</v>
      </c>
      <c r="G35" s="26" t="n">
        <f aca="false">G34/G21</f>
        <v>0.2614</v>
      </c>
      <c r="H35" s="26" t="n">
        <f aca="false">H34/H21</f>
        <v>0.2648</v>
      </c>
      <c r="I35" s="26" t="n">
        <f aca="false">I34/I21</f>
        <v>0.2685</v>
      </c>
      <c r="J35" s="26" t="n">
        <f aca="false">J34/J21</f>
        <v>0.2622</v>
      </c>
      <c r="K35" s="26" t="n">
        <f aca="false">K34/K21</f>
        <v>0.2659</v>
      </c>
      <c r="L35" s="26" t="n">
        <f aca="false">L34/L21</f>
        <v>0.2696</v>
      </c>
    </row>
    <row r="37" customFormat="false" ht="15" hidden="false" customHeight="false" outlineLevel="0" collapsed="false">
      <c r="A37" s="4" t="s">
        <v>111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</row>
    <row r="38" customFormat="false" ht="15" hidden="false" customHeight="false" outlineLevel="0" collapsed="false">
      <c r="A38" s="14" t="s">
        <v>32</v>
      </c>
      <c r="B38" s="34" t="n">
        <v>0.261</v>
      </c>
      <c r="C38" s="35" t="n">
        <v>0.24</v>
      </c>
      <c r="D38" s="35" t="n">
        <v>0.22</v>
      </c>
      <c r="E38" s="35" t="n">
        <v>0.2</v>
      </c>
      <c r="F38" s="35" t="n">
        <v>0.18</v>
      </c>
      <c r="G38" s="35" t="n">
        <v>0.17</v>
      </c>
      <c r="H38" s="35" t="n">
        <v>0.16</v>
      </c>
      <c r="I38" s="35" t="n">
        <v>0.15</v>
      </c>
      <c r="J38" s="35" t="n">
        <v>0.14</v>
      </c>
      <c r="K38" s="35" t="n">
        <v>0.13</v>
      </c>
      <c r="L38" s="35" t="n">
        <v>0.12</v>
      </c>
    </row>
    <row r="39" customFormat="false" ht="15" hidden="false" customHeight="false" outlineLevel="0" collapsed="false">
      <c r="A39" s="14" t="s">
        <v>112</v>
      </c>
      <c r="B39" s="15" t="n">
        <f aca="false">B21*B38</f>
        <v>1361.115</v>
      </c>
      <c r="C39" s="15" t="n">
        <f aca="false">C21*C38</f>
        <v>1526.952</v>
      </c>
      <c r="D39" s="15" t="n">
        <f aca="false">D21*D38</f>
        <v>1679.6472</v>
      </c>
      <c r="E39" s="15" t="n">
        <f aca="false">E21*E38</f>
        <v>1801.80336</v>
      </c>
      <c r="F39" s="15" t="n">
        <f aca="false">F21*F38</f>
        <v>1881.08270784</v>
      </c>
      <c r="G39" s="15" t="n">
        <f aca="false">G21*G38</f>
        <v>2025.2990487744</v>
      </c>
      <c r="H39" s="15" t="n">
        <f aca="false">H21*H38</f>
        <v>2134.90346788454</v>
      </c>
      <c r="I39" s="15" t="n">
        <f aca="false">I21*I38</f>
        <v>2201.61920125594</v>
      </c>
      <c r="J39" s="15" t="n">
        <f aca="false">J21*J38</f>
        <v>2219.23215486598</v>
      </c>
      <c r="K39" s="15" t="n">
        <f aca="false">K21*K38</f>
        <v>2184.35850671809</v>
      </c>
      <c r="L39" s="15" t="n">
        <f aca="false">L21*L38</f>
        <v>2117.14747574215</v>
      </c>
    </row>
    <row r="40" customFormat="false" ht="15" hidden="false" customHeight="false" outlineLevel="0" collapsed="false">
      <c r="A40" s="14" t="s">
        <v>113</v>
      </c>
      <c r="B40" s="36" t="n">
        <v>0</v>
      </c>
      <c r="C40" s="36" t="n">
        <v>0.5</v>
      </c>
      <c r="D40" s="36" t="n">
        <v>0.5</v>
      </c>
      <c r="E40" s="36" t="n">
        <v>0.5</v>
      </c>
      <c r="F40" s="36" t="n">
        <v>0.5</v>
      </c>
      <c r="G40" s="36" t="n">
        <v>0.55</v>
      </c>
      <c r="H40" s="36" t="n">
        <v>0.55</v>
      </c>
      <c r="I40" s="36" t="n">
        <v>0.6</v>
      </c>
      <c r="J40" s="36" t="n">
        <v>0.6</v>
      </c>
      <c r="K40" s="36" t="n">
        <v>0.65</v>
      </c>
      <c r="L40" s="36" t="n">
        <v>0.65</v>
      </c>
    </row>
    <row r="41" customFormat="false" ht="15" hidden="false" customHeight="false" outlineLevel="0" collapsed="false">
      <c r="A41" s="14" t="s">
        <v>114</v>
      </c>
      <c r="B41" s="37" t="n">
        <f aca="false">-B39*(1-B40)</f>
        <v>-1361.115</v>
      </c>
      <c r="C41" s="37" t="n">
        <f aca="false">-C39*(1-C40)</f>
        <v>-763.476</v>
      </c>
      <c r="D41" s="37" t="n">
        <f aca="false">-D39*(1-D40)</f>
        <v>-839.8236</v>
      </c>
      <c r="E41" s="37" t="n">
        <f aca="false">-E39*(1-E40)</f>
        <v>-900.90168</v>
      </c>
      <c r="F41" s="37" t="n">
        <f aca="false">-F39*(1-F40)</f>
        <v>-940.54135392</v>
      </c>
      <c r="G41" s="37" t="n">
        <f aca="false">-G39*(1-G40)</f>
        <v>-911.38457194848</v>
      </c>
      <c r="H41" s="37" t="n">
        <f aca="false">-H39*(1-H40)</f>
        <v>-960.706560548045</v>
      </c>
      <c r="I41" s="37" t="n">
        <f aca="false">-I39*(1-I40)</f>
        <v>-880.647680502374</v>
      </c>
      <c r="J41" s="37" t="n">
        <f aca="false">-J39*(1-J40)</f>
        <v>-887.692861946394</v>
      </c>
      <c r="K41" s="37" t="n">
        <f aca="false">-K39*(1-K40)</f>
        <v>-764.525477351331</v>
      </c>
      <c r="L41" s="37" t="n">
        <f aca="false">-L39*(1-L40)</f>
        <v>-741.001616509752</v>
      </c>
    </row>
    <row r="42" customFormat="false" ht="15" hidden="false" customHeight="false" outlineLevel="0" collapsed="false">
      <c r="A42" s="14" t="s">
        <v>115</v>
      </c>
      <c r="B42" s="15" t="n">
        <f aca="false">-B39*B40</f>
        <v>-0</v>
      </c>
      <c r="C42" s="15" t="n">
        <f aca="false">-C39*C40</f>
        <v>-763.476</v>
      </c>
      <c r="D42" s="15" t="n">
        <f aca="false">-D39*D40</f>
        <v>-839.8236</v>
      </c>
      <c r="E42" s="15" t="n">
        <f aca="false">-E39*E40</f>
        <v>-900.90168</v>
      </c>
      <c r="F42" s="15" t="n">
        <f aca="false">-F39*F40</f>
        <v>-940.54135392</v>
      </c>
      <c r="G42" s="15" t="n">
        <f aca="false">-G39*G40</f>
        <v>-1113.91447682592</v>
      </c>
      <c r="H42" s="15" t="n">
        <f aca="false">-H39*H40</f>
        <v>-1174.1969073365</v>
      </c>
      <c r="I42" s="15" t="n">
        <f aca="false">-I39*I40</f>
        <v>-1320.97152075356</v>
      </c>
      <c r="J42" s="15" t="n">
        <f aca="false">-J39*J40</f>
        <v>-1331.53929291959</v>
      </c>
      <c r="K42" s="15" t="n">
        <f aca="false">-K39*K40</f>
        <v>-1419.83302936676</v>
      </c>
      <c r="L42" s="15" t="n">
        <f aca="false">-L39*L40</f>
        <v>-1376.1458592324</v>
      </c>
    </row>
    <row r="43" customFormat="false" ht="15" hidden="false" customHeight="false" outlineLevel="0" collapsed="false">
      <c r="A43" s="14" t="s">
        <v>116</v>
      </c>
      <c r="B43" s="38" t="n">
        <f aca="false">B41+B42</f>
        <v>-1361.115</v>
      </c>
      <c r="C43" s="38" t="n">
        <f aca="false">C41+C42</f>
        <v>-1526.952</v>
      </c>
      <c r="D43" s="38" t="n">
        <f aca="false">D41+D42</f>
        <v>-1679.6472</v>
      </c>
      <c r="E43" s="38" t="n">
        <f aca="false">E41+E42</f>
        <v>-1801.80336</v>
      </c>
      <c r="F43" s="38" t="n">
        <f aca="false">F41+F42</f>
        <v>-1881.08270784</v>
      </c>
      <c r="G43" s="38" t="n">
        <f aca="false">G41+G42</f>
        <v>-2025.2990487744</v>
      </c>
      <c r="H43" s="38" t="n">
        <f aca="false">H41+H42</f>
        <v>-2134.90346788454</v>
      </c>
      <c r="I43" s="38" t="n">
        <f aca="false">I41+I42</f>
        <v>-2201.61920125594</v>
      </c>
      <c r="J43" s="38" t="n">
        <f aca="false">J41+J42</f>
        <v>-2219.23215486598</v>
      </c>
      <c r="K43" s="38" t="n">
        <f aca="false">K41+K42</f>
        <v>-2184.35850671809</v>
      </c>
      <c r="L43" s="38" t="n">
        <f aca="false">L41+L42</f>
        <v>-2117.14747574215</v>
      </c>
    </row>
    <row r="44" customFormat="false" ht="15" hidden="false" customHeight="false" outlineLevel="0" collapsed="false">
      <c r="A44" s="39" t="s">
        <v>117</v>
      </c>
      <c r="B44" s="40" t="n">
        <f aca="false">B34+B43</f>
        <v>-246.148</v>
      </c>
      <c r="C44" s="40" t="n">
        <f aca="false">C34+C43</f>
        <v>-1.90868999999998</v>
      </c>
      <c r="D44" s="40" t="n">
        <f aca="false">D34+D43</f>
        <v>158.803008</v>
      </c>
      <c r="E44" s="40" t="n">
        <f aca="false">E34+E43</f>
        <v>476.57698872</v>
      </c>
      <c r="F44" s="40" t="n">
        <f aca="false">F34+F43</f>
        <v>773.334002112</v>
      </c>
      <c r="G44" s="40" t="n">
        <f aca="false">G34+G43</f>
        <v>1088.89607681165</v>
      </c>
      <c r="H44" s="40" t="n">
        <f aca="false">H34+H43</f>
        <v>1398.36177146438</v>
      </c>
      <c r="I44" s="40" t="n">
        <f aca="false">I34+I43</f>
        <v>1739.27916899219</v>
      </c>
      <c r="J44" s="40" t="n">
        <f aca="false">J34+J43</f>
        <v>1937.07263803302</v>
      </c>
      <c r="K44" s="40" t="n">
        <f aca="false">K34+K43</f>
        <v>2283.4947774076</v>
      </c>
      <c r="L44" s="40" t="n">
        <f aca="false">L34+L43</f>
        <v>2639.37718642521</v>
      </c>
    </row>
    <row r="45" customFormat="false" ht="15" hidden="false" customHeight="false" outlineLevel="0" collapsed="false">
      <c r="A45" s="14" t="s">
        <v>118</v>
      </c>
      <c r="B45" s="36" t="n">
        <f aca="false">B44/B21</f>
        <v>-0.0472</v>
      </c>
      <c r="C45" s="36" t="n">
        <f aca="false">C44/C21</f>
        <v>-0.000299999999999997</v>
      </c>
      <c r="D45" s="36" t="n">
        <f aca="false">D44/D21</f>
        <v>0.0208</v>
      </c>
      <c r="E45" s="36" t="n">
        <f aca="false">E44/E21</f>
        <v>0.0529</v>
      </c>
      <c r="F45" s="36" t="n">
        <f aca="false">F44/F21</f>
        <v>0.074</v>
      </c>
      <c r="G45" s="36" t="n">
        <f aca="false">G44/G21</f>
        <v>0.0914</v>
      </c>
      <c r="H45" s="36" t="n">
        <f aca="false">H44/H21</f>
        <v>0.1048</v>
      </c>
      <c r="I45" s="36" t="n">
        <f aca="false">I44/I21</f>
        <v>0.1185</v>
      </c>
      <c r="J45" s="36" t="n">
        <f aca="false">J44/J21</f>
        <v>0.1222</v>
      </c>
      <c r="K45" s="36" t="n">
        <f aca="false">K44/K21</f>
        <v>0.1359</v>
      </c>
      <c r="L45" s="36" t="n">
        <f aca="false">L44/L21</f>
        <v>0.1496</v>
      </c>
    </row>
    <row r="46" customFormat="false" ht="15" hidden="false" customHeight="false" outlineLevel="0" collapsed="false">
      <c r="A46" s="14" t="s">
        <v>119</v>
      </c>
      <c r="B46" s="36" t="n">
        <f aca="false">IF(B34=0,0,B43/B34)</f>
        <v>-1.22076707202993</v>
      </c>
      <c r="C46" s="36" t="n">
        <f aca="false">IF(C34=0,0,C43/C34)</f>
        <v>-1.00125156445557</v>
      </c>
      <c r="D46" s="36" t="n">
        <f aca="false">IF(D34=0,0,D43/D34)</f>
        <v>-0.913621262458472</v>
      </c>
      <c r="E46" s="36" t="n">
        <f aca="false">IF(E34=0,0,E43/E34)</f>
        <v>-0.790826413602214</v>
      </c>
      <c r="F46" s="36" t="n">
        <f aca="false">IF(F34=0,0,F43/F34)</f>
        <v>-0.708661417322835</v>
      </c>
      <c r="G46" s="36" t="n">
        <f aca="false">IF(G34=0,0,G43/G34)</f>
        <v>-0.650344299923489</v>
      </c>
      <c r="H46" s="36" t="n">
        <f aca="false">IF(H34=0,0,H43/H34)</f>
        <v>-0.604229607250755</v>
      </c>
      <c r="I46" s="36" t="n">
        <f aca="false">IF(I34=0,0,I43/I34)</f>
        <v>-0.558659217877095</v>
      </c>
      <c r="J46" s="36" t="n">
        <f aca="false">IF(J34=0,0,J43/J34)</f>
        <v>-0.53394355453852</v>
      </c>
      <c r="K46" s="36" t="n">
        <f aca="false">IF(K34=0,0,K43/K34)</f>
        <v>-0.48890560361038</v>
      </c>
      <c r="L46" s="36" t="n">
        <f aca="false">IF(L34=0,0,L43/L34)</f>
        <v>-0.445103857566766</v>
      </c>
    </row>
    <row r="48" customFormat="false" ht="15" hidden="false" customHeight="false" outlineLevel="0" collapsed="false">
      <c r="A48" s="4" t="s">
        <v>120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15" hidden="false" customHeight="false" outlineLevel="0" collapsed="false">
      <c r="A49" s="8"/>
      <c r="B49" s="8" t="s">
        <v>87</v>
      </c>
      <c r="C49" s="8" t="s">
        <v>88</v>
      </c>
      <c r="D49" s="8" t="s">
        <v>89</v>
      </c>
      <c r="E49" s="8" t="s">
        <v>90</v>
      </c>
      <c r="F49" s="8" t="s">
        <v>91</v>
      </c>
      <c r="G49" s="8" t="s">
        <v>92</v>
      </c>
      <c r="H49" s="8" t="s">
        <v>93</v>
      </c>
      <c r="I49" s="8" t="s">
        <v>94</v>
      </c>
      <c r="J49" s="8" t="s">
        <v>95</v>
      </c>
      <c r="K49" s="8" t="s">
        <v>96</v>
      </c>
      <c r="L49" s="8" t="s">
        <v>97</v>
      </c>
    </row>
    <row r="50" customFormat="false" ht="15" hidden="false" customHeight="false" outlineLevel="0" collapsed="false">
      <c r="A50" s="6" t="s">
        <v>121</v>
      </c>
      <c r="B50" s="41" t="n">
        <v>0</v>
      </c>
      <c r="C50" s="41" t="n">
        <v>1</v>
      </c>
      <c r="D50" s="41" t="n">
        <v>2</v>
      </c>
      <c r="E50" s="41" t="n">
        <v>3</v>
      </c>
      <c r="F50" s="41" t="n">
        <v>4</v>
      </c>
      <c r="G50" s="41" t="n">
        <v>5</v>
      </c>
      <c r="H50" s="41" t="n">
        <v>6</v>
      </c>
      <c r="I50" s="41" t="n">
        <v>7</v>
      </c>
      <c r="J50" s="41" t="n">
        <v>8</v>
      </c>
      <c r="K50" s="41" t="n">
        <v>9</v>
      </c>
      <c r="L50" s="41" t="n">
        <v>10</v>
      </c>
    </row>
    <row r="51" customFormat="false" ht="15" hidden="false" customHeight="false" outlineLevel="0" collapsed="false">
      <c r="A51" s="6" t="s">
        <v>122</v>
      </c>
      <c r="B51" s="42" t="n">
        <f aca="false">1/(1+$B$12)^B50</f>
        <v>1</v>
      </c>
      <c r="C51" s="42" t="n">
        <f aca="false">1/(1+$B$12)^C50</f>
        <v>0.910021738890506</v>
      </c>
      <c r="D51" s="42" t="n">
        <f aca="false">1/(1+$B$12)^D50</f>
        <v>0.8281395652533</v>
      </c>
      <c r="E51" s="42" t="n">
        <f aca="false">1/(1+$B$12)^E50</f>
        <v>0.753625007215835</v>
      </c>
      <c r="F51" s="42" t="n">
        <f aca="false">1/(1+$B$12)^F50</f>
        <v>0.685815139537924</v>
      </c>
      <c r="G51" s="42" t="n">
        <f aca="false">1/(1+$B$12)^G50</f>
        <v>0.624106685839737</v>
      </c>
      <c r="H51" s="42" t="n">
        <f aca="false">1/(1+$B$12)^H50</f>
        <v>0.567950651501068</v>
      </c>
      <c r="I51" s="42" t="n">
        <f aca="false">1/(1+$B$12)^I50</f>
        <v>0.516847439482997</v>
      </c>
      <c r="J51" s="42" t="n">
        <f aca="false">1/(1+$B$12)^J50</f>
        <v>0.470342405619422</v>
      </c>
      <c r="K51" s="42" t="n">
        <f aca="false">1/(1+$B$12)^K50</f>
        <v>0.42802181383573</v>
      </c>
      <c r="L51" s="42" t="n">
        <f aca="false">1/(1+$B$12)^L50</f>
        <v>0.38950915530986</v>
      </c>
    </row>
    <row r="52" customFormat="false" ht="15" hidden="false" customHeight="false" outlineLevel="0" collapsed="false">
      <c r="A52" s="6" t="s">
        <v>123</v>
      </c>
      <c r="B52" s="13" t="s">
        <v>124</v>
      </c>
      <c r="C52" s="30" t="n">
        <f aca="false">C34*C51</f>
        <v>1387.82256484953</v>
      </c>
      <c r="D52" s="30" t="n">
        <f aca="false">D34*D51</f>
        <v>1522.49335599296</v>
      </c>
      <c r="E52" s="30" t="n">
        <f aca="false">E34*E51</f>
        <v>1717.04440674453</v>
      </c>
      <c r="F52" s="30" t="n">
        <f aca="false">F34*F51</f>
        <v>1820.43916632753</v>
      </c>
      <c r="G52" s="30" t="n">
        <f aca="false">G34*G51</f>
        <v>1943.58999888777</v>
      </c>
      <c r="H52" s="30" t="n">
        <f aca="false">H34*H51</f>
        <v>2006.72029461429</v>
      </c>
      <c r="I52" s="30" t="n">
        <f aca="false">I34*I51</f>
        <v>2036.84323192546</v>
      </c>
      <c r="J52" s="30" t="n">
        <f aca="false">J34*J51</f>
        <v>1954.88639477965</v>
      </c>
      <c r="K52" s="30" t="n">
        <f aca="false">K34*K51</f>
        <v>1912.3386666234</v>
      </c>
      <c r="L52" s="30" t="n">
        <f aca="false">L34*L51</f>
        <v>1852.70990337132</v>
      </c>
    </row>
    <row r="53" customFormat="false" ht="15" hidden="false" customHeight="false" outlineLevel="0" collapsed="false">
      <c r="A53" s="14" t="s">
        <v>125</v>
      </c>
      <c r="B53" s="13" t="s">
        <v>124</v>
      </c>
      <c r="C53" s="15" t="n">
        <f aca="false">C44*C51</f>
        <v>-1.7369493928029</v>
      </c>
      <c r="D53" s="15" t="n">
        <f aca="false">D44*D51</f>
        <v>131.511054006036</v>
      </c>
      <c r="E53" s="15" t="n">
        <f aca="false">E44*E51</f>
        <v>359.160336563011</v>
      </c>
      <c r="F53" s="15" t="n">
        <f aca="false">F44*F51</f>
        <v>530.364166567863</v>
      </c>
      <c r="G53" s="15" t="n">
        <f aca="false">G44*G51</f>
        <v>679.587321722809</v>
      </c>
      <c r="H53" s="15" t="n">
        <f aca="false">H44*H51</f>
        <v>794.200479137379</v>
      </c>
      <c r="I53" s="15" t="n">
        <f aca="false">I44*I51</f>
        <v>898.941985039728</v>
      </c>
      <c r="J53" s="15" t="n">
        <f aca="false">J44*J51</f>
        <v>911.087404432012</v>
      </c>
      <c r="K53" s="15" t="n">
        <f aca="false">K44*K51</f>
        <v>977.385576510419</v>
      </c>
      <c r="L53" s="15" t="n">
        <f aca="false">L44*L51</f>
        <v>1028.0615784286</v>
      </c>
    </row>
    <row r="55" customFormat="false" ht="15" hidden="false" customHeight="false" outlineLevel="0" collapsed="false">
      <c r="A55" s="4" t="s">
        <v>126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15" hidden="false" customHeight="false" outlineLevel="0" collapsed="false">
      <c r="B56" s="8" t="s">
        <v>127</v>
      </c>
      <c r="C56" s="7"/>
      <c r="D56" s="43" t="s">
        <v>128</v>
      </c>
      <c r="E56" s="7"/>
    </row>
    <row r="57" customFormat="false" ht="15" hidden="false" customHeight="false" outlineLevel="0" collapsed="false">
      <c r="A57" s="6" t="s">
        <v>129</v>
      </c>
      <c r="B57" s="30" t="n">
        <f aca="false">L34</f>
        <v>4756.52466216736</v>
      </c>
      <c r="D57" s="15" t="n">
        <f aca="false">L44</f>
        <v>2639.37718642521</v>
      </c>
    </row>
    <row r="58" customFormat="false" ht="15" hidden="false" customHeight="false" outlineLevel="0" collapsed="false">
      <c r="A58" s="6" t="s">
        <v>78</v>
      </c>
      <c r="B58" s="44" t="n">
        <f aca="false">B13</f>
        <v>0.03</v>
      </c>
      <c r="D58" s="44" t="n">
        <f aca="false">B13</f>
        <v>0.03</v>
      </c>
    </row>
    <row r="59" customFormat="false" ht="15" hidden="false" customHeight="false" outlineLevel="0" collapsed="false">
      <c r="A59" s="6" t="s">
        <v>76</v>
      </c>
      <c r="B59" s="44" t="n">
        <f aca="false">B12</f>
        <v>0.098874848</v>
      </c>
      <c r="D59" s="44" t="n">
        <f aca="false">B12</f>
        <v>0.098874848</v>
      </c>
    </row>
    <row r="60" customFormat="false" ht="15" hidden="false" customHeight="false" outlineLevel="0" collapsed="false">
      <c r="A60" s="6" t="s">
        <v>130</v>
      </c>
      <c r="B60" s="30" t="n">
        <f aca="false">B57*(1+B58)/(B59-B58)</f>
        <v>71132.2136352647</v>
      </c>
      <c r="D60" s="15" t="n">
        <f aca="false">D57*(1+D58)/(D59-D58)</f>
        <v>39470.9909489451</v>
      </c>
    </row>
    <row r="61" customFormat="false" ht="15" hidden="false" customHeight="false" outlineLevel="0" collapsed="false">
      <c r="A61" s="6" t="s">
        <v>131</v>
      </c>
      <c r="B61" s="30" t="n">
        <f aca="false">B60*L51</f>
        <v>27706.6484483924</v>
      </c>
      <c r="D61" s="15" t="n">
        <f aca="false">D60*L51</f>
        <v>15374.3123437667</v>
      </c>
    </row>
    <row r="62" customFormat="false" ht="15" hidden="false" customHeight="false" outlineLevel="0" collapsed="false">
      <c r="A62" s="6" t="s">
        <v>132</v>
      </c>
      <c r="B62" s="30" t="n">
        <f aca="false">SUM(C52:L52)</f>
        <v>18154.8879841165</v>
      </c>
      <c r="D62" s="15" t="n">
        <f aca="false">SUM(C53:L53)</f>
        <v>6308.56295301505</v>
      </c>
    </row>
    <row r="63" customFormat="false" ht="15" hidden="false" customHeight="false" outlineLevel="0" collapsed="false">
      <c r="A63" s="45" t="s">
        <v>48</v>
      </c>
      <c r="B63" s="46" t="n">
        <f aca="false">B61+B62</f>
        <v>45861.5364325089</v>
      </c>
      <c r="D63" s="46" t="n">
        <f aca="false">D61+D62</f>
        <v>21682.8752967818</v>
      </c>
    </row>
    <row r="64" customFormat="false" ht="15" hidden="false" customHeight="false" outlineLevel="0" collapsed="false">
      <c r="A64" s="6" t="s">
        <v>133</v>
      </c>
      <c r="B64" s="30" t="n">
        <f aca="false">B16</f>
        <v>-1270</v>
      </c>
      <c r="D64" s="15" t="n">
        <f aca="false">B16</f>
        <v>-1270</v>
      </c>
    </row>
    <row r="65" customFormat="false" ht="15" hidden="false" customHeight="false" outlineLevel="0" collapsed="false">
      <c r="A65" s="45" t="s">
        <v>134</v>
      </c>
      <c r="B65" s="47" t="n">
        <f aca="false">B63-B64</f>
        <v>47131.5364325089</v>
      </c>
      <c r="D65" s="47" t="n">
        <f aca="false">D63-D64</f>
        <v>22952.8752967818</v>
      </c>
    </row>
    <row r="66" customFormat="false" ht="15" hidden="false" customHeight="false" outlineLevel="0" collapsed="false">
      <c r="A66" s="6" t="s">
        <v>80</v>
      </c>
      <c r="B66" s="48" t="n">
        <f aca="false">B14</f>
        <v>263.7</v>
      </c>
      <c r="D66" s="48" t="n">
        <f aca="false">B14</f>
        <v>263.7</v>
      </c>
    </row>
    <row r="67" customFormat="false" ht="15" hidden="false" customHeight="false" outlineLevel="0" collapsed="false">
      <c r="A67" s="49" t="s">
        <v>135</v>
      </c>
      <c r="B67" s="50" t="n">
        <f aca="false">B65/B66</f>
        <v>178.731651241975</v>
      </c>
      <c r="D67" s="50" t="n">
        <f aca="false">D65/D66</f>
        <v>87.0416203897678</v>
      </c>
    </row>
    <row r="68" customFormat="false" ht="15" hidden="false" customHeight="false" outlineLevel="0" collapsed="false">
      <c r="A68" s="6" t="s">
        <v>136</v>
      </c>
      <c r="B68" s="28" t="n">
        <f aca="false">B15</f>
        <v>68.81</v>
      </c>
      <c r="D68" s="28" t="n">
        <f aca="false">B15</f>
        <v>68.81</v>
      </c>
    </row>
    <row r="69" customFormat="false" ht="15" hidden="false" customHeight="false" outlineLevel="0" collapsed="false">
      <c r="A69" s="6" t="s">
        <v>137</v>
      </c>
      <c r="B69" s="51" t="n">
        <f aca="false">B67/B68-1</f>
        <v>1.59746622935584</v>
      </c>
      <c r="D69" s="51" t="n">
        <f aca="false">D67/D68-1</f>
        <v>0.264955971367066</v>
      </c>
    </row>
    <row r="71" customFormat="false" ht="15" hidden="false" customHeight="false" outlineLevel="0" collapsed="false">
      <c r="A71" s="6" t="s">
        <v>138</v>
      </c>
      <c r="B71" s="26" t="n">
        <f aca="false">B61/B63</f>
        <v>0.604136943583787</v>
      </c>
      <c r="D71" s="36" t="n">
        <f aca="false">D61/D63</f>
        <v>0.709053210578978</v>
      </c>
    </row>
    <row r="72" customFormat="false" ht="15" hidden="false" customHeight="false" outlineLevel="0" collapsed="false">
      <c r="A72" s="52" t="s">
        <v>139</v>
      </c>
      <c r="B72" s="53" t="n">
        <f aca="false">1-B68/B67</f>
        <v>0.615009431615211</v>
      </c>
      <c r="D72" s="54" t="n">
        <f aca="false">1-D68/D67</f>
        <v>0.209458651023815</v>
      </c>
    </row>
  </sheetData>
  <mergeCells count="12"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  <mergeCell ref="C15:L15"/>
    <mergeCell ref="C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140</v>
      </c>
    </row>
    <row r="3" customFormat="false" ht="15" hidden="false" customHeight="false" outlineLevel="0" collapsed="false">
      <c r="A3" s="4" t="s">
        <v>141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8" t="s">
        <v>142</v>
      </c>
      <c r="B4" s="55" t="n">
        <v>0.02</v>
      </c>
      <c r="C4" s="55" t="n">
        <v>0.025</v>
      </c>
      <c r="D4" s="55" t="n">
        <v>0.03</v>
      </c>
      <c r="E4" s="55" t="n">
        <v>0.035</v>
      </c>
      <c r="F4" s="55" t="n">
        <v>0.04</v>
      </c>
    </row>
    <row r="5" customFormat="false" ht="15" hidden="false" customHeight="false" outlineLevel="0" collapsed="false">
      <c r="A5" s="56" t="n">
        <v>0.08</v>
      </c>
      <c r="B5" s="57" t="n">
        <f aca="false">('DCF Model'!D62 * ('DCF Model'!B12/A5) + 'DCF Model'!L44*(1+B4)/(A5-B4)/(1+A5)^10 - 'DCF Model'!B16) / 'DCF Model'!B14</f>
        <v>113.197561886412</v>
      </c>
      <c r="C5" s="57" t="n">
        <f aca="false">('DCF Model'!D62 * ('DCF Model'!B12/A5) + 'DCF Model'!L44*(1+C4)/(A5-C4)/(1+A5)^10 - 'DCF Model'!B16) / 'DCF Model'!B14</f>
        <v>120.783924439011</v>
      </c>
      <c r="D5" s="57" t="n">
        <f aca="false">('DCF Model'!D62 * ('DCF Model'!B12/A5) + 'DCF Model'!L44*(1+D4)/(A5-D4)/(1+A5)^10 - 'DCF Model'!B16) / 'DCF Model'!B14</f>
        <v>129.887559502131</v>
      </c>
      <c r="E5" s="57" t="n">
        <f aca="false">('DCF Model'!D62 * ('DCF Model'!B12/A5) + 'DCF Model'!L44*(1+E4)/(A5-E4)/(1+A5)^10 - 'DCF Model'!B16) / 'DCF Model'!B14</f>
        <v>141.014224579277</v>
      </c>
      <c r="F5" s="57" t="n">
        <f aca="false">('DCF Model'!D62 * ('DCF Model'!B12/A5) + 'DCF Model'!L44*(1+F4)/(A5-F4)/(1+A5)^10 - 'DCF Model'!B16) / 'DCF Model'!B14</f>
        <v>154.92255592571</v>
      </c>
    </row>
    <row r="6" customFormat="false" ht="15" hidden="false" customHeight="false" outlineLevel="0" collapsed="false">
      <c r="A6" s="56" t="n">
        <v>0.085</v>
      </c>
      <c r="B6" s="58" t="n">
        <f aca="false">('DCF Model'!D62 * ('DCF Model'!B12/A6) + 'DCF Model'!L44*(1+B4)/(A6-B4)/(1+A6)^10 - 'DCF Model'!B16) / 'DCF Model'!B14</f>
        <v>102.111768156309</v>
      </c>
      <c r="C6" s="58" t="n">
        <f aca="false">('DCF Model'!D62 * ('DCF Model'!B12/A6) + 'DCF Model'!L44*(1+C4)/(A6-C4)/(1+A6)^10 - 'DCF Model'!B16) / 'DCF Model'!B14</f>
        <v>108.269617826465</v>
      </c>
      <c r="D6" s="58" t="n">
        <f aca="false">('DCF Model'!D62 * ('DCF Model'!B12/A6) + 'DCF Model'!L44*(1+D4)/(A6-D4)/(1+A6)^10 - 'DCF Model'!B16) / 'DCF Model'!B14</f>
        <v>115.547076527558</v>
      </c>
      <c r="E6" s="58" t="n">
        <f aca="false">('DCF Model'!D62 * ('DCF Model'!B12/A6) + 'DCF Model'!L44*(1+E4)/(A6-E4)/(1+A6)^10 - 'DCF Model'!B16) / 'DCF Model'!B14</f>
        <v>124.280026968869</v>
      </c>
      <c r="F6" s="58" t="n">
        <f aca="false">('DCF Model'!D62 * ('DCF Model'!B12/A6) + 'DCF Model'!L44*(1+F4)/(A6-F4)/(1+A6)^10 - 'DCF Model'!B16) / 'DCF Model'!B14</f>
        <v>134.953633063806</v>
      </c>
    </row>
    <row r="7" customFormat="false" ht="15" hidden="false" customHeight="false" outlineLevel="0" collapsed="false">
      <c r="A7" s="56" t="n">
        <v>0.09</v>
      </c>
      <c r="B7" s="57" t="n">
        <f aca="false">('DCF Model'!D62 * ('DCF Model'!B12/A7) + 'DCF Model'!L44*(1+B4)/(A7-B4)/(1+A7)^10 - 'DCF Model'!B16) / 'DCF Model'!B14</f>
        <v>92.7051706495938</v>
      </c>
      <c r="C7" s="57" t="n">
        <f aca="false">('DCF Model'!D62 * ('DCF Model'!B12/A7) + 'DCF Model'!L44*(1+C4)/(A7-C4)/(1+A7)^10 - 'DCF Model'!B16) / 'DCF Model'!B14</f>
        <v>97.7693777166145</v>
      </c>
      <c r="D7" s="57" t="n">
        <f aca="false">('DCF Model'!D62 * ('DCF Model'!B12/A7) + 'DCF Model'!L44*(1+D4)/(A7-D4)/(1+A7)^10 - 'DCF Model'!B16) / 'DCF Model'!B14</f>
        <v>103.677619294805</v>
      </c>
      <c r="E7" s="57" t="n">
        <f aca="false">('DCF Model'!D62 * ('DCF Model'!B12/A7) + 'DCF Model'!L44*(1+E4)/(A7-E4)/(1+A7)^10 - 'DCF Model'!B16) / 'DCF Model'!B14</f>
        <v>110.660086614485</v>
      </c>
      <c r="F7" s="57" t="n">
        <f aca="false">('DCF Model'!D62 * ('DCF Model'!B12/A7) + 'DCF Model'!L44*(1+F4)/(A7-F4)/(1+A7)^10 - 'DCF Model'!B16) / 'DCF Model'!B14</f>
        <v>119.039047398101</v>
      </c>
    </row>
    <row r="8" customFormat="false" ht="15" hidden="false" customHeight="false" outlineLevel="0" collapsed="false">
      <c r="A8" s="56" t="n">
        <v>0.095</v>
      </c>
      <c r="B8" s="58" t="n">
        <f aca="false">('DCF Model'!D62 * ('DCF Model'!B12/A8) + 'DCF Model'!L44*(1+B4)/(A8-B4)/(1+A8)^10 - 'DCF Model'!B16) / 'DCF Model'!B14</f>
        <v>84.6425153986579</v>
      </c>
      <c r="C8" s="58" t="n">
        <f aca="false">('DCF Model'!D62 * ('DCF Model'!B12/A8) + 'DCF Model'!L44*(1+C4)/(A8-C4)/(1+A8)^10 - 'DCF Model'!B16) / 'DCF Model'!B14</f>
        <v>88.8543853882656</v>
      </c>
      <c r="D8" s="58" t="n">
        <f aca="false">('DCF Model'!D62 * ('DCF Model'!B12/A8) + 'DCF Model'!L44*(1+D4)/(A8-D4)/(1+A8)^10 - 'DCF Model'!B16) / 'DCF Model'!B14</f>
        <v>93.7142353762744</v>
      </c>
      <c r="E8" s="58" t="n">
        <f aca="false">('DCF Model'!D62 * ('DCF Model'!B12/A8) + 'DCF Model'!L44*(1+E4)/(A8-E4)/(1+A8)^10 - 'DCF Model'!B16) / 'DCF Model'!B14</f>
        <v>99.3840603622848</v>
      </c>
      <c r="F8" s="58" t="n">
        <f aca="false">('DCF Model'!D62 * ('DCF Model'!B12/A8) + 'DCF Model'!L44*(1+F4)/(A8-F4)/(1+A8)^10 - 'DCF Model'!B16) / 'DCF Model'!B14</f>
        <v>106.084762618479</v>
      </c>
    </row>
    <row r="9" customFormat="false" ht="15" hidden="false" customHeight="false" outlineLevel="0" collapsed="false">
      <c r="A9" s="56" t="n">
        <v>0.1</v>
      </c>
      <c r="B9" s="57" t="n">
        <f aca="false">('DCF Model'!D62 * ('DCF Model'!B12/A9) + 'DCF Model'!L44*(1+B4)/(A9-B4)/(1+A9)^10 - 'DCF Model'!B16) / 'DCF Model'!B14</f>
        <v>77.6712461230502</v>
      </c>
      <c r="C9" s="57" t="n">
        <f aca="false">('DCF Model'!D62 * ('DCF Model'!B12/A9) + 'DCF Model'!L44*(1+C4)/(A9-C4)/(1+A9)^10 - 'DCF Model'!B16) / 'DCF Model'!B14</f>
        <v>81.2085788836038</v>
      </c>
      <c r="D9" s="57" t="n">
        <f aca="false">('DCF Model'!D62 * ('DCF Model'!B12/A9) + 'DCF Model'!L44*(1+D4)/(A9-D4)/(1+A9)^10 - 'DCF Model'!B16) / 'DCF Model'!B14</f>
        <v>85.2512448956652</v>
      </c>
      <c r="E9" s="57" t="n">
        <f aca="false">('DCF Model'!D62 * ('DCF Model'!B12/A9) + 'DCF Model'!L44*(1+E4)/(A9-E4)/(1+A9)^10 - 'DCF Model'!B16) / 'DCF Model'!B14</f>
        <v>89.9158595249667</v>
      </c>
      <c r="F9" s="57" t="n">
        <f aca="false">('DCF Model'!D62 * ('DCF Model'!B12/A9) + 'DCF Model'!L44*(1+F4)/(A9-F4)/(1+A9)^10 - 'DCF Model'!B16) / 'DCF Model'!B14</f>
        <v>95.3579099258185</v>
      </c>
    </row>
    <row r="10" customFormat="false" ht="15" hidden="false" customHeight="false" outlineLevel="0" collapsed="false">
      <c r="A10" s="56" t="n">
        <v>0.105</v>
      </c>
      <c r="B10" s="58" t="n">
        <f aca="false">('DCF Model'!D62 * ('DCF Model'!B12/A10) + 'DCF Model'!L44*(1+B4)/(A10-B4)/(1+A10)^10 - 'DCF Model'!B16) / 'DCF Model'!B14</f>
        <v>71.5974993243016</v>
      </c>
      <c r="C10" s="58" t="n">
        <f aca="false">('DCF Model'!D62 * ('DCF Model'!B12/A10) + 'DCF Model'!L44*(1+C4)/(A10-C4)/(1+A10)^10 - 'DCF Model'!B16) / 'DCF Model'!B14</f>
        <v>74.5938450244796</v>
      </c>
      <c r="D10" s="58" t="n">
        <f aca="false">('DCF Model'!D62 * ('DCF Model'!B12/A10) + 'DCF Model'!L44*(1+D4)/(A10-D4)/(1+A10)^10 - 'DCF Model'!B16) / 'DCF Model'!B14</f>
        <v>77.9897034846813</v>
      </c>
      <c r="E10" s="58" t="n">
        <f aca="false">('DCF Model'!D62 * ('DCF Model'!B12/A10) + 'DCF Model'!L44*(1+E4)/(A10-E4)/(1+A10)^10 - 'DCF Model'!B16) / 'DCF Model'!B14</f>
        <v>81.8706845820547</v>
      </c>
      <c r="F10" s="58" t="n">
        <f aca="false">('DCF Model'!D62 * ('DCF Model'!B12/A10) + 'DCF Model'!L44*(1+F4)/(A10-F4)/(1+A10)^10 - 'DCF Model'!B16) / 'DCF Model'!B14</f>
        <v>86.3487396944087</v>
      </c>
    </row>
    <row r="11" customFormat="false" ht="15" hidden="false" customHeight="false" outlineLevel="0" collapsed="false">
      <c r="A11" s="56" t="n">
        <v>0.11</v>
      </c>
      <c r="B11" s="57" t="n">
        <f aca="false">('DCF Model'!D62 * ('DCF Model'!B12/A11) + 'DCF Model'!L44*(1+B4)/(A11-B4)/(1+A11)^10 - 'DCF Model'!B16) / 'DCF Model'!B14</f>
        <v>66.2700144509419</v>
      </c>
      <c r="C11" s="57" t="n">
        <f aca="false">('DCF Model'!D62 * ('DCF Model'!B12/A11) + 'DCF Model'!L44*(1+C4)/(A11-C4)/(1+A11)^10 - 'DCF Model'!B16) / 'DCF Model'!B14</f>
        <v>68.8273816397069</v>
      </c>
      <c r="D11" s="57" t="n">
        <f aca="false">('DCF Model'!D62 * ('DCF Model'!B12/A11) + 'DCF Model'!L44*(1+D4)/(A11-D4)/(1+A11)^10 - 'DCF Model'!B16) / 'DCF Model'!B14</f>
        <v>71.7044197270676</v>
      </c>
      <c r="E11" s="57" t="n">
        <f aca="false">('DCF Model'!D62 * ('DCF Model'!B12/A11) + 'DCF Model'!L44*(1+E4)/(A11-E4)/(1+A11)^10 - 'DCF Model'!B16) / 'DCF Model'!B14</f>
        <v>74.965062892743</v>
      </c>
      <c r="F11" s="57" t="n">
        <f aca="false">('DCF Model'!D62 * ('DCF Model'!B12/A11) + 'DCF Model'!L44*(1+F4)/(A11-F4)/(1+A11)^10 - 'DCF Model'!B16) / 'DCF Model'!B14</f>
        <v>78.6915122249434</v>
      </c>
    </row>
    <row r="14" customFormat="false" ht="15" hidden="false" customHeight="false" outlineLevel="0" collapsed="false">
      <c r="A14" s="4" t="s">
        <v>143</v>
      </c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8" t="s">
        <v>144</v>
      </c>
      <c r="B15" s="55" t="n">
        <v>0.08</v>
      </c>
      <c r="C15" s="55" t="n">
        <v>0.1</v>
      </c>
      <c r="D15" s="55" t="n">
        <v>0.12</v>
      </c>
      <c r="E15" s="55" t="n">
        <v>0.14</v>
      </c>
      <c r="F15" s="55" t="n">
        <v>0.16</v>
      </c>
    </row>
    <row r="16" customFormat="false" ht="15" hidden="false" customHeight="false" outlineLevel="0" collapsed="false">
      <c r="A16" s="59" t="n">
        <v>0.1</v>
      </c>
      <c r="B16" s="57" t="n">
        <f aca="false">(('DCF Model'!B21*(1+B15)^10*0.32*(1-'DCF Model'!B5)*1.01-'DCF Model'!B21*(1+B15)^10*A16)*(1+'DCF Model'!B13)/('DCF Model'!B12-'DCF Model'!B13)/(1+'DCF Model'!B12)^10+'DCF Model'!B21*(1+B15)^5*(0.28*(1-'DCF Model'!B5)*1.01-A16)*5/(1+'DCF Model'!B12)^5-'DCF Model'!B16)/'DCF Model'!B14</f>
        <v>49.3355111679183</v>
      </c>
      <c r="C16" s="57" t="n">
        <f aca="false">(('DCF Model'!B21*(1+C15)^10*0.32*(1-'DCF Model'!B5)*1.01-'DCF Model'!B21*(1+C15)^10*A16)*(1+'DCF Model'!B13)/('DCF Model'!B12-'DCF Model'!B13)/(1+'DCF Model'!B12)^10+'DCF Model'!B21*(1+C15)^5*(0.28*(1-'DCF Model'!B5)*1.01-A16)*5/(1+'DCF Model'!B12)^5-'DCF Model'!B16)/'DCF Model'!B14</f>
        <v>57.2583986663597</v>
      </c>
      <c r="D16" s="57" t="n">
        <f aca="false">(('DCF Model'!B21*(1+D15)^10*0.32*(1-'DCF Model'!B5)*1.01-'DCF Model'!B21*(1+D15)^10*A16)*(1+'DCF Model'!B13)/('DCF Model'!B12-'DCF Model'!B13)/(1+'DCF Model'!B12)^10+'DCF Model'!B21*(1+D15)^5*(0.28*(1-'DCF Model'!B5)*1.01-A16)*5/(1+'DCF Model'!B12)^5-'DCF Model'!B16)/'DCF Model'!B14</f>
        <v>66.4921598152911</v>
      </c>
      <c r="E16" s="57" t="n">
        <f aca="false">(('DCF Model'!B21*(1+E15)^10*0.32*(1-'DCF Model'!B5)*1.01-'DCF Model'!B21*(1+E15)^10*A16)*(1+'DCF Model'!B13)/('DCF Model'!B12-'DCF Model'!B13)/(1+'DCF Model'!B12)^10+'DCF Model'!B21*(1+E15)^5*(0.28*(1-'DCF Model'!B5)*1.01-A16)*5/(1+'DCF Model'!B12)^5-'DCF Model'!B16)/'DCF Model'!B14</f>
        <v>77.2328271756215</v>
      </c>
      <c r="F16" s="57" t="n">
        <f aca="false">(('DCF Model'!B21*(1+F15)^10*0.32*(1-'DCF Model'!B5)*1.01-'DCF Model'!B21*(1+F15)^10*A16)*(1+'DCF Model'!B13)/('DCF Model'!B12-'DCF Model'!B13)/(1+'DCF Model'!B12)^10+'DCF Model'!B21*(1+F15)^5*(0.28*(1-'DCF Model'!B5)*1.01-A16)*5/(1+'DCF Model'!B12)^5-'DCF Model'!B16)/'DCF Model'!B14</f>
        <v>89.7021364182276</v>
      </c>
    </row>
    <row r="17" customFormat="false" ht="15" hidden="false" customHeight="false" outlineLevel="0" collapsed="false">
      <c r="A17" s="59" t="n">
        <v>0.15</v>
      </c>
      <c r="B17" s="58" t="n">
        <f aca="false">(('DCF Model'!B21*(1+B15)^10*0.32*(1-'DCF Model'!B5)*1.01-'DCF Model'!B21*(1+B15)^10*A17)*(1+'DCF Model'!B13)/('DCF Model'!B12-'DCF Model'!B13)/(1+'DCF Model'!B12)^10+'DCF Model'!B21*(1+B15)^5*(0.28*(1-'DCF Model'!B5)*1.01-A17)*5/(1+'DCF Model'!B12)^5-'DCF Model'!B16)/'DCF Model'!B14</f>
        <v>32.3667113977394</v>
      </c>
      <c r="C17" s="58" t="n">
        <f aca="false">(('DCF Model'!B21*(1+C15)^10*0.32*(1-'DCF Model'!B5)*1.01-'DCF Model'!B21*(1+C15)^10*A17)*(1+'DCF Model'!B13)/('DCF Model'!B12-'DCF Model'!B13)/(1+'DCF Model'!B12)^10+'DCF Model'!B21*(1+C15)^5*(0.28*(1-'DCF Model'!B5)*1.01-A17)*5/(1+'DCF Model'!B12)^5-'DCF Model'!B16)/'DCF Model'!B14</f>
        <v>37.3494970081353</v>
      </c>
      <c r="D17" s="58" t="n">
        <f aca="false">(('DCF Model'!B21*(1+D15)^10*0.32*(1-'DCF Model'!B5)*1.01-'DCF Model'!B21*(1+D15)^10*A17)*(1+'DCF Model'!B13)/('DCF Model'!B12-'DCF Model'!B13)/(1+'DCF Model'!B12)^10+'DCF Model'!B21*(1+D15)^5*(0.28*(1-'DCF Model'!B5)*1.01-A17)*5/(1+'DCF Model'!B12)^5-'DCF Model'!B16)/'DCF Model'!B14</f>
        <v>43.165128995024</v>
      </c>
      <c r="E17" s="58" t="n">
        <f aca="false">(('DCF Model'!B21*(1+E15)^10*0.32*(1-'DCF Model'!B5)*1.01-'DCF Model'!B21*(1+E15)^10*A17)*(1+'DCF Model'!B13)/('DCF Model'!B12-'DCF Model'!B13)/(1+'DCF Model'!B12)^10+'DCF Model'!B21*(1+E15)^5*(0.28*(1-'DCF Model'!B5)*1.01-A17)*5/(1+'DCF Model'!B12)^5-'DCF Model'!B16)/'DCF Model'!B14</f>
        <v>49.9388176859559</v>
      </c>
      <c r="F17" s="58" t="n">
        <f aca="false">(('DCF Model'!B21*(1+F15)^10*0.32*(1-'DCF Model'!B5)*1.01-'DCF Model'!B21*(1+F15)^10*A17)*(1+'DCF Model'!B13)/('DCF Model'!B12-'DCF Model'!B13)/(1+'DCF Model'!B12)^10+'DCF Model'!B21*(1+F15)^5*(0.28*(1-'DCF Model'!B5)*1.01-A17)*5/(1+'DCF Model'!B12)^5-'DCF Model'!B16)/'DCF Model'!B14</f>
        <v>57.8122277026617</v>
      </c>
    </row>
    <row r="18" customFormat="false" ht="15" hidden="false" customHeight="false" outlineLevel="0" collapsed="false">
      <c r="A18" s="59" t="n">
        <v>0.2</v>
      </c>
      <c r="B18" s="57" t="n">
        <f aca="false">(('DCF Model'!B21*(1+B15)^10*0.32*(1-'DCF Model'!B5)*1.01-'DCF Model'!B21*(1+B15)^10*A18)*(1+'DCF Model'!B13)/('DCF Model'!B12-'DCF Model'!B13)/(1+'DCF Model'!B12)^10+'DCF Model'!B21*(1+B15)^5*(0.28*(1-'DCF Model'!B5)*1.01-A18)*5/(1+'DCF Model'!B12)^5-'DCF Model'!B16)/'DCF Model'!B14</f>
        <v>15.3979116275605</v>
      </c>
      <c r="C18" s="57" t="n">
        <f aca="false">(('DCF Model'!B21*(1+C15)^10*0.32*(1-'DCF Model'!B5)*1.01-'DCF Model'!B21*(1+C15)^10*A18)*(1+'DCF Model'!B13)/('DCF Model'!B12-'DCF Model'!B13)/(1+'DCF Model'!B12)^10+'DCF Model'!B21*(1+C15)^5*(0.28*(1-'DCF Model'!B5)*1.01-A18)*5/(1+'DCF Model'!B12)^5-'DCF Model'!B16)/'DCF Model'!B14</f>
        <v>17.4405953499108</v>
      </c>
      <c r="D18" s="57" t="n">
        <f aca="false">(('DCF Model'!B21*(1+D15)^10*0.32*(1-'DCF Model'!B5)*1.01-'DCF Model'!B21*(1+D15)^10*A18)*(1+'DCF Model'!B13)/('DCF Model'!B12-'DCF Model'!B13)/(1+'DCF Model'!B12)^10+'DCF Model'!B21*(1+D15)^5*(0.28*(1-'DCF Model'!B5)*1.01-A18)*5/(1+'DCF Model'!B12)^5-'DCF Model'!B16)/'DCF Model'!B14</f>
        <v>19.8380981747568</v>
      </c>
      <c r="E18" s="57" t="n">
        <f aca="false">(('DCF Model'!B21*(1+E15)^10*0.32*(1-'DCF Model'!B5)*1.01-'DCF Model'!B21*(1+E15)^10*A18)*(1+'DCF Model'!B13)/('DCF Model'!B12-'DCF Model'!B13)/(1+'DCF Model'!B12)^10+'DCF Model'!B21*(1+E15)^5*(0.28*(1-'DCF Model'!B5)*1.01-A18)*5/(1+'DCF Model'!B12)^5-'DCF Model'!B16)/'DCF Model'!B14</f>
        <v>22.6448081962903</v>
      </c>
      <c r="F18" s="57" t="n">
        <f aca="false">(('DCF Model'!B21*(1+F15)^10*0.32*(1-'DCF Model'!B5)*1.01-'DCF Model'!B21*(1+F15)^10*A18)*(1+'DCF Model'!B13)/('DCF Model'!B12-'DCF Model'!B13)/(1+'DCF Model'!B12)^10+'DCF Model'!B21*(1+F15)^5*(0.28*(1-'DCF Model'!B5)*1.01-A18)*5/(1+'DCF Model'!B12)^5-'DCF Model'!B16)/'DCF Model'!B14</f>
        <v>25.9223189870958</v>
      </c>
    </row>
    <row r="19" customFormat="false" ht="15" hidden="false" customHeight="false" outlineLevel="0" collapsed="false">
      <c r="A19" s="59" t="n">
        <v>0.25</v>
      </c>
      <c r="B19" s="58" t="n">
        <f aca="false">(('DCF Model'!B21*(1+B15)^10*0.32*(1-'DCF Model'!B5)*1.01-'DCF Model'!B21*(1+B15)^10*A19)*(1+'DCF Model'!B13)/('DCF Model'!B12-'DCF Model'!B13)/(1+'DCF Model'!B12)^10+'DCF Model'!B21*(1+B15)^5*(0.28*(1-'DCF Model'!B5)*1.01-A19)*5/(1+'DCF Model'!B12)^5-'DCF Model'!B16)/'DCF Model'!B14</f>
        <v>-1.57088814261832</v>
      </c>
      <c r="C19" s="58" t="n">
        <f aca="false">(('DCF Model'!B21*(1+C15)^10*0.32*(1-'DCF Model'!B5)*1.01-'DCF Model'!B21*(1+C15)^10*A19)*(1+'DCF Model'!B13)/('DCF Model'!B12-'DCF Model'!B13)/(1+'DCF Model'!B12)^10+'DCF Model'!B21*(1+C15)^5*(0.28*(1-'DCF Model'!B5)*1.01-A19)*5/(1+'DCF Model'!B12)^5-'DCF Model'!B16)/'DCF Model'!B14</f>
        <v>-2.46830630831358</v>
      </c>
      <c r="D19" s="58" t="n">
        <f aca="false">(('DCF Model'!B21*(1+D15)^10*0.32*(1-'DCF Model'!B5)*1.01-'DCF Model'!B21*(1+D15)^10*A19)*(1+'DCF Model'!B13)/('DCF Model'!B12-'DCF Model'!B13)/(1+'DCF Model'!B12)^10+'DCF Model'!B21*(1+D15)^5*(0.28*(1-'DCF Model'!B5)*1.01-A19)*5/(1+'DCF Model'!B12)^5-'DCF Model'!B16)/'DCF Model'!B14</f>
        <v>-3.48893264551027</v>
      </c>
      <c r="E19" s="58" t="n">
        <f aca="false">(('DCF Model'!B21*(1+E15)^10*0.32*(1-'DCF Model'!B5)*1.01-'DCF Model'!B21*(1+E15)^10*A19)*(1+'DCF Model'!B13)/('DCF Model'!B12-'DCF Model'!B13)/(1+'DCF Model'!B12)^10+'DCF Model'!B21*(1+E15)^5*(0.28*(1-'DCF Model'!B5)*1.01-A19)*5/(1+'DCF Model'!B12)^5-'DCF Model'!B16)/'DCF Model'!B14</f>
        <v>-4.64920129337529</v>
      </c>
      <c r="F19" s="58" t="n">
        <f aca="false">(('DCF Model'!B21*(1+F15)^10*0.32*(1-'DCF Model'!B5)*1.01-'DCF Model'!B21*(1+F15)^10*A19)*(1+'DCF Model'!B13)/('DCF Model'!B12-'DCF Model'!B13)/(1+'DCF Model'!B12)^10+'DCF Model'!B21*(1+F15)^5*(0.28*(1-'DCF Model'!B5)*1.01-A19)*5/(1+'DCF Model'!B12)^5-'DCF Model'!B16)/'DCF Model'!B14</f>
        <v>-5.96758972847014</v>
      </c>
    </row>
    <row r="20" customFormat="false" ht="15" hidden="false" customHeight="false" outlineLevel="0" collapsed="false">
      <c r="A20" s="59" t="n">
        <v>0.3</v>
      </c>
      <c r="B20" s="57" t="n">
        <f aca="false">(('DCF Model'!B21*(1+B15)^10*0.32*(1-'DCF Model'!B5)*1.01-'DCF Model'!B21*(1+B15)^10*A20)*(1+'DCF Model'!B13)/('DCF Model'!B12-'DCF Model'!B13)/(1+'DCF Model'!B12)^10+'DCF Model'!B21*(1+B15)^5*(0.28*(1-'DCF Model'!B5)*1.01-A20)*5/(1+'DCF Model'!B12)^5-'DCF Model'!B16)/'DCF Model'!B14</f>
        <v>-18.5396879127972</v>
      </c>
      <c r="C20" s="57" t="n">
        <f aca="false">(('DCF Model'!B21*(1+C15)^10*0.32*(1-'DCF Model'!B5)*1.01-'DCF Model'!B21*(1+C15)^10*A20)*(1+'DCF Model'!B13)/('DCF Model'!B12-'DCF Model'!B13)/(1+'DCF Model'!B12)^10+'DCF Model'!B21*(1+C15)^5*(0.28*(1-'DCF Model'!B5)*1.01-A20)*5/(1+'DCF Model'!B12)^5-'DCF Model'!B16)/'DCF Model'!B14</f>
        <v>-22.377207966538</v>
      </c>
      <c r="D20" s="57" t="n">
        <f aca="false">(('DCF Model'!B21*(1+D15)^10*0.32*(1-'DCF Model'!B5)*1.01-'DCF Model'!B21*(1+D15)^10*A20)*(1+'DCF Model'!B13)/('DCF Model'!B12-'DCF Model'!B13)/(1+'DCF Model'!B12)^10+'DCF Model'!B21*(1+D15)^5*(0.28*(1-'DCF Model'!B5)*1.01-A20)*5/(1+'DCF Model'!B12)^5-'DCF Model'!B16)/'DCF Model'!B14</f>
        <v>-26.8159634657774</v>
      </c>
      <c r="E20" s="57" t="n">
        <f aca="false">(('DCF Model'!B21*(1+E15)^10*0.32*(1-'DCF Model'!B5)*1.01-'DCF Model'!B21*(1+E15)^10*A20)*(1+'DCF Model'!B13)/('DCF Model'!B12-'DCF Model'!B13)/(1+'DCF Model'!B12)^10+'DCF Model'!B21*(1+E15)^5*(0.28*(1-'DCF Model'!B5)*1.01-A20)*5/(1+'DCF Model'!B12)^5-'DCF Model'!B16)/'DCF Model'!B14</f>
        <v>-31.9432107830409</v>
      </c>
      <c r="F20" s="57" t="n">
        <f aca="false">(('DCF Model'!B21*(1+F15)^10*0.32*(1-'DCF Model'!B5)*1.01-'DCF Model'!B21*(1+F15)^10*A20)*(1+'DCF Model'!B13)/('DCF Model'!B12-'DCF Model'!B13)/(1+'DCF Model'!B12)^10+'DCF Model'!B21*(1+F15)^5*(0.28*(1-'DCF Model'!B5)*1.01-A20)*5/(1+'DCF Model'!B12)^5-'DCF Model'!B16)/'DCF Model'!B14</f>
        <v>-37.8574984440361</v>
      </c>
    </row>
    <row r="22" customFormat="false" ht="15" hidden="false" customHeight="false" outlineLevel="0" collapsed="false">
      <c r="A22" s="6" t="s">
        <v>145</v>
      </c>
    </row>
    <row r="23" customFormat="false" ht="15" hidden="false" customHeight="false" outlineLevel="0" collapsed="false">
      <c r="A23" s="60" t="s">
        <v>146</v>
      </c>
      <c r="B23" s="60"/>
      <c r="C23" s="60"/>
      <c r="D23" s="60"/>
      <c r="E23" s="60"/>
      <c r="F23" s="60"/>
      <c r="G23" s="60"/>
    </row>
    <row r="24" customFormat="false" ht="15" hidden="false" customHeight="false" outlineLevel="0" collapsed="false">
      <c r="A24" s="60" t="s">
        <v>147</v>
      </c>
      <c r="B24" s="60"/>
      <c r="C24" s="60"/>
      <c r="D24" s="60"/>
      <c r="E24" s="60"/>
      <c r="F24" s="60"/>
      <c r="G24" s="60"/>
    </row>
    <row r="25" customFormat="false" ht="15" hidden="false" customHeight="false" outlineLevel="0" collapsed="false">
      <c r="A25" s="60" t="s">
        <v>148</v>
      </c>
      <c r="B25" s="60"/>
      <c r="C25" s="60"/>
      <c r="D25" s="60"/>
      <c r="E25" s="60"/>
      <c r="F25" s="60"/>
      <c r="G25" s="60"/>
    </row>
    <row r="26" customFormat="false" ht="15" hidden="false" customHeight="false" outlineLevel="0" collapsed="false">
      <c r="A26" s="60" t="s">
        <v>149</v>
      </c>
      <c r="B26" s="60"/>
      <c r="C26" s="60"/>
      <c r="D26" s="60"/>
      <c r="E26" s="60"/>
      <c r="F26" s="60"/>
      <c r="G26" s="60"/>
    </row>
    <row r="27" customFormat="false" ht="15" hidden="false" customHeight="false" outlineLevel="0" collapsed="false">
      <c r="A27" s="60" t="s">
        <v>150</v>
      </c>
      <c r="B27" s="60"/>
      <c r="C27" s="60"/>
      <c r="D27" s="60"/>
      <c r="E27" s="60"/>
      <c r="F27" s="60"/>
      <c r="G27" s="60"/>
    </row>
  </sheetData>
  <mergeCells count="5">
    <mergeCell ref="A23:G23"/>
    <mergeCell ref="A24:G24"/>
    <mergeCell ref="A25:G25"/>
    <mergeCell ref="A26:G26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61" t="s">
        <v>152</v>
      </c>
    </row>
    <row r="4" customFormat="false" ht="15" hidden="false" customHeight="false" outlineLevel="0" collapsed="false">
      <c r="A4" s="8"/>
      <c r="B4" s="8" t="s">
        <v>153</v>
      </c>
      <c r="C4" s="8" t="s">
        <v>154</v>
      </c>
      <c r="D4" s="8" t="s">
        <v>155</v>
      </c>
    </row>
    <row r="5" customFormat="false" ht="15" hidden="false" customHeight="false" outlineLevel="0" collapsed="false">
      <c r="A5" s="6" t="s">
        <v>156</v>
      </c>
      <c r="B5" s="24" t="n">
        <v>0.12</v>
      </c>
      <c r="C5" s="24" t="n">
        <v>0.16</v>
      </c>
      <c r="D5" s="24" t="n">
        <v>0.2</v>
      </c>
    </row>
    <row r="6" customFormat="false" ht="15" hidden="false" customHeight="false" outlineLevel="0" collapsed="false">
      <c r="A6" s="6" t="s">
        <v>157</v>
      </c>
      <c r="B6" s="24" t="n">
        <v>0.02</v>
      </c>
      <c r="C6" s="24" t="n">
        <v>0.03</v>
      </c>
      <c r="D6" s="24" t="n">
        <v>0.04</v>
      </c>
    </row>
    <row r="7" customFormat="false" ht="15" hidden="false" customHeight="false" outlineLevel="0" collapsed="false">
      <c r="A7" s="6" t="s">
        <v>158</v>
      </c>
      <c r="B7" s="24" t="n">
        <v>0.28</v>
      </c>
      <c r="C7" s="24" t="n">
        <v>0.33</v>
      </c>
      <c r="D7" s="24" t="n">
        <v>0.38</v>
      </c>
    </row>
    <row r="8" customFormat="false" ht="15" hidden="false" customHeight="false" outlineLevel="0" collapsed="false">
      <c r="A8" s="14" t="s">
        <v>159</v>
      </c>
      <c r="B8" s="36" t="n">
        <v>0.18</v>
      </c>
      <c r="C8" s="36" t="n">
        <v>0.12</v>
      </c>
      <c r="D8" s="36" t="n">
        <v>0.08</v>
      </c>
    </row>
    <row r="9" customFormat="false" ht="15" hidden="false" customHeight="false" outlineLevel="0" collapsed="false">
      <c r="A9" s="6" t="s">
        <v>76</v>
      </c>
      <c r="B9" s="24" t="n">
        <v>0.11</v>
      </c>
      <c r="C9" s="24" t="n">
        <v>0.1</v>
      </c>
      <c r="D9" s="24" t="n">
        <v>0.085</v>
      </c>
    </row>
    <row r="11" customFormat="false" ht="15" hidden="false" customHeight="false" outlineLevel="0" collapsed="false">
      <c r="A11" s="6" t="s">
        <v>160</v>
      </c>
      <c r="B11" s="30" t="n">
        <v>16197</v>
      </c>
      <c r="C11" s="30" t="n">
        <v>23006</v>
      </c>
      <c r="D11" s="30" t="n">
        <v>32290</v>
      </c>
    </row>
    <row r="12" customFormat="false" ht="15" hidden="false" customHeight="false" outlineLevel="0" collapsed="false">
      <c r="A12" s="6" t="s">
        <v>161</v>
      </c>
      <c r="B12" s="30" t="n">
        <v>3390</v>
      </c>
      <c r="C12" s="30" t="n">
        <v>5674</v>
      </c>
      <c r="D12" s="30" t="n">
        <v>9171</v>
      </c>
    </row>
    <row r="13" customFormat="false" ht="15" hidden="false" customHeight="false" outlineLevel="0" collapsed="false">
      <c r="A13" s="14" t="s">
        <v>162</v>
      </c>
      <c r="B13" s="15" t="n">
        <v>-2915</v>
      </c>
      <c r="C13" s="15" t="n">
        <v>-2761</v>
      </c>
      <c r="D13" s="15" t="n">
        <v>-2583</v>
      </c>
    </row>
    <row r="14" customFormat="false" ht="15" hidden="false" customHeight="false" outlineLevel="0" collapsed="false">
      <c r="A14" s="14" t="s">
        <v>163</v>
      </c>
      <c r="B14" s="37" t="n">
        <v>474</v>
      </c>
      <c r="C14" s="37" t="n">
        <v>2913</v>
      </c>
      <c r="D14" s="37" t="n">
        <v>6588</v>
      </c>
    </row>
    <row r="15" customFormat="false" ht="15" hidden="false" customHeight="false" outlineLevel="0" collapsed="false">
      <c r="A15" s="6" t="s">
        <v>164</v>
      </c>
      <c r="B15" s="30" t="n">
        <v>5373</v>
      </c>
      <c r="C15" s="30" t="n">
        <v>42870</v>
      </c>
      <c r="D15" s="30" t="n">
        <v>152245</v>
      </c>
    </row>
    <row r="16" customFormat="false" ht="15" hidden="false" customHeight="false" outlineLevel="0" collapsed="false">
      <c r="A16" s="6" t="s">
        <v>165</v>
      </c>
      <c r="B16" s="30" t="n">
        <v>1892</v>
      </c>
      <c r="C16" s="30" t="n">
        <v>16528</v>
      </c>
      <c r="D16" s="30" t="n">
        <v>67336</v>
      </c>
    </row>
    <row r="17" customFormat="false" ht="15" hidden="false" customHeight="false" outlineLevel="0" collapsed="false">
      <c r="A17" s="6" t="s">
        <v>166</v>
      </c>
      <c r="B17" s="30" t="n">
        <v>-1302</v>
      </c>
      <c r="C17" s="30" t="n">
        <v>2712</v>
      </c>
      <c r="D17" s="30" t="n">
        <v>9039</v>
      </c>
    </row>
    <row r="18" customFormat="false" ht="15" hidden="false" customHeight="false" outlineLevel="0" collapsed="false">
      <c r="A18" s="45" t="s">
        <v>167</v>
      </c>
      <c r="B18" s="47" t="n">
        <v>591</v>
      </c>
      <c r="C18" s="47" t="n">
        <v>19241</v>
      </c>
      <c r="D18" s="47" t="n">
        <v>76375</v>
      </c>
    </row>
    <row r="19" customFormat="false" ht="15" hidden="false" customHeight="false" outlineLevel="0" collapsed="false">
      <c r="A19" s="6" t="s">
        <v>168</v>
      </c>
      <c r="B19" s="9" t="n">
        <v>1270</v>
      </c>
      <c r="C19" s="9" t="n">
        <v>1270</v>
      </c>
      <c r="D19" s="9" t="n">
        <v>1270</v>
      </c>
    </row>
    <row r="20" customFormat="false" ht="15" hidden="false" customHeight="false" outlineLevel="0" collapsed="false">
      <c r="A20" s="45" t="s">
        <v>169</v>
      </c>
      <c r="B20" s="47" t="n">
        <v>1861</v>
      </c>
      <c r="C20" s="47" t="n">
        <v>20511</v>
      </c>
      <c r="D20" s="47" t="n">
        <v>77645</v>
      </c>
    </row>
    <row r="21" customFormat="false" ht="15" hidden="false" customHeight="false" outlineLevel="0" collapsed="false">
      <c r="A21" s="6" t="s">
        <v>80</v>
      </c>
      <c r="B21" s="62" t="n">
        <v>263.7</v>
      </c>
      <c r="C21" s="62" t="n">
        <v>263.7</v>
      </c>
      <c r="D21" s="62" t="n">
        <v>263.7</v>
      </c>
    </row>
    <row r="22" customFormat="false" ht="15" hidden="false" customHeight="false" outlineLevel="0" collapsed="false">
      <c r="A22" s="49" t="s">
        <v>170</v>
      </c>
      <c r="B22" s="50" t="n">
        <v>7.06</v>
      </c>
      <c r="C22" s="50" t="n">
        <v>77.78</v>
      </c>
      <c r="D22" s="50" t="n">
        <v>294.44</v>
      </c>
    </row>
    <row r="23" customFormat="false" ht="15" hidden="false" customHeight="false" outlineLevel="0" collapsed="false">
      <c r="A23" s="6" t="s">
        <v>171</v>
      </c>
      <c r="B23" s="53" t="n">
        <v>-0.897444633852359</v>
      </c>
      <c r="C23" s="53" t="n">
        <v>0.130360936378856</v>
      </c>
      <c r="D23" s="53" t="n">
        <v>3.27907753239667</v>
      </c>
    </row>
    <row r="24" customFormat="false" ht="15" hidden="false" customHeight="false" outlineLevel="0" collapsed="false">
      <c r="A24" s="52" t="s">
        <v>139</v>
      </c>
      <c r="B24" s="54" t="n">
        <v>-8.75083057633846</v>
      </c>
      <c r="C24" s="51" t="n">
        <v>0.115326823657292</v>
      </c>
      <c r="D24" s="51" t="n">
        <v>0.766304771897903</v>
      </c>
    </row>
    <row r="26" customFormat="false" ht="15" hidden="false" customHeight="false" outlineLevel="0" collapsed="false">
      <c r="A26" s="63" t="s">
        <v>172</v>
      </c>
    </row>
    <row r="27" customFormat="false" ht="15" hidden="false" customHeight="false" outlineLevel="0" collapsed="false">
      <c r="A27" s="14" t="s">
        <v>173</v>
      </c>
      <c r="B27" s="64" t="s">
        <v>174</v>
      </c>
      <c r="C27" s="64"/>
      <c r="D27" s="64"/>
    </row>
    <row r="28" customFormat="false" ht="15" hidden="false" customHeight="false" outlineLevel="0" collapsed="false">
      <c r="A28" s="6" t="s">
        <v>175</v>
      </c>
      <c r="B28" s="64" t="s">
        <v>176</v>
      </c>
      <c r="C28" s="64"/>
      <c r="D28" s="64"/>
    </row>
    <row r="29" customFormat="false" ht="15" hidden="false" customHeight="false" outlineLevel="0" collapsed="false">
      <c r="A29" s="6" t="s">
        <v>177</v>
      </c>
      <c r="B29" s="64" t="s">
        <v>178</v>
      </c>
      <c r="C29" s="64"/>
      <c r="D29" s="64"/>
    </row>
    <row r="31" customFormat="false" ht="15" hidden="false" customHeight="false" outlineLevel="0" collapsed="false">
      <c r="A31" s="65" t="s">
        <v>179</v>
      </c>
      <c r="B31" s="33"/>
      <c r="C31" s="33"/>
      <c r="D31" s="33"/>
    </row>
    <row r="32" customFormat="false" ht="15" hidden="false" customHeight="false" outlineLevel="0" collapsed="false">
      <c r="A32" s="6" t="s">
        <v>180</v>
      </c>
      <c r="B32" s="6" t="s">
        <v>181</v>
      </c>
    </row>
    <row r="33" customFormat="false" ht="15" hidden="false" customHeight="false" outlineLevel="0" collapsed="false">
      <c r="A33" s="14" t="s">
        <v>182</v>
      </c>
      <c r="B33" s="14" t="s">
        <v>183</v>
      </c>
    </row>
    <row r="34" customFormat="false" ht="15" hidden="false" customHeight="false" outlineLevel="0" collapsed="false">
      <c r="A34" s="14" t="s">
        <v>184</v>
      </c>
      <c r="B34" s="14" t="s">
        <v>185</v>
      </c>
    </row>
  </sheetData>
  <mergeCells count="3">
    <mergeCell ref="B27:D27"/>
    <mergeCell ref="B28:D2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2026-02-24T04:39:21Z</dcterms:created>
  <dc:creator>openpyxl</dc:creator>
  <dc:description/>
  <dc:language>en-US</dc:language>
  <cp:lastModifiedBy/>
  <dcterms:modified xsi:type="dcterms:W3CDTF">2026-02-24T04:39:21Z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