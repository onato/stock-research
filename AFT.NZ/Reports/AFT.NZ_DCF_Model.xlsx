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Scenarios" sheetId="3" r:id="rId3"/>
    <sheet name="Historical Data" sheetId="4" r:id="rId4"/>
  </sheets>
  <calcPr calcId="124519" fullCalcOnLoad="1"/>
</workbook>
</file>

<file path=xl/sharedStrings.xml><?xml version="1.0" encoding="utf-8"?>
<sst xmlns="http://schemas.openxmlformats.org/spreadsheetml/2006/main" count="195" uniqueCount="130">
  <si>
    <t>AFT Pharmaceuticals (AFT.NZ)</t>
  </si>
  <si>
    <t>DCF Valuation Model — NZD millions unless stated | Fiscal year ends 31 March</t>
  </si>
  <si>
    <t>Gray cells are INPUTS — adjust to see valuation update automatically</t>
  </si>
  <si>
    <t>Input / Base</t>
  </si>
  <si>
    <t>Year 1</t>
  </si>
  <si>
    <t>Year 2</t>
  </si>
  <si>
    <t>Year 3</t>
  </si>
  <si>
    <t>Year 4</t>
  </si>
  <si>
    <t>Year 5</t>
  </si>
  <si>
    <t>KEY INPUTS</t>
  </si>
  <si>
    <t>Current Stock Price (NZ$)</t>
  </si>
  <si>
    <t>Shares Outstanding (millions)</t>
  </si>
  <si>
    <t>Cash &amp; Equivalents (NZ$m)</t>
  </si>
  <si>
    <t>Total Debt (NZ$m)</t>
  </si>
  <si>
    <t>Net Debt (NZ$m)</t>
  </si>
  <si>
    <t>Base Year Revenue (NZ$m, FY2025)</t>
  </si>
  <si>
    <t>Base FCF (NZ$m, FY2026e normalised)</t>
  </si>
  <si>
    <t>WACC</t>
  </si>
  <si>
    <t>Terminal Growth Rate</t>
  </si>
  <si>
    <t>GROWTH &amp; MARGIN ASSUMPTIONS (Base Case — adjust below)</t>
  </si>
  <si>
    <t>Revenue Growth Rate</t>
  </si>
  <si>
    <t>FCF Margin (% of Revenue)</t>
  </si>
  <si>
    <t>BASE CASE PROJECTIONS</t>
  </si>
  <si>
    <t>Revenue (NZ$m)</t>
  </si>
  <si>
    <t>FY2025: 208.0</t>
  </si>
  <si>
    <t>Free Cash Flow (NZ$m)</t>
  </si>
  <si>
    <t>Base FCF: =B14</t>
  </si>
  <si>
    <t>Discount Factor (WACC)</t>
  </si>
  <si>
    <t>PV of FCF (NZ$m)</t>
  </si>
  <si>
    <t>VALUATION BRIDGE</t>
  </si>
  <si>
    <t>Sum of PV of FCF (NZ$m)</t>
  </si>
  <si>
    <t>Terminal FCF (Year 5 FCF x (1+g))</t>
  </si>
  <si>
    <t>Terminal Value (NZ$m)</t>
  </si>
  <si>
    <t>PV of Terminal Value (NZ$m)</t>
  </si>
  <si>
    <t>Enterprise Value (NZ$m)</t>
  </si>
  <si>
    <t>Less: Net Debt (NZ$m)</t>
  </si>
  <si>
    <t>Equity Value (NZ$m)</t>
  </si>
  <si>
    <t>INTRINSIC VALUE PER SHARE (NZ$)</t>
  </si>
  <si>
    <t>Current Price (NZ$)</t>
  </si>
  <si>
    <t>Upside / (Downside) to Intrinsic Value</t>
  </si>
  <si>
    <t>ENTRY PRICE — Target 15% CAGR to Terminal Value</t>
  </si>
  <si>
    <t>Terminal Value Per Share (NZ$)</t>
  </si>
  <si>
    <t>Years to Terminal Value</t>
  </si>
  <si>
    <t>Entry Price for 15% CAGR (NZ$)</t>
  </si>
  <si>
    <t>Current Price vs Entry Price</t>
  </si>
  <si>
    <t>SCENARIO COMPARISON (Base / Bull / Bear)</t>
  </si>
  <si>
    <t>Scenario</t>
  </si>
  <si>
    <t>Bear Case</t>
  </si>
  <si>
    <t>Base Case</t>
  </si>
  <si>
    <t>Bull Case</t>
  </si>
  <si>
    <t>Probability</t>
  </si>
  <si>
    <t>Weighted</t>
  </si>
  <si>
    <t>Revenue Growth Y1-Y5 (avg)</t>
  </si>
  <si>
    <t>FCF Margin Y5</t>
  </si>
  <si>
    <t>Year 5 Revenue (NZ$m)</t>
  </si>
  <si>
    <t>Intrinsic Value / Share (NZ$)</t>
  </si>
  <si>
    <t>Upside / (Downside)</t>
  </si>
  <si>
    <t>25% / 50% / 25%</t>
  </si>
  <si>
    <t>Entry Price (15% CAGR)</t>
  </si>
  <si>
    <t>HISTORICAL METRICS REFERENCE</t>
  </si>
  <si>
    <t>Metric</t>
  </si>
  <si>
    <t>3-Year CAGR</t>
  </si>
  <si>
    <t>5-Year CAGR</t>
  </si>
  <si>
    <t>Note</t>
  </si>
  <si>
    <t>Revenue</t>
  </si>
  <si>
    <t>Primary growth driver; consistent 14-17% CAGR</t>
  </si>
  <si>
    <t>EPS</t>
  </si>
  <si>
    <t>Distorted by lumpy licensing income; unreliable</t>
  </si>
  <si>
    <t>Shareholders Equity</t>
  </si>
  <si>
    <t>Not representative; recovering from negative equity pre-FY2020</t>
  </si>
  <si>
    <t>Free Cash Flow</t>
  </si>
  <si>
    <t>Suppressed by R&amp;D investment and international hub losses</t>
  </si>
  <si>
    <t>Selected growth anchor: Revenue 3yr CAGR (16.9%) — base case uses 15-20% declining path</t>
  </si>
  <si>
    <t>AFT.NZ — Sensitivity Analysis</t>
  </si>
  <si>
    <t>Intrinsic Value Per Share (NZ$) by WACC and Terminal Growth Rate</t>
  </si>
  <si>
    <t>Base Case FCF projections used. Current price: NZ$3.40 highlighted.</t>
  </si>
  <si>
    <t>WACC \ Term Growth</t>
  </si>
  <si>
    <t>FORMULA-LINKED TABLE (updates with DCF Model inputs)</t>
  </si>
  <si>
    <t>Green = above current price (NZ$3.40) | Red = below current price</t>
  </si>
  <si>
    <t>Note: Formula-linked table (rows 13-18) updates automatically when DCF Model assumptions change</t>
  </si>
  <si>
    <t>AFT.NZ — Scenario Detail</t>
  </si>
  <si>
    <t>Full projections for Base, Bull, and Bear cases (NZ$m)</t>
  </si>
  <si>
    <t>BASE CASE</t>
  </si>
  <si>
    <t>Y1</t>
  </si>
  <si>
    <t>Y2</t>
  </si>
  <si>
    <t>Y3</t>
  </si>
  <si>
    <t>Y4</t>
  </si>
  <si>
    <t>Y5</t>
  </si>
  <si>
    <t>Terminal</t>
  </si>
  <si>
    <t>Total</t>
  </si>
  <si>
    <t>WACC: 12%  |  Terminal Growth: 3.0%</t>
  </si>
  <si>
    <t>FCF Margin</t>
  </si>
  <si>
    <t>Discount Factor</t>
  </si>
  <si>
    <t>Sum PV of FCF</t>
  </si>
  <si>
    <t>INTRINSIC VALUE / SHARE (NZ$)</t>
  </si>
  <si>
    <t>Entry Price (15% CAGR Target)</t>
  </si>
  <si>
    <t>BULL CASE</t>
  </si>
  <si>
    <t>WACC: 10%  |  Terminal Growth: 3.5%</t>
  </si>
  <si>
    <t>BEAR CASE</t>
  </si>
  <si>
    <t>WACC: 14%  |  Terminal Growth: 2.0%</t>
  </si>
  <si>
    <t>AFT.NZ — Historical Financial Data (NZ$m)</t>
  </si>
  <si>
    <t>Source: AFT Pharmaceuticals annual reports, NZX filings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</si>
  <si>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</si>
  <si>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</si>
  <si>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</si>
  <si>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</si>
  <si>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</si>
  <si>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</si>
  <si>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</si>
  <si>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</si>
  <si>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</si>
  <si>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</si>
  <si>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Gross Profit (NZ$m)</t>
  </si>
  <si>
    <t>Gross Margin (%)</t>
  </si>
  <si>
    <t>EBITDA (NZ$m)</t>
  </si>
  <si>
    <t>Net Income (NZ$m)</t>
  </si>
  <si>
    <t>EPS (NZ$)</t>
  </si>
  <si>
    <t>Shareholders Equity (NZ$m)</t>
  </si>
  <si>
    <t>R&amp;D Expenses (NZ$m)</t>
  </si>
  <si>
    <t>Licensing Income (NZ$m)</t>
  </si>
  <si>
    <t>Growth Rates</t>
  </si>
  <si>
    <t>Revenue YoY Growth</t>
  </si>
  <si>
    <t>CAGR Summary</t>
  </si>
  <si>
    <t>Revenue 3yr CAGR (FY2022-FY2025)</t>
  </si>
  <si>
    <t>Revenue 5yr CAGR (FY2020-FY2025)</t>
  </si>
  <si>
    <t>Equity 3yr CAGR (FY2022-FY2025)</t>
  </si>
  <si>
    <t>FCF 3yr CAGR (FY2022-FY2025)</t>
  </si>
  <si>
    <t>Selected Growth Rate</t>
  </si>
  <si>
    <t>Revenue 3yr CAGR (most reliable for AFT)</t>
  </si>
  <si>
    <t>Equity 5yr CAGR of 41.2% is not representative of sustainable growth - AFT only turned equity positive in FY2020 (recovering from negative equity). FCF CAGRs are negative due to deliberate R&amp;D and international hub investment suppressing free cash flow. EPS is distorted by lumpy licensing income. Revenue CAGR (3yr: 16.9%, 5yr: 14.5%) is the most reliable indicator and is used as the primary growth anchor, per the user instruction to use revenue and FCF as primary drivers for AFT.</t>
  </si>
</sst>
</file>

<file path=xl/styles.xml><?xml version="1.0" encoding="utf-8"?>
<styleSheet xmlns="http://schemas.openxmlformats.org/spreadsheetml/2006/main">
  <numFmts count="6">
    <numFmt numFmtId="164" formatCode="&quot;NZ$&quot;#,##0.00"/>
    <numFmt numFmtId="165" formatCode="#,##0.0"/>
    <numFmt numFmtId="166" formatCode="0.0%"/>
    <numFmt numFmtId="167" formatCode="#,##0.00"/>
    <numFmt numFmtId="168" formatCode="0%"/>
    <numFmt numFmtId="169" formatCode="&quot;NZ$&quot;#,##0.000"/>
  </numFmts>
  <fonts count="9">
    <font>
      <sz val="11"/>
      <color theme="1"/>
      <name val="Calibri"/>
      <family val="2"/>
      <scheme val="minor"/>
    </font>
    <font>
      <b/>
      <sz val="18"/>
      <color rgb="FF1A1A2E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636E7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E2B04A"/>
      <name val="Calibri"/>
      <family val="2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FF7675"/>
        <bgColor indexed="64"/>
      </patternFill>
    </fill>
    <fill>
      <patternFill patternType="solid">
        <fgColor rgb="FF55EF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0" fillId="4" borderId="1" xfId="0" applyNumberFormat="1" applyFill="1" applyBorder="1" applyAlignment="1">
      <alignment horizontal="right"/>
    </xf>
    <xf numFmtId="165" fontId="0" fillId="4" borderId="1" xfId="0" applyNumberForma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4" borderId="1" xfId="0" applyNumberFormat="1" applyFill="1" applyBorder="1" applyAlignment="1">
      <alignment horizontal="right"/>
    </xf>
    <xf numFmtId="0" fontId="4" fillId="0" borderId="0" xfId="0" applyFont="1"/>
    <xf numFmtId="167" fontId="0" fillId="0" borderId="1" xfId="0" applyNumberForma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164" fontId="6" fillId="5" borderId="2" xfId="0" applyNumberFormat="1" applyFont="1" applyFill="1" applyBorder="1"/>
    <xf numFmtId="164" fontId="0" fillId="0" borderId="1" xfId="0" applyNumberForma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4" fontId="6" fillId="6" borderId="2" xfId="0" applyNumberFormat="1" applyFont="1" applyFill="1" applyBorder="1"/>
    <xf numFmtId="0" fontId="7" fillId="7" borderId="1" xfId="0" applyFont="1" applyFill="1" applyBorder="1" applyAlignment="1">
      <alignment horizontal="center"/>
    </xf>
    <xf numFmtId="166" fontId="0" fillId="0" borderId="1" xfId="0" applyNumberFormat="1" applyBorder="1" applyAlignment="1">
      <alignment horizontal="right"/>
    </xf>
    <xf numFmtId="164" fontId="6" fillId="8" borderId="2" xfId="0" applyNumberFormat="1" applyFont="1" applyFill="1" applyBorder="1"/>
    <xf numFmtId="166" fontId="3" fillId="9" borderId="1" xfId="0" applyNumberFormat="1" applyFont="1" applyFill="1" applyBorder="1"/>
    <xf numFmtId="166" fontId="5" fillId="10" borderId="1" xfId="0" applyNumberFormat="1" applyFont="1" applyFill="1" applyBorder="1"/>
    <xf numFmtId="166" fontId="3" fillId="2" borderId="1" xfId="0" applyNumberFormat="1" applyFont="1" applyFill="1" applyBorder="1" applyAlignment="1">
      <alignment horizontal="center"/>
    </xf>
    <xf numFmtId="168" fontId="3" fillId="2" borderId="1" xfId="0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right"/>
    </xf>
    <xf numFmtId="164" fontId="8" fillId="8" borderId="1" xfId="0" applyNumberFormat="1" applyFont="1" applyFill="1" applyBorder="1" applyAlignment="1">
      <alignment horizontal="right"/>
    </xf>
    <xf numFmtId="166" fontId="3" fillId="3" borderId="1" xfId="0" applyNumberFormat="1" applyFont="1" applyFill="1" applyBorder="1" applyAlignment="1">
      <alignment horizontal="center"/>
    </xf>
    <xf numFmtId="168" fontId="3" fillId="3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169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zoomScale="90" zoomScaleNormal="90" workbookViewId="0"/>
  </sheetViews>
  <sheetFormatPr defaultRowHeight="15"/>
  <cols>
    <col min="1" max="1" width="28.7109375" customWidth="1"/>
    <col min="2" max="2" width="16.7109375" customWidth="1"/>
    <col min="3" max="7" width="14.7109375" customWidth="1"/>
    <col min="8" max="8" width="2.7109375" customWidth="1"/>
    <col min="9" max="14" width="14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s="2" t="s">
        <v>2</v>
      </c>
    </row>
    <row r="5" spans="1:7">
      <c r="A5" s="3"/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7" spans="1:7">
      <c r="A7" s="4" t="s">
        <v>9</v>
      </c>
      <c r="B7" s="4"/>
      <c r="C7" s="4"/>
      <c r="D7" s="4"/>
      <c r="E7" s="4"/>
      <c r="F7" s="4"/>
      <c r="G7" s="4"/>
    </row>
    <row r="8" spans="1:7">
      <c r="A8" t="s">
        <v>10</v>
      </c>
      <c r="B8" s="5">
        <v>3.4</v>
      </c>
    </row>
    <row r="9" spans="1:7">
      <c r="A9" t="s">
        <v>11</v>
      </c>
      <c r="B9" s="6">
        <v>104.866</v>
      </c>
    </row>
    <row r="10" spans="1:7">
      <c r="A10" t="s">
        <v>12</v>
      </c>
      <c r="B10" s="6">
        <v>12.1</v>
      </c>
    </row>
    <row r="11" spans="1:7">
      <c r="A11" t="s">
        <v>13</v>
      </c>
      <c r="B11" s="6">
        <v>33</v>
      </c>
    </row>
    <row r="12" spans="1:7">
      <c r="A12" t="s">
        <v>14</v>
      </c>
      <c r="B12" s="7">
        <f>B11-B10</f>
        <v>0</v>
      </c>
    </row>
    <row r="13" spans="1:7">
      <c r="A13" t="s">
        <v>15</v>
      </c>
      <c r="B13" s="6">
        <v>208</v>
      </c>
    </row>
    <row r="14" spans="1:7">
      <c r="A14" t="s">
        <v>16</v>
      </c>
      <c r="B14" s="6">
        <v>14</v>
      </c>
    </row>
    <row r="16" spans="1:7">
      <c r="A16" t="s">
        <v>17</v>
      </c>
      <c r="B16" s="8">
        <v>0.12</v>
      </c>
    </row>
    <row r="17" spans="1:7">
      <c r="A17" t="s">
        <v>18</v>
      </c>
      <c r="B17" s="8">
        <v>0.03</v>
      </c>
    </row>
    <row r="19" spans="1:7">
      <c r="A19" s="4" t="s">
        <v>19</v>
      </c>
      <c r="B19" s="4"/>
      <c r="C19" s="4"/>
      <c r="D19" s="4"/>
      <c r="E19" s="4"/>
      <c r="F19" s="4"/>
      <c r="G19" s="4"/>
    </row>
    <row r="20" spans="1:7">
      <c r="A20" t="s">
        <v>20</v>
      </c>
      <c r="C20" s="8">
        <v>0.2</v>
      </c>
      <c r="D20" s="8">
        <v>0.18</v>
      </c>
      <c r="E20" s="8">
        <v>0.15</v>
      </c>
      <c r="F20" s="8">
        <v>0.12</v>
      </c>
      <c r="G20" s="8">
        <v>0.1</v>
      </c>
    </row>
    <row r="21" spans="1:7">
      <c r="A21" t="s">
        <v>21</v>
      </c>
      <c r="C21" s="8">
        <v>0.07000000000000001</v>
      </c>
      <c r="D21" s="8">
        <v>0.08</v>
      </c>
      <c r="E21" s="8">
        <v>0.095</v>
      </c>
      <c r="F21" s="8">
        <v>0.11</v>
      </c>
      <c r="G21" s="8">
        <v>0.12</v>
      </c>
    </row>
    <row r="23" spans="1:7">
      <c r="A23" s="4" t="s">
        <v>22</v>
      </c>
      <c r="B23" s="4"/>
      <c r="C23" s="4"/>
      <c r="D23" s="4"/>
      <c r="E23" s="4"/>
      <c r="F23" s="4"/>
      <c r="G23" s="4"/>
    </row>
    <row r="24" spans="1:7">
      <c r="A24" t="s">
        <v>23</v>
      </c>
      <c r="B24" s="9" t="s">
        <v>24</v>
      </c>
      <c r="C24" s="7">
        <f>$B$13*(1+C20)</f>
        <v>0</v>
      </c>
      <c r="D24" s="7">
        <f>C24*(1+D20)</f>
        <v>0</v>
      </c>
      <c r="E24" s="7">
        <f>D24*(1+E20)</f>
        <v>0</v>
      </c>
      <c r="F24" s="7">
        <f>E24*(1+F20)</f>
        <v>0</v>
      </c>
      <c r="G24" s="7">
        <f>F24*(1+G20)</f>
        <v>0</v>
      </c>
    </row>
    <row r="25" spans="1:7">
      <c r="A25" t="s">
        <v>25</v>
      </c>
      <c r="B25" s="9" t="s">
        <v>26</v>
      </c>
      <c r="C25" s="7">
        <f>C24*C21</f>
        <v>0</v>
      </c>
      <c r="D25" s="7">
        <f>D24*D21</f>
        <v>0</v>
      </c>
      <c r="E25" s="7">
        <f>E24*E21</f>
        <v>0</v>
      </c>
      <c r="F25" s="7">
        <f>F24*F21</f>
        <v>0</v>
      </c>
      <c r="G25" s="7">
        <f>G24*G21</f>
        <v>0</v>
      </c>
    </row>
    <row r="26" spans="1:7">
      <c r="A26" t="s">
        <v>27</v>
      </c>
      <c r="C26" s="10">
        <f>1/(1+$B$16)^1</f>
        <v>0</v>
      </c>
      <c r="D26" s="10">
        <f>1/(1+$B$16)^2</f>
        <v>0</v>
      </c>
      <c r="E26" s="10">
        <f>1/(1+$B$16)^3</f>
        <v>0</v>
      </c>
      <c r="F26" s="10">
        <f>1/(1+$B$16)^4</f>
        <v>0</v>
      </c>
      <c r="G26" s="10">
        <f>1/(1+$B$16)^5</f>
        <v>0</v>
      </c>
    </row>
    <row r="27" spans="1:7">
      <c r="A27" t="s">
        <v>28</v>
      </c>
      <c r="C27" s="7">
        <f>C25*C26</f>
        <v>0</v>
      </c>
      <c r="D27" s="7">
        <f>D25*D26</f>
        <v>0</v>
      </c>
      <c r="E27" s="7">
        <f>E25*E26</f>
        <v>0</v>
      </c>
      <c r="F27" s="7">
        <f>F25*F26</f>
        <v>0</v>
      </c>
      <c r="G27" s="7">
        <f>G25*G26</f>
        <v>0</v>
      </c>
    </row>
    <row r="29" spans="1:7">
      <c r="A29" s="4" t="s">
        <v>29</v>
      </c>
      <c r="B29" s="4"/>
      <c r="C29" s="4"/>
      <c r="D29" s="4"/>
      <c r="E29" s="4"/>
      <c r="F29" s="4"/>
      <c r="G29" s="4"/>
    </row>
    <row r="30" spans="1:7">
      <c r="A30" t="s">
        <v>30</v>
      </c>
      <c r="B30" s="11">
        <f>SUM(C27:G27)</f>
        <v>0</v>
      </c>
    </row>
    <row r="31" spans="1:7">
      <c r="A31" t="s">
        <v>31</v>
      </c>
      <c r="B31" s="7">
        <f>G25*(1+$B$17)</f>
        <v>0</v>
      </c>
    </row>
    <row r="32" spans="1:7">
      <c r="A32" t="s">
        <v>32</v>
      </c>
      <c r="B32" s="11">
        <f>B31/($B$16-$B$17)</f>
        <v>0</v>
      </c>
    </row>
    <row r="33" spans="1:7">
      <c r="A33" t="s">
        <v>33</v>
      </c>
      <c r="B33" s="11">
        <f>B32*G26</f>
        <v>0</v>
      </c>
    </row>
    <row r="34" spans="1:7">
      <c r="A34" t="s">
        <v>34</v>
      </c>
      <c r="B34" s="11">
        <f>B30+B33</f>
        <v>0</v>
      </c>
    </row>
    <row r="35" spans="1:7">
      <c r="A35" t="s">
        <v>35</v>
      </c>
      <c r="B35" s="7">
        <f>B12</f>
        <v>0</v>
      </c>
    </row>
    <row r="36" spans="1:7">
      <c r="A36" t="s">
        <v>36</v>
      </c>
      <c r="B36" s="11">
        <f>B34-B35</f>
        <v>0</v>
      </c>
    </row>
    <row r="38" spans="1:7">
      <c r="A38" s="12" t="s">
        <v>37</v>
      </c>
      <c r="B38" s="13">
        <f>B36/B9</f>
        <v>0</v>
      </c>
    </row>
    <row r="39" spans="1:7">
      <c r="A39" t="s">
        <v>38</v>
      </c>
      <c r="B39" s="14">
        <f>B8</f>
        <v>0</v>
      </c>
    </row>
    <row r="40" spans="1:7">
      <c r="A40" t="s">
        <v>39</v>
      </c>
      <c r="B40" s="15">
        <f>(B38-B8)/B8</f>
        <v>0</v>
      </c>
    </row>
    <row r="42" spans="1:7">
      <c r="A42" s="4" t="s">
        <v>40</v>
      </c>
      <c r="B42" s="4"/>
      <c r="C42" s="4"/>
      <c r="D42" s="4"/>
      <c r="E42" s="4"/>
      <c r="F42" s="4"/>
      <c r="G42" s="4"/>
    </row>
    <row r="43" spans="1:7">
      <c r="A43" t="s">
        <v>41</v>
      </c>
      <c r="B43" s="14">
        <f>B32/B9</f>
        <v>0</v>
      </c>
    </row>
    <row r="44" spans="1:7">
      <c r="A44" t="s">
        <v>42</v>
      </c>
      <c r="B44" s="6">
        <v>5</v>
      </c>
    </row>
    <row r="45" spans="1:7">
      <c r="A45" s="12" t="s">
        <v>43</v>
      </c>
      <c r="B45" s="16">
        <f>B43/(1.15^B44)</f>
        <v>0</v>
      </c>
    </row>
    <row r="46" spans="1:7">
      <c r="A46" t="s">
        <v>44</v>
      </c>
      <c r="B46" s="15">
        <f>(B8-B45)/B45</f>
        <v>0</v>
      </c>
    </row>
    <row r="48" spans="1:7">
      <c r="A48" s="4" t="s">
        <v>45</v>
      </c>
      <c r="B48" s="4"/>
      <c r="C48" s="4"/>
      <c r="D48" s="4"/>
      <c r="E48" s="4"/>
      <c r="F48" s="4"/>
      <c r="G48" s="4"/>
    </row>
    <row r="49" spans="1:7">
      <c r="A49" s="17" t="s">
        <v>46</v>
      </c>
      <c r="B49" s="17" t="s">
        <v>47</v>
      </c>
      <c r="C49" s="17" t="s">
        <v>48</v>
      </c>
      <c r="D49" s="17" t="s">
        <v>49</v>
      </c>
      <c r="E49" s="17" t="s">
        <v>50</v>
      </c>
      <c r="F49" s="17" t="s">
        <v>51</v>
      </c>
    </row>
    <row r="50" spans="1:7">
      <c r="A50" t="s">
        <v>17</v>
      </c>
      <c r="B50" s="18">
        <v>0.14</v>
      </c>
      <c r="C50" s="18">
        <v>0.12</v>
      </c>
      <c r="D50" s="18">
        <v>0.1</v>
      </c>
    </row>
    <row r="51" spans="1:7">
      <c r="A51" t="s">
        <v>18</v>
      </c>
      <c r="B51" s="18">
        <v>0.02</v>
      </c>
      <c r="C51" s="18">
        <v>0.03</v>
      </c>
      <c r="D51" s="18">
        <v>0.035</v>
      </c>
    </row>
    <row r="52" spans="1:7">
      <c r="A52" t="s">
        <v>52</v>
      </c>
      <c r="B52" s="18">
        <v>0.08199999999999999</v>
      </c>
      <c r="C52" s="18">
        <v>0.15</v>
      </c>
      <c r="D52" s="18">
        <v>0.184</v>
      </c>
    </row>
    <row r="53" spans="1:7">
      <c r="A53" t="s">
        <v>53</v>
      </c>
      <c r="B53" s="18">
        <v>0.09</v>
      </c>
      <c r="C53" s="18">
        <v>0.12</v>
      </c>
      <c r="D53" s="18">
        <v>0.15</v>
      </c>
    </row>
    <row r="54" spans="1:7">
      <c r="A54" t="s">
        <v>54</v>
      </c>
      <c r="B54" s="7">
        <v>308</v>
      </c>
      <c r="C54" s="7">
        <v>417.29</v>
      </c>
      <c r="D54" s="7">
        <v>482.1</v>
      </c>
    </row>
    <row r="55" spans="1:7">
      <c r="A55" t="s">
        <v>55</v>
      </c>
      <c r="B55" s="19">
        <v>1.57</v>
      </c>
      <c r="C55" s="13">
        <v>3.97</v>
      </c>
      <c r="D55" s="16">
        <v>8.19</v>
      </c>
      <c r="E55" s="18">
        <v>0.25</v>
      </c>
      <c r="F55" s="13">
        <f>0.25*B55+0.50*C55+0.25*D55</f>
        <v>0</v>
      </c>
    </row>
    <row r="56" spans="1:7">
      <c r="A56" t="s">
        <v>56</v>
      </c>
      <c r="B56" s="20">
        <v>-0.5379999999999999</v>
      </c>
      <c r="C56" s="21">
        <v>0.168</v>
      </c>
      <c r="D56" s="21">
        <v>1.409</v>
      </c>
      <c r="E56" s="9" t="s">
        <v>57</v>
      </c>
    </row>
    <row r="57" spans="1:7">
      <c r="A57" t="s">
        <v>58</v>
      </c>
      <c r="B57" s="14">
        <v>1.12</v>
      </c>
      <c r="C57" s="14">
        <v>2.72</v>
      </c>
      <c r="D57" s="14">
        <v>5.46</v>
      </c>
    </row>
    <row r="60" spans="1:7">
      <c r="A60" s="4" t="s">
        <v>59</v>
      </c>
      <c r="B60" s="4"/>
      <c r="C60" s="4"/>
      <c r="D60" s="4"/>
      <c r="E60" s="4"/>
      <c r="F60" s="4"/>
      <c r="G60" s="4"/>
    </row>
    <row r="61" spans="1:7">
      <c r="A61" s="3" t="s">
        <v>60</v>
      </c>
      <c r="B61" s="3" t="s">
        <v>61</v>
      </c>
      <c r="C61" s="3" t="s">
        <v>62</v>
      </c>
      <c r="D61" s="3" t="s">
        <v>63</v>
      </c>
    </row>
    <row r="63" spans="1:7">
      <c r="A63" s="12" t="s">
        <v>64</v>
      </c>
      <c r="B63" s="18">
        <v>0.1687</v>
      </c>
      <c r="C63" s="18">
        <v>0.1452</v>
      </c>
      <c r="D63" s="9" t="s">
        <v>65</v>
      </c>
    </row>
    <row r="64" spans="1:7">
      <c r="A64" s="12" t="s">
        <v>66</v>
      </c>
      <c r="B64" s="18">
        <v>-0.1665</v>
      </c>
      <c r="C64" s="18">
        <v>-0.0173</v>
      </c>
      <c r="D64" s="9" t="s">
        <v>67</v>
      </c>
    </row>
    <row r="65" spans="1:4">
      <c r="A65" s="12" t="s">
        <v>68</v>
      </c>
      <c r="B65" s="18">
        <v>0.1594</v>
      </c>
      <c r="C65" s="18">
        <v>0.412</v>
      </c>
      <c r="D65" s="9" t="s">
        <v>69</v>
      </c>
    </row>
    <row r="66" spans="1:4">
      <c r="A66" s="12" t="s">
        <v>70</v>
      </c>
      <c r="B66" s="18">
        <v>-0.0222</v>
      </c>
      <c r="C66" s="18">
        <v>-0.0271</v>
      </c>
      <c r="D66" s="9" t="s">
        <v>71</v>
      </c>
    </row>
    <row r="67" spans="1:4">
      <c r="A67" s="9" t="s">
        <v>72</v>
      </c>
    </row>
  </sheetData>
  <mergeCells count="7">
    <mergeCell ref="A7:G7"/>
    <mergeCell ref="A19:G19"/>
    <mergeCell ref="A23:G23"/>
    <mergeCell ref="A29:G29"/>
    <mergeCell ref="A42:G42"/>
    <mergeCell ref="A48:G48"/>
    <mergeCell ref="A60:G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20.7109375" customWidth="1"/>
    <col min="2" max="7" width="14.7109375" customWidth="1"/>
  </cols>
  <sheetData>
    <row r="1" spans="1:6">
      <c r="A1" s="1" t="s">
        <v>73</v>
      </c>
    </row>
    <row r="2" spans="1:6">
      <c r="A2" s="2" t="s">
        <v>74</v>
      </c>
    </row>
    <row r="3" spans="1:6">
      <c r="A3" s="2" t="s">
        <v>75</v>
      </c>
    </row>
    <row r="5" spans="1:6">
      <c r="A5" s="3" t="s">
        <v>76</v>
      </c>
      <c r="B5" s="22">
        <v>0.02</v>
      </c>
      <c r="C5" s="22">
        <v>0.025</v>
      </c>
      <c r="D5" s="22">
        <v>0.03</v>
      </c>
      <c r="E5" s="22">
        <v>0.035</v>
      </c>
      <c r="F5" s="22">
        <v>0.04</v>
      </c>
    </row>
    <row r="6" spans="1:6">
      <c r="A6" s="23">
        <v>0.1</v>
      </c>
      <c r="B6" s="24">
        <v>4.72</v>
      </c>
      <c r="C6" s="24">
        <v>4.99</v>
      </c>
      <c r="D6" s="24">
        <v>5.3</v>
      </c>
      <c r="E6" s="24">
        <v>5.66</v>
      </c>
      <c r="F6" s="24">
        <v>6.08</v>
      </c>
    </row>
    <row r="7" spans="1:6">
      <c r="A7" s="23">
        <v>0.11</v>
      </c>
      <c r="B7" s="24">
        <v>4.11</v>
      </c>
      <c r="C7" s="24">
        <v>4.32</v>
      </c>
      <c r="D7" s="24">
        <v>4.55</v>
      </c>
      <c r="E7" s="24">
        <v>4.81</v>
      </c>
      <c r="F7" s="24">
        <v>5.11</v>
      </c>
    </row>
    <row r="8" spans="1:6">
      <c r="A8" s="23">
        <v>0.12</v>
      </c>
      <c r="B8" s="24">
        <v>3.63</v>
      </c>
      <c r="C8" s="24">
        <v>3.79</v>
      </c>
      <c r="D8" s="24">
        <v>3.97</v>
      </c>
      <c r="E8" s="24">
        <v>4.17</v>
      </c>
      <c r="F8" s="24">
        <v>4.39</v>
      </c>
    </row>
    <row r="9" spans="1:6">
      <c r="A9" s="23">
        <v>0.13</v>
      </c>
      <c r="B9" s="25">
        <v>3.24</v>
      </c>
      <c r="C9" s="25">
        <v>3.37</v>
      </c>
      <c r="D9" s="24">
        <v>3.51</v>
      </c>
      <c r="E9" s="24">
        <v>3.66</v>
      </c>
      <c r="F9" s="24">
        <v>3.83</v>
      </c>
    </row>
    <row r="10" spans="1:6">
      <c r="A10" s="23">
        <v>0.14</v>
      </c>
      <c r="B10" s="25">
        <v>2.92</v>
      </c>
      <c r="C10" s="25">
        <v>3.02</v>
      </c>
      <c r="D10" s="25">
        <v>3.13</v>
      </c>
      <c r="E10" s="25">
        <v>3.25</v>
      </c>
      <c r="F10" s="25">
        <v>3.39</v>
      </c>
    </row>
    <row r="12" spans="1:6">
      <c r="A12" s="4" t="s">
        <v>77</v>
      </c>
    </row>
    <row r="13" spans="1:6">
      <c r="A13" s="3" t="s">
        <v>76</v>
      </c>
      <c r="B13" s="26">
        <v>0.02</v>
      </c>
      <c r="C13" s="26">
        <v>0.025</v>
      </c>
      <c r="D13" s="26">
        <v>0.03</v>
      </c>
      <c r="E13" s="26">
        <v>0.035</v>
      </c>
      <c r="F13" s="26">
        <v>0.04</v>
      </c>
    </row>
    <row r="14" spans="1:6">
      <c r="A14" s="27">
        <v>0.1</v>
      </c>
      <c r="B14" s="14">
        <f>(('DCF Model'!G25*(1+0.02)/(0.1-0.02))/(1+0.1)^5+'DCF Model'!B30-'DCF Model'!B35)/'DCF Model'!B9</f>
        <v>0</v>
      </c>
      <c r="C14" s="14">
        <f>(('DCF Model'!G25*(1+0.025)/(0.1-0.025))/(1+0.1)^5+'DCF Model'!B30-'DCF Model'!B35)/'DCF Model'!B9</f>
        <v>0</v>
      </c>
      <c r="D14" s="14">
        <f>(('DCF Model'!G25*(1+0.03)/(0.1-0.03))/(1+0.1)^5+'DCF Model'!B30-'DCF Model'!B35)/'DCF Model'!B9</f>
        <v>0</v>
      </c>
      <c r="E14" s="14">
        <f>(('DCF Model'!G25*(1+0.035)/(0.1-0.035))/(1+0.1)^5+'DCF Model'!B30-'DCF Model'!B35)/'DCF Model'!B9</f>
        <v>0</v>
      </c>
      <c r="F14" s="14">
        <f>(('DCF Model'!G25*(1+0.04)/(0.1-0.04))/(1+0.1)^5+'DCF Model'!B30-'DCF Model'!B35)/'DCF Model'!B9</f>
        <v>0</v>
      </c>
    </row>
    <row r="15" spans="1:6">
      <c r="A15" s="27">
        <v>0.11</v>
      </c>
      <c r="B15" s="14">
        <f>(('DCF Model'!G25*(1+0.02)/(0.11-0.02))/(1+0.11)^5+'DCF Model'!B30-'DCF Model'!B35)/'DCF Model'!B9</f>
        <v>0</v>
      </c>
      <c r="C15" s="14">
        <f>(('DCF Model'!G25*(1+0.025)/(0.11-0.025))/(1+0.11)^5+'DCF Model'!B30-'DCF Model'!B35)/'DCF Model'!B9</f>
        <v>0</v>
      </c>
      <c r="D15" s="14">
        <f>(('DCF Model'!G25*(1+0.03)/(0.11-0.03))/(1+0.11)^5+'DCF Model'!B30-'DCF Model'!B35)/'DCF Model'!B9</f>
        <v>0</v>
      </c>
      <c r="E15" s="14">
        <f>(('DCF Model'!G25*(1+0.035)/(0.11-0.035))/(1+0.11)^5+'DCF Model'!B30-'DCF Model'!B35)/'DCF Model'!B9</f>
        <v>0</v>
      </c>
      <c r="F15" s="14">
        <f>(('DCF Model'!G25*(1+0.04)/(0.11-0.04))/(1+0.11)^5+'DCF Model'!B30-'DCF Model'!B35)/'DCF Model'!B9</f>
        <v>0</v>
      </c>
    </row>
    <row r="16" spans="1:6">
      <c r="A16" s="27">
        <v>0.12</v>
      </c>
      <c r="B16" s="14">
        <f>(('DCF Model'!G25*(1+0.02)/(0.12-0.02))/(1+0.12)^5+'DCF Model'!B30-'DCF Model'!B35)/'DCF Model'!B9</f>
        <v>0</v>
      </c>
      <c r="C16" s="14">
        <f>(('DCF Model'!G25*(1+0.025)/(0.12-0.025))/(1+0.12)^5+'DCF Model'!B30-'DCF Model'!B35)/'DCF Model'!B9</f>
        <v>0</v>
      </c>
      <c r="D16" s="14">
        <f>(('DCF Model'!G25*(1+0.03)/(0.12-0.03))/(1+0.12)^5+'DCF Model'!B30-'DCF Model'!B35)/'DCF Model'!B9</f>
        <v>0</v>
      </c>
      <c r="E16" s="14">
        <f>(('DCF Model'!G25*(1+0.035)/(0.12-0.035))/(1+0.12)^5+'DCF Model'!B30-'DCF Model'!B35)/'DCF Model'!B9</f>
        <v>0</v>
      </c>
      <c r="F16" s="14">
        <f>(('DCF Model'!G25*(1+0.04)/(0.12-0.04))/(1+0.12)^5+'DCF Model'!B30-'DCF Model'!B35)/'DCF Model'!B9</f>
        <v>0</v>
      </c>
    </row>
    <row r="17" spans="1:6">
      <c r="A17" s="27">
        <v>0.13</v>
      </c>
      <c r="B17" s="14">
        <f>(('DCF Model'!G25*(1+0.02)/(0.13-0.02))/(1+0.13)^5+'DCF Model'!B30-'DCF Model'!B35)/'DCF Model'!B9</f>
        <v>0</v>
      </c>
      <c r="C17" s="14">
        <f>(('DCF Model'!G25*(1+0.025)/(0.13-0.025))/(1+0.13)^5+'DCF Model'!B30-'DCF Model'!B35)/'DCF Model'!B9</f>
        <v>0</v>
      </c>
      <c r="D17" s="14">
        <f>(('DCF Model'!G25*(1+0.03)/(0.13-0.03))/(1+0.13)^5+'DCF Model'!B30-'DCF Model'!B35)/'DCF Model'!B9</f>
        <v>0</v>
      </c>
      <c r="E17" s="14">
        <f>(('DCF Model'!G25*(1+0.035)/(0.13-0.035))/(1+0.13)^5+'DCF Model'!B30-'DCF Model'!B35)/'DCF Model'!B9</f>
        <v>0</v>
      </c>
      <c r="F17" s="14">
        <f>(('DCF Model'!G25*(1+0.04)/(0.13-0.04))/(1+0.13)^5+'DCF Model'!B30-'DCF Model'!B35)/'DCF Model'!B9</f>
        <v>0</v>
      </c>
    </row>
    <row r="18" spans="1:6">
      <c r="A18" s="27">
        <v>0.14</v>
      </c>
      <c r="B18" s="14">
        <f>(('DCF Model'!G25*(1+0.02)/(0.14-0.02))/(1+0.14)^5+'DCF Model'!B30-'DCF Model'!B35)/'DCF Model'!B9</f>
        <v>0</v>
      </c>
      <c r="C18" s="14">
        <f>(('DCF Model'!G25*(1+0.025)/(0.14-0.025))/(1+0.14)^5+'DCF Model'!B30-'DCF Model'!B35)/'DCF Model'!B9</f>
        <v>0</v>
      </c>
      <c r="D18" s="14">
        <f>(('DCF Model'!G25*(1+0.03)/(0.14-0.03))/(1+0.14)^5+'DCF Model'!B30-'DCF Model'!B35)/'DCF Model'!B9</f>
        <v>0</v>
      </c>
      <c r="E18" s="14">
        <f>(('DCF Model'!G25*(1+0.035)/(0.14-0.035))/(1+0.14)^5+'DCF Model'!B30-'DCF Model'!B35)/'DCF Model'!B9</f>
        <v>0</v>
      </c>
      <c r="F18" s="14">
        <f>(('DCF Model'!G25*(1+0.04)/(0.14-0.04))/(1+0.14)^5+'DCF Model'!B30-'DCF Model'!B35)/'DCF Model'!B9</f>
        <v>0</v>
      </c>
    </row>
    <row r="19" spans="1:6">
      <c r="A19" s="9" t="s">
        <v>78</v>
      </c>
    </row>
    <row r="20" spans="1:6">
      <c r="A20" s="9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0"/>
  <sheetViews>
    <sheetView zoomScale="95" zoomScaleNormal="95" workbookViewId="0"/>
  </sheetViews>
  <sheetFormatPr defaultRowHeight="15"/>
  <cols>
    <col min="1" max="1" width="28.7109375" customWidth="1"/>
    <col min="2" max="8" width="14.7109375" customWidth="1"/>
  </cols>
  <sheetData>
    <row r="1" spans="1:8">
      <c r="A1" s="1" t="s">
        <v>80</v>
      </c>
    </row>
    <row r="2" spans="1:8">
      <c r="A2" s="2" t="s">
        <v>81</v>
      </c>
    </row>
    <row r="5" spans="1:8">
      <c r="A5" s="4" t="s">
        <v>82</v>
      </c>
      <c r="B5" s="4"/>
      <c r="C5" s="4"/>
      <c r="D5" s="4"/>
      <c r="E5" s="4"/>
      <c r="F5" s="4"/>
      <c r="G5" s="4"/>
      <c r="H5" s="4"/>
    </row>
    <row r="6" spans="1:8">
      <c r="A6" s="3" t="s">
        <v>60</v>
      </c>
      <c r="B6" s="3" t="s">
        <v>83</v>
      </c>
      <c r="C6" s="3" t="s">
        <v>84</v>
      </c>
      <c r="D6" s="3" t="s">
        <v>85</v>
      </c>
      <c r="E6" s="3" t="s">
        <v>86</v>
      </c>
      <c r="F6" s="3" t="s">
        <v>87</v>
      </c>
      <c r="G6" s="3" t="s">
        <v>88</v>
      </c>
      <c r="H6" s="3" t="s">
        <v>89</v>
      </c>
    </row>
    <row r="7" spans="1:8">
      <c r="A7" s="9" t="s">
        <v>90</v>
      </c>
    </row>
    <row r="8" spans="1:8">
      <c r="A8" t="s">
        <v>20</v>
      </c>
      <c r="B8" s="18">
        <v>0.2</v>
      </c>
      <c r="C8" s="18">
        <v>0.18</v>
      </c>
      <c r="D8" s="18">
        <v>0.15</v>
      </c>
      <c r="E8" s="18">
        <v>0.12</v>
      </c>
      <c r="F8" s="18">
        <v>0.1</v>
      </c>
    </row>
    <row r="9" spans="1:8">
      <c r="A9" t="s">
        <v>91</v>
      </c>
      <c r="B9" s="18">
        <v>0.07000000000000001</v>
      </c>
      <c r="C9" s="18">
        <v>0.08</v>
      </c>
      <c r="D9" s="18">
        <v>0.095</v>
      </c>
      <c r="E9" s="18">
        <v>0.11</v>
      </c>
      <c r="F9" s="18">
        <v>0.12</v>
      </c>
    </row>
    <row r="10" spans="1:8">
      <c r="A10" t="s">
        <v>23</v>
      </c>
      <c r="B10" s="7">
        <v>249.6</v>
      </c>
      <c r="C10" s="7">
        <v>294.53</v>
      </c>
      <c r="D10" s="7">
        <v>338.71</v>
      </c>
      <c r="E10" s="7">
        <v>379.35</v>
      </c>
      <c r="F10" s="7">
        <v>417.29</v>
      </c>
    </row>
    <row r="11" spans="1:8">
      <c r="A11" t="s">
        <v>25</v>
      </c>
      <c r="B11" s="7">
        <v>17.47</v>
      </c>
      <c r="C11" s="7">
        <v>23.56</v>
      </c>
      <c r="D11" s="7">
        <v>32.18</v>
      </c>
      <c r="E11" s="7">
        <v>41.73</v>
      </c>
      <c r="F11" s="7">
        <v>50.07</v>
      </c>
    </row>
    <row r="12" spans="1:8">
      <c r="A12" t="s">
        <v>92</v>
      </c>
      <c r="B12" s="10">
        <v>0.8929</v>
      </c>
      <c r="C12" s="10">
        <v>0.7972</v>
      </c>
      <c r="D12" s="10">
        <v>0.7118</v>
      </c>
      <c r="E12" s="10">
        <v>0.6355</v>
      </c>
      <c r="F12" s="10">
        <v>0.5674</v>
      </c>
    </row>
    <row r="13" spans="1:8">
      <c r="A13" t="s">
        <v>28</v>
      </c>
      <c r="B13" s="7">
        <v>15.6</v>
      </c>
      <c r="C13" s="7">
        <v>18.78</v>
      </c>
      <c r="D13" s="7">
        <v>22.91</v>
      </c>
      <c r="E13" s="7">
        <v>26.52</v>
      </c>
      <c r="F13" s="7">
        <v>28.41</v>
      </c>
    </row>
    <row r="14" spans="1:8">
      <c r="A14" t="s">
        <v>93</v>
      </c>
      <c r="B14" s="11">
        <v>112.22</v>
      </c>
    </row>
    <row r="15" spans="1:8">
      <c r="A15" t="s">
        <v>32</v>
      </c>
      <c r="B15" s="11">
        <v>573.02</v>
      </c>
    </row>
    <row r="16" spans="1:8">
      <c r="A16" t="s">
        <v>33</v>
      </c>
      <c r="B16" s="11">
        <v>325.15</v>
      </c>
    </row>
    <row r="17" spans="1:8">
      <c r="A17" t="s">
        <v>34</v>
      </c>
      <c r="B17" s="11">
        <v>437.37</v>
      </c>
    </row>
    <row r="18" spans="1:8">
      <c r="A18" t="s">
        <v>35</v>
      </c>
      <c r="B18" s="7">
        <v>20.9</v>
      </c>
    </row>
    <row r="19" spans="1:8">
      <c r="A19" t="s">
        <v>36</v>
      </c>
      <c r="B19" s="11">
        <v>416.47</v>
      </c>
    </row>
    <row r="20" spans="1:8">
      <c r="A20" t="s">
        <v>94</v>
      </c>
      <c r="B20" s="13">
        <v>3.97</v>
      </c>
    </row>
    <row r="21" spans="1:8">
      <c r="A21" t="s">
        <v>56</v>
      </c>
      <c r="B21" s="21">
        <v>0.168</v>
      </c>
    </row>
    <row r="22" spans="1:8">
      <c r="A22" t="s">
        <v>95</v>
      </c>
      <c r="B22" s="28">
        <v>2.72</v>
      </c>
    </row>
    <row r="24" spans="1:8">
      <c r="A24" s="4" t="s">
        <v>96</v>
      </c>
      <c r="B24" s="4"/>
      <c r="C24" s="4"/>
      <c r="D24" s="4"/>
      <c r="E24" s="4"/>
      <c r="F24" s="4"/>
      <c r="G24" s="4"/>
      <c r="H24" s="4"/>
    </row>
    <row r="25" spans="1:8">
      <c r="A25" s="3" t="s">
        <v>60</v>
      </c>
      <c r="B25" s="3" t="s">
        <v>83</v>
      </c>
      <c r="C25" s="3" t="s">
        <v>84</v>
      </c>
      <c r="D25" s="3" t="s">
        <v>85</v>
      </c>
      <c r="E25" s="3" t="s">
        <v>86</v>
      </c>
      <c r="F25" s="3" t="s">
        <v>87</v>
      </c>
      <c r="G25" s="3" t="s">
        <v>88</v>
      </c>
      <c r="H25" s="3" t="s">
        <v>89</v>
      </c>
    </row>
    <row r="26" spans="1:8">
      <c r="A26" s="9" t="s">
        <v>97</v>
      </c>
    </row>
    <row r="27" spans="1:8">
      <c r="A27" t="s">
        <v>20</v>
      </c>
      <c r="B27" s="18">
        <v>0.25</v>
      </c>
      <c r="C27" s="18">
        <v>0.22</v>
      </c>
      <c r="D27" s="18">
        <v>0.18</v>
      </c>
      <c r="E27" s="18">
        <v>0.15</v>
      </c>
      <c r="F27" s="18">
        <v>0.12</v>
      </c>
    </row>
    <row r="28" spans="1:8">
      <c r="A28" t="s">
        <v>91</v>
      </c>
      <c r="B28" s="18">
        <v>0.08</v>
      </c>
      <c r="C28" s="18">
        <v>0.1</v>
      </c>
      <c r="D28" s="18">
        <v>0.12</v>
      </c>
      <c r="E28" s="18">
        <v>0.14</v>
      </c>
      <c r="F28" s="18">
        <v>0.15</v>
      </c>
    </row>
    <row r="29" spans="1:8">
      <c r="A29" t="s">
        <v>23</v>
      </c>
      <c r="B29" s="7">
        <v>260</v>
      </c>
      <c r="C29" s="7">
        <v>317.2</v>
      </c>
      <c r="D29" s="7">
        <v>374.3</v>
      </c>
      <c r="E29" s="7">
        <v>430.4</v>
      </c>
      <c r="F29" s="7">
        <v>482.1</v>
      </c>
    </row>
    <row r="30" spans="1:8">
      <c r="A30" t="s">
        <v>25</v>
      </c>
      <c r="B30" s="7">
        <v>20.8</v>
      </c>
      <c r="C30" s="7">
        <v>31.72</v>
      </c>
      <c r="D30" s="7">
        <v>44.92</v>
      </c>
      <c r="E30" s="7">
        <v>60.26</v>
      </c>
      <c r="F30" s="7">
        <v>72.31999999999999</v>
      </c>
    </row>
    <row r="31" spans="1:8">
      <c r="A31" t="s">
        <v>92</v>
      </c>
      <c r="B31" s="10">
        <v>0.9091</v>
      </c>
      <c r="C31" s="10">
        <v>0.8264</v>
      </c>
      <c r="D31" s="10">
        <v>0.7513</v>
      </c>
      <c r="E31" s="10">
        <v>0.6830000000000001</v>
      </c>
      <c r="F31" s="10">
        <v>0.6209</v>
      </c>
    </row>
    <row r="32" spans="1:8">
      <c r="A32" t="s">
        <v>28</v>
      </c>
      <c r="B32" s="7">
        <v>18.91</v>
      </c>
      <c r="C32" s="7">
        <v>26.21</v>
      </c>
      <c r="D32" s="7">
        <v>33.75</v>
      </c>
      <c r="E32" s="7">
        <v>41.16</v>
      </c>
      <c r="F32" s="7">
        <v>44.91</v>
      </c>
    </row>
    <row r="33" spans="1:8">
      <c r="A33" t="s">
        <v>93</v>
      </c>
      <c r="B33" s="11">
        <v>164.93</v>
      </c>
    </row>
    <row r="34" spans="1:8">
      <c r="A34" t="s">
        <v>32</v>
      </c>
      <c r="B34" s="11">
        <v>1151.4</v>
      </c>
    </row>
    <row r="35" spans="1:8">
      <c r="A35" t="s">
        <v>33</v>
      </c>
      <c r="B35" s="11">
        <v>714.9299999999999</v>
      </c>
    </row>
    <row r="36" spans="1:8">
      <c r="A36" t="s">
        <v>34</v>
      </c>
      <c r="B36" s="11">
        <v>879.86</v>
      </c>
    </row>
    <row r="37" spans="1:8">
      <c r="A37" t="s">
        <v>35</v>
      </c>
      <c r="B37" s="7">
        <v>20.9</v>
      </c>
    </row>
    <row r="38" spans="1:8">
      <c r="A38" t="s">
        <v>36</v>
      </c>
      <c r="B38" s="11">
        <v>858.96</v>
      </c>
    </row>
    <row r="39" spans="1:8">
      <c r="A39" t="s">
        <v>94</v>
      </c>
      <c r="B39" s="16">
        <v>8.19</v>
      </c>
    </row>
    <row r="40" spans="1:8">
      <c r="A40" t="s">
        <v>56</v>
      </c>
      <c r="B40" s="21">
        <v>1.409</v>
      </c>
    </row>
    <row r="41" spans="1:8">
      <c r="A41" t="s">
        <v>95</v>
      </c>
      <c r="B41" s="28">
        <v>5.46</v>
      </c>
    </row>
    <row r="43" spans="1:8">
      <c r="A43" s="4" t="s">
        <v>98</v>
      </c>
      <c r="B43" s="4"/>
      <c r="C43" s="4"/>
      <c r="D43" s="4"/>
      <c r="E43" s="4"/>
      <c r="F43" s="4"/>
      <c r="G43" s="4"/>
      <c r="H43" s="4"/>
    </row>
    <row r="44" spans="1:8">
      <c r="A44" s="3" t="s">
        <v>60</v>
      </c>
      <c r="B44" s="3" t="s">
        <v>83</v>
      </c>
      <c r="C44" s="3" t="s">
        <v>84</v>
      </c>
      <c r="D44" s="3" t="s">
        <v>85</v>
      </c>
      <c r="E44" s="3" t="s">
        <v>86</v>
      </c>
      <c r="F44" s="3" t="s">
        <v>87</v>
      </c>
      <c r="G44" s="3" t="s">
        <v>88</v>
      </c>
      <c r="H44" s="3" t="s">
        <v>89</v>
      </c>
    </row>
    <row r="45" spans="1:8">
      <c r="A45" s="9" t="s">
        <v>99</v>
      </c>
    </row>
    <row r="46" spans="1:8">
      <c r="A46" t="s">
        <v>20</v>
      </c>
      <c r="B46" s="18">
        <v>0.12</v>
      </c>
      <c r="C46" s="18">
        <v>0.1</v>
      </c>
      <c r="D46" s="18">
        <v>0.08</v>
      </c>
      <c r="E46" s="18">
        <v>0.06</v>
      </c>
      <c r="F46" s="18">
        <v>0.05</v>
      </c>
    </row>
    <row r="47" spans="1:8">
      <c r="A47" t="s">
        <v>91</v>
      </c>
      <c r="B47" s="18">
        <v>0.05</v>
      </c>
      <c r="C47" s="18">
        <v>0.06</v>
      </c>
      <c r="D47" s="18">
        <v>0.07000000000000001</v>
      </c>
      <c r="E47" s="18">
        <v>0.08</v>
      </c>
      <c r="F47" s="18">
        <v>0.09</v>
      </c>
    </row>
    <row r="48" spans="1:8">
      <c r="A48" t="s">
        <v>23</v>
      </c>
      <c r="B48" s="7">
        <v>233</v>
      </c>
      <c r="C48" s="7">
        <v>256.3</v>
      </c>
      <c r="D48" s="7">
        <v>276.8</v>
      </c>
      <c r="E48" s="7">
        <v>293.4</v>
      </c>
      <c r="F48" s="7">
        <v>308</v>
      </c>
    </row>
    <row r="49" spans="1:6">
      <c r="A49" t="s">
        <v>25</v>
      </c>
      <c r="B49" s="7">
        <v>11.65</v>
      </c>
      <c r="C49" s="7">
        <v>15.38</v>
      </c>
      <c r="D49" s="7">
        <v>19.38</v>
      </c>
      <c r="E49" s="7">
        <v>23.47</v>
      </c>
      <c r="F49" s="7">
        <v>27.72</v>
      </c>
    </row>
    <row r="50" spans="1:6">
      <c r="A50" t="s">
        <v>92</v>
      </c>
      <c r="B50" s="10">
        <v>0.8772</v>
      </c>
      <c r="C50" s="10">
        <v>0.7695</v>
      </c>
      <c r="D50" s="10">
        <v>0.675</v>
      </c>
      <c r="E50" s="10">
        <v>0.5921</v>
      </c>
      <c r="F50" s="10">
        <v>0.5194</v>
      </c>
    </row>
    <row r="51" spans="1:6">
      <c r="A51" t="s">
        <v>28</v>
      </c>
      <c r="B51" s="7">
        <v>10.22</v>
      </c>
      <c r="C51" s="7">
        <v>11.83</v>
      </c>
      <c r="D51" s="7">
        <v>13.08</v>
      </c>
      <c r="E51" s="7">
        <v>13.9</v>
      </c>
      <c r="F51" s="7">
        <v>14.4</v>
      </c>
    </row>
    <row r="52" spans="1:6">
      <c r="A52" t="s">
        <v>93</v>
      </c>
      <c r="B52" s="11">
        <v>63.42</v>
      </c>
    </row>
    <row r="53" spans="1:6">
      <c r="A53" t="s">
        <v>32</v>
      </c>
      <c r="B53" s="11">
        <v>235.62</v>
      </c>
    </row>
    <row r="54" spans="1:6">
      <c r="A54" t="s">
        <v>33</v>
      </c>
      <c r="B54" s="11">
        <v>122.37</v>
      </c>
    </row>
    <row r="55" spans="1:6">
      <c r="A55" t="s">
        <v>34</v>
      </c>
      <c r="B55" s="11">
        <v>185.79</v>
      </c>
    </row>
    <row r="56" spans="1:6">
      <c r="A56" t="s">
        <v>35</v>
      </c>
      <c r="B56" s="7">
        <v>20.9</v>
      </c>
    </row>
    <row r="57" spans="1:6">
      <c r="A57" t="s">
        <v>36</v>
      </c>
      <c r="B57" s="11">
        <v>164.89</v>
      </c>
    </row>
    <row r="58" spans="1:6">
      <c r="A58" t="s">
        <v>94</v>
      </c>
      <c r="B58" s="19">
        <v>1.57</v>
      </c>
    </row>
    <row r="59" spans="1:6">
      <c r="A59" t="s">
        <v>56</v>
      </c>
      <c r="B59" s="20">
        <v>-0.5379999999999999</v>
      </c>
    </row>
    <row r="60" spans="1:6">
      <c r="A60" t="s">
        <v>95</v>
      </c>
      <c r="B60" s="28">
        <v>1.12</v>
      </c>
    </row>
  </sheetData>
  <mergeCells count="3">
    <mergeCell ref="A5:H5"/>
    <mergeCell ref="A24:H24"/>
    <mergeCell ref="A43:H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zoomScale="95" zoomScaleNormal="95" workbookViewId="0"/>
  </sheetViews>
  <sheetFormatPr defaultRowHeight="15"/>
  <cols>
    <col min="1" max="1" width="22.7109375" customWidth="1"/>
    <col min="2" max="11" width="12.7109375" customWidth="1"/>
  </cols>
  <sheetData>
    <row r="1" spans="1:11">
      <c r="A1" s="1" t="s">
        <v>100</v>
      </c>
    </row>
    <row r="2" spans="1:11">
      <c r="A2" s="2" t="s">
        <v>101</v>
      </c>
    </row>
    <row r="4" spans="1:11">
      <c r="A4" s="3" t="s">
        <v>60</v>
      </c>
      <c r="B4" s="3" t="s">
        <v>102</v>
      </c>
      <c r="C4" s="3" t="s">
        <v>103</v>
      </c>
      <c r="D4" s="3" t="s">
        <v>104</v>
      </c>
      <c r="E4" s="3" t="s">
        <v>105</v>
      </c>
      <c r="F4" s="3" t="s">
        <v>106</v>
      </c>
      <c r="G4" s="3" t="s">
        <v>107</v>
      </c>
      <c r="H4" s="3" t="s">
        <v>108</v>
      </c>
      <c r="I4" s="3" t="s">
        <v>109</v>
      </c>
      <c r="J4" s="3" t="s">
        <v>110</v>
      </c>
      <c r="K4" s="3" t="s">
        <v>111</v>
      </c>
    </row>
    <row r="5" spans="1:11">
      <c r="A5" s="12" t="s">
        <v>23</v>
      </c>
      <c r="B5" s="7">
        <v>64</v>
      </c>
      <c r="C5" s="7">
        <v>69.2</v>
      </c>
      <c r="D5" s="7">
        <v>80.09999999999999</v>
      </c>
      <c r="E5" s="7">
        <v>85.09999999999999</v>
      </c>
      <c r="F5" s="7">
        <v>105.6</v>
      </c>
      <c r="G5" s="7">
        <v>113.1</v>
      </c>
      <c r="H5" s="7">
        <v>130.3</v>
      </c>
      <c r="I5" s="7">
        <v>156.6</v>
      </c>
      <c r="J5" s="7">
        <v>195.4</v>
      </c>
      <c r="K5" s="7">
        <v>208</v>
      </c>
    </row>
    <row r="6" spans="1:11">
      <c r="A6" s="12" t="s">
        <v>112</v>
      </c>
      <c r="B6" s="7">
        <v>23.6</v>
      </c>
      <c r="C6" s="7">
        <v>26</v>
      </c>
      <c r="D6" s="7">
        <v>34.2</v>
      </c>
      <c r="E6" s="7">
        <v>40.7</v>
      </c>
      <c r="F6" s="7">
        <v>48.3</v>
      </c>
      <c r="G6" s="7">
        <v>48.7</v>
      </c>
      <c r="H6" s="7">
        <v>61.8</v>
      </c>
      <c r="I6" s="7">
        <v>73</v>
      </c>
      <c r="J6" s="7">
        <v>88.3</v>
      </c>
      <c r="K6" s="7">
        <v>91.7</v>
      </c>
    </row>
    <row r="7" spans="1:11">
      <c r="A7" s="12" t="s">
        <v>113</v>
      </c>
      <c r="B7" s="18">
        <v>0.368</v>
      </c>
      <c r="C7" s="18">
        <v>0.376</v>
      </c>
      <c r="D7" s="18">
        <v>0.427</v>
      </c>
      <c r="E7" s="18">
        <v>0.478</v>
      </c>
      <c r="F7" s="18">
        <v>0.457</v>
      </c>
      <c r="G7" s="18">
        <v>0.431</v>
      </c>
      <c r="H7" s="18">
        <v>0.474</v>
      </c>
      <c r="I7" s="18">
        <v>0.466</v>
      </c>
      <c r="J7" s="18">
        <v>0.452</v>
      </c>
      <c r="K7" s="18">
        <v>0.441</v>
      </c>
    </row>
    <row r="8" spans="1:11">
      <c r="A8" s="12" t="s">
        <v>114</v>
      </c>
      <c r="H8" s="7">
        <v>21.5</v>
      </c>
      <c r="I8" s="7">
        <v>21.4</v>
      </c>
      <c r="J8" s="7">
        <v>26.2</v>
      </c>
      <c r="K8" s="7">
        <v>20.9</v>
      </c>
    </row>
    <row r="9" spans="1:11">
      <c r="A9" s="12" t="s">
        <v>115</v>
      </c>
      <c r="B9" s="7">
        <v>-13.3</v>
      </c>
      <c r="C9" s="7">
        <v>-18.4</v>
      </c>
      <c r="D9" s="7">
        <v>-12.7</v>
      </c>
      <c r="E9" s="7">
        <v>-2.4</v>
      </c>
      <c r="F9" s="7">
        <v>12.7</v>
      </c>
      <c r="G9" s="7">
        <v>7.8</v>
      </c>
      <c r="H9" s="7">
        <v>19.8</v>
      </c>
      <c r="I9" s="7">
        <v>10.7</v>
      </c>
      <c r="J9" s="7">
        <v>15.6</v>
      </c>
      <c r="K9" s="7">
        <v>11.4</v>
      </c>
    </row>
    <row r="10" spans="1:11">
      <c r="A10" s="12" t="s">
        <v>116</v>
      </c>
      <c r="B10" s="29">
        <v>-0.48</v>
      </c>
      <c r="C10" s="29">
        <v>-0.19</v>
      </c>
      <c r="D10" s="29">
        <v>-0.13</v>
      </c>
      <c r="E10" s="29">
        <v>-0.03</v>
      </c>
      <c r="F10" s="29">
        <v>0.12</v>
      </c>
      <c r="G10" s="29">
        <v>0.07000000000000001</v>
      </c>
      <c r="H10" s="29">
        <v>0.19</v>
      </c>
      <c r="I10" s="29">
        <v>0.1</v>
      </c>
      <c r="J10" s="29">
        <v>0.15</v>
      </c>
      <c r="K10" s="29">
        <v>0.11</v>
      </c>
    </row>
    <row r="11" spans="1:11">
      <c r="A11" s="12" t="s">
        <v>25</v>
      </c>
      <c r="F11" s="7">
        <v>14.8</v>
      </c>
      <c r="G11" s="7">
        <v>0.7</v>
      </c>
      <c r="H11" s="7">
        <v>13.8</v>
      </c>
      <c r="I11" s="7">
        <v>11.4</v>
      </c>
      <c r="J11" s="7">
        <v>28.7</v>
      </c>
      <c r="K11" s="7">
        <v>12.9</v>
      </c>
    </row>
    <row r="12" spans="1:11">
      <c r="A12" s="12" t="s">
        <v>117</v>
      </c>
      <c r="D12" s="7">
        <v>7.3</v>
      </c>
      <c r="E12" s="7">
        <v>5.1</v>
      </c>
      <c r="F12" s="7">
        <v>17.3</v>
      </c>
      <c r="G12" s="7">
        <v>36.6</v>
      </c>
      <c r="H12" s="7">
        <v>62.3</v>
      </c>
      <c r="I12" s="7">
        <v>73.3</v>
      </c>
      <c r="J12" s="7">
        <v>87.8</v>
      </c>
      <c r="K12" s="7">
        <v>97.09999999999999</v>
      </c>
    </row>
    <row r="13" spans="1:11">
      <c r="A13" s="12" t="s">
        <v>13</v>
      </c>
      <c r="B13" s="7">
        <v>28.2</v>
      </c>
      <c r="C13" s="7">
        <v>23.4</v>
      </c>
      <c r="D13" s="7">
        <v>30.7</v>
      </c>
      <c r="E13" s="7">
        <v>41.8</v>
      </c>
      <c r="F13" s="7">
        <v>43.2</v>
      </c>
      <c r="G13" s="7">
        <v>38.4</v>
      </c>
      <c r="H13" s="7">
        <v>37.2</v>
      </c>
      <c r="I13" s="7">
        <v>34.7</v>
      </c>
      <c r="J13" s="7">
        <v>28.2</v>
      </c>
      <c r="K13" s="7">
        <v>25.6</v>
      </c>
    </row>
    <row r="14" spans="1:11">
      <c r="A14" s="12" t="s">
        <v>12</v>
      </c>
      <c r="B14" s="7">
        <v>23.2</v>
      </c>
      <c r="C14" s="7">
        <v>16</v>
      </c>
      <c r="D14" s="7">
        <v>6.8</v>
      </c>
      <c r="E14" s="7">
        <v>6.9</v>
      </c>
      <c r="F14" s="7">
        <v>6.1</v>
      </c>
      <c r="G14" s="7">
        <v>3.2</v>
      </c>
      <c r="H14" s="7">
        <v>7.9</v>
      </c>
      <c r="I14" s="7">
        <v>4.7</v>
      </c>
      <c r="J14" s="7">
        <v>12</v>
      </c>
      <c r="K14" s="7">
        <v>11.1</v>
      </c>
    </row>
    <row r="15" spans="1:11">
      <c r="A15" s="12" t="s">
        <v>118</v>
      </c>
      <c r="H15" s="7">
        <v>5.5</v>
      </c>
      <c r="I15" s="7">
        <v>5.6</v>
      </c>
      <c r="J15" s="7">
        <v>8.1</v>
      </c>
      <c r="K15" s="7">
        <v>11.5</v>
      </c>
    </row>
    <row r="16" spans="1:11">
      <c r="A16" s="12" t="s">
        <v>119</v>
      </c>
      <c r="B16" s="7">
        <v>1.8</v>
      </c>
      <c r="E16" s="7">
        <v>1.2</v>
      </c>
      <c r="F16" s="7">
        <v>3.8</v>
      </c>
      <c r="G16" s="7">
        <v>2.1</v>
      </c>
      <c r="H16" s="7">
        <v>6.7</v>
      </c>
      <c r="I16" s="7">
        <v>1.2</v>
      </c>
      <c r="J16" s="7">
        <v>8.5</v>
      </c>
      <c r="K16" s="7">
        <v>0.7</v>
      </c>
    </row>
    <row r="18" spans="1:10">
      <c r="A18" s="4" t="s">
        <v>120</v>
      </c>
    </row>
    <row r="19" spans="1:10">
      <c r="A19" s="12" t="s">
        <v>121</v>
      </c>
      <c r="B19" s="18">
        <v>0.08125000000000004</v>
      </c>
      <c r="C19" s="18">
        <v>0.1575144508670518</v>
      </c>
      <c r="D19" s="18">
        <v>0.06242197253433202</v>
      </c>
      <c r="E19" s="18">
        <v>0.2408930669800236</v>
      </c>
      <c r="F19" s="18">
        <v>0.07102272727272729</v>
      </c>
      <c r="G19" s="18">
        <v>0.1520778072502211</v>
      </c>
      <c r="H19" s="18">
        <v>0.2018419033000767</v>
      </c>
      <c r="I19" s="18">
        <v>0.2477650063856962</v>
      </c>
      <c r="J19" s="18">
        <v>0.06448311156601849</v>
      </c>
    </row>
    <row r="21" spans="1:10">
      <c r="A21" s="17" t="s">
        <v>122</v>
      </c>
    </row>
    <row r="22" spans="1:10">
      <c r="A22" s="12" t="s">
        <v>123</v>
      </c>
      <c r="B22" s="18">
        <v>0.1687</v>
      </c>
    </row>
    <row r="23" spans="1:10">
      <c r="A23" s="12" t="s">
        <v>124</v>
      </c>
      <c r="B23" s="18">
        <v>0.1452</v>
      </c>
    </row>
    <row r="24" spans="1:10">
      <c r="A24" s="12" t="s">
        <v>125</v>
      </c>
      <c r="B24" s="18">
        <v>0.1594</v>
      </c>
    </row>
    <row r="25" spans="1:10">
      <c r="A25" s="12" t="s">
        <v>126</v>
      </c>
      <c r="B25" s="18">
        <v>-0.0222</v>
      </c>
    </row>
    <row r="26" spans="1:10">
      <c r="A26" s="12" t="s">
        <v>127</v>
      </c>
      <c r="B26" s="18">
        <v>0.1687</v>
      </c>
      <c r="C26" s="9" t="s">
        <v>128</v>
      </c>
    </row>
    <row r="28" spans="1:10">
      <c r="A28" s="9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Scenarios</vt:lpstr>
      <vt:lpstr>Historical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2026-03-26T04:18:16Z</dcterms:created>
  <dcterms:modified xsi:type="dcterms:W3CDTF">2026-03-26T04:18:16Z</dcterms:modified>
</cp:coreProperties>
</file>