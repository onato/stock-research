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Bull &amp; Bear" sheetId="2" r:id="rId2"/>
    <sheet name="Sensitivity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<sst xmlns="http://schemas.openxmlformats.org/spreadsheetml/2006/main" count="150" uniqueCount="104">
  <si>
    <t>MELI — MercadoLibre DCF Valuation Model</t>
  </si>
  <si>
    <t>Valuation Date: 2026-06-30  |  Current Price: $1,683.13  |  Units: USD Millions (per-share in USD)</t>
  </si>
  <si>
    <t>Gray cells are INPUTS — change them to instantly recalculate intrinsic value, upside, and entry price.</t>
  </si>
  <si>
    <t>KEY INPUTS</t>
  </si>
  <si>
    <t>Current Stock Price ($)</t>
  </si>
  <si>
    <t>Shares Outstanding (M)</t>
  </si>
  <si>
    <t>Cash &amp; Equivalents (M)</t>
  </si>
  <si>
    <t>Total Debt (M)</t>
  </si>
  <si>
    <t>Net Debt (M) [= Total Debt - Cash]</t>
  </si>
  <si>
    <t>Base Year FCF (M) [FY2025]</t>
  </si>
  <si>
    <t>Base Year Revenue (M) [FY2025]</t>
  </si>
  <si>
    <t>WACC — Base Case</t>
  </si>
  <si>
    <t>Terminal Growth Rate — Base</t>
  </si>
  <si>
    <t>Target CAGR for Entry Price</t>
  </si>
  <si>
    <t>FCF GROWTH RATE &amp; MARGIN ASSUMPTIONS — edit gray cells</t>
  </si>
  <si>
    <t>Scenario / Year</t>
  </si>
  <si>
    <t>Year 1</t>
  </si>
  <si>
    <t>Year 2</t>
  </si>
  <si>
    <t>Year 3</t>
  </si>
  <si>
    <t>Year 4</t>
  </si>
  <si>
    <t>Year 5</t>
  </si>
  <si>
    <t>Base Revenue Growth</t>
  </si>
  <si>
    <t>Base FCF Margin</t>
  </si>
  <si>
    <t>Bull Revenue Growth</t>
  </si>
  <si>
    <t>Bull FCF Margin</t>
  </si>
  <si>
    <t>Bear Revenue Growth</t>
  </si>
  <si>
    <t>Bear FCF Margin</t>
  </si>
  <si>
    <t>Bull: WACC | Terminal Growth</t>
  </si>
  <si>
    <t>Bear: WACC | Terminal Growth</t>
  </si>
  <si>
    <t>BASE CASE — PROJECTIONS &amp; DISCOUNTED CASH FLOWS</t>
  </si>
  <si>
    <t>Base Year</t>
  </si>
  <si>
    <t>Revenue (M)</t>
  </si>
  <si>
    <t>Free Cash Flow (M)</t>
  </si>
  <si>
    <t>Discount Factor (1/(1+WACC)^n)</t>
  </si>
  <si>
    <t>—</t>
  </si>
  <si>
    <t>PV of FCF (M)</t>
  </si>
  <si>
    <t>BASE CASE — VALUATION SUMMARY</t>
  </si>
  <si>
    <t>Sum of PV of FCF (M)</t>
  </si>
  <si>
    <t>Terminal FCF  [Y5 FCF × (1+g)]</t>
  </si>
  <si>
    <t>Terminal Value (M)</t>
  </si>
  <si>
    <t>PV of Terminal Value (M)</t>
  </si>
  <si>
    <t>Enterprise Value (M)</t>
  </si>
  <si>
    <t>Less: Net Debt (M)</t>
  </si>
  <si>
    <t>Equity Value (M)</t>
  </si>
  <si>
    <t>BASE INTRINSIC VALUE / SHARE</t>
  </si>
  <si>
    <t>Upside / Downside vs Current Price</t>
  </si>
  <si>
    <t>Terminal Value per Share</t>
  </si>
  <si>
    <t>Entry Price (15% CAGR to TV/Share)</t>
  </si>
  <si>
    <t>Entry Price Discount from Current</t>
  </si>
  <si>
    <t>MELI — Bull &amp; Bear DCF Scenarios</t>
  </si>
  <si>
    <t>Inputs pull from 'DCF Model' sheet — change inputs there to update all scenarios.</t>
  </si>
  <si>
    <t>BULL CASE PROJECTIONS</t>
  </si>
  <si>
    <t>Scenario</t>
  </si>
  <si>
    <t>Discount Factor (Bull WACC)</t>
  </si>
  <si>
    <t>BULL CASE — VALUATION</t>
  </si>
  <si>
    <t>Terminal FCF (Y5 FCF × (1+g_bull))</t>
  </si>
  <si>
    <t>BULL INTRINSIC VALUE / SHARE</t>
  </si>
  <si>
    <t>Bull Entry Price (15% CAGR)</t>
  </si>
  <si>
    <t>BEAR CASE PROJECTIONS</t>
  </si>
  <si>
    <t>Discount Factor (Bear WACC)</t>
  </si>
  <si>
    <t>BEAR CASE — VALUATION</t>
  </si>
  <si>
    <t>Terminal FCF (Y5 FCF × (1+g_bear))</t>
  </si>
  <si>
    <t>BEAR INTRINSIC VALUE / SHARE</t>
  </si>
  <si>
    <t>Bear Entry Price (15% CAGR)</t>
  </si>
  <si>
    <t>PROBABILITY-WEIGHTED INTRINSIC VALUE</t>
  </si>
  <si>
    <t>Bull Weight</t>
  </si>
  <si>
    <t>Base Weight</t>
  </si>
  <si>
    <t>Bear Weight</t>
  </si>
  <si>
    <t>PROBABILITY-WEIGHTED IV / SHARE</t>
  </si>
  <si>
    <t>Weighted Upside vs Current Price</t>
  </si>
  <si>
    <t>MELI Base Case — Sensitivity: Intrinsic Value per Share</t>
  </si>
  <si>
    <t>Rows = WACC  |  Columns = Terminal Growth Rate  |  Current price: $1,683.13</t>
  </si>
  <si>
    <t>Green = above current price  |  Yellow = within 20% of current  |  Red = below current</t>
  </si>
  <si>
    <t>WACC \ Term G</t>
  </si>
  <si>
    <t>Notes:</t>
  </si>
  <si>
    <t>Base assumptions: WACC 11.0%, Terminal Growth 3.5% -&gt; IV $819.61 (51% below current $1683.13)</t>
  </si>
  <si>
    <t>Bull IV $1,984.93 requires strong FCF margin expansion (5.5-8.5% over 5yr) at WACC 10% / terminal 4.0%.</t>
  </si>
  <si>
    <t>Current price $1,683 is NOT supported in the base case sensitivity matrix; requires bull case FCF assumptions.</t>
  </si>
  <si>
    <t>MELI — Historical Growth Rates &amp; Revenue History</t>
  </si>
  <si>
    <t>Metric</t>
  </si>
  <si>
    <t>3yr CAGR</t>
  </si>
  <si>
    <t>2yr CAGR</t>
  </si>
  <si>
    <t>Notes</t>
  </si>
  <si>
    <t>Revenue</t>
  </si>
  <si>
    <t>FY2022-FY2025; Q1'26 +49.0% YoY re-acceleration</t>
  </si>
  <si>
    <t>EPS</t>
  </si>
  <si>
    <t>FY2022-FY2025; FY2025 compressed by credit provisioning surge</t>
  </si>
  <si>
    <t>Shareholders Eq.</t>
  </si>
  <si>
    <t>FY2022-FY2025; driven by retained earnings</t>
  </si>
  <si>
    <t>FCF</t>
  </si>
  <si>
    <t>N/A</t>
  </si>
  <si>
    <t>FY2024 $1,315M -&gt; FY2025 $1,327M (+0.9%); 2 years only</t>
  </si>
  <si>
    <t>Selected Growth Rate Source:</t>
  </si>
  <si>
    <t>revenue_3yr_cagr</t>
  </si>
  <si>
    <t>Selected Rate:</t>
  </si>
  <si>
    <t>Revenue &amp; FCF History</t>
  </si>
  <si>
    <t>Period</t>
  </si>
  <si>
    <t>YoY Growth</t>
  </si>
  <si>
    <t>FCF (M)</t>
  </si>
  <si>
    <t>FY2022</t>
  </si>
  <si>
    <t>FY2023</t>
  </si>
  <si>
    <t>FY2024</t>
  </si>
  <si>
    <t>FY2025</t>
  </si>
  <si>
    <t>Q1 2026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</si>
</sst>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#,##0"/>
    <numFmt numFmtId="166" formatCode="0.00%"/>
    <numFmt numFmtId="167" formatCode="0.000"/>
    <numFmt numFmtId="168" formatCode="&quot;$&quot;#,##0.00"/>
    <numFmt numFmtId="169" formatCode="0.0%"/>
    <numFmt numFmtId="170" formatCode="&quot;$&quot;#,##0"/>
  </numFmts>
  <fonts count="9">
    <font>
      <sz val="11"/>
      <color theme="1"/>
      <name val="Calibri"/>
      <family val="2"/>
      <scheme val="minor"/>
    </font>
    <font>
      <b/>
      <sz val="16"/>
      <color rgb="FF1A252F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2D343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D3436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6C5CE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 applyAlignment="1">
      <alignment horizontal="left"/>
    </xf>
    <xf numFmtId="164" fontId="0" fillId="3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167" fontId="0" fillId="5" borderId="1" xfId="0" applyNumberFormat="1" applyFill="1" applyBorder="1" applyAlignment="1">
      <alignment horizontal="right"/>
    </xf>
    <xf numFmtId="168" fontId="3" fillId="6" borderId="2" xfId="0" applyNumberFormat="1" applyFont="1" applyFill="1" applyBorder="1" applyAlignment="1">
      <alignment horizontal="right"/>
    </xf>
    <xf numFmtId="169" fontId="5" fillId="7" borderId="2" xfId="0" applyNumberFormat="1" applyFont="1" applyFill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8" fontId="3" fillId="8" borderId="2" xfId="0" applyNumberFormat="1" applyFont="1" applyFill="1" applyBorder="1" applyAlignment="1">
      <alignment horizontal="right"/>
    </xf>
    <xf numFmtId="0" fontId="3" fillId="8" borderId="1" xfId="0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right"/>
    </xf>
    <xf numFmtId="0" fontId="3" fillId="10" borderId="1" xfId="0" applyFont="1" applyFill="1" applyBorder="1" applyAlignment="1">
      <alignment horizontal="center"/>
    </xf>
    <xf numFmtId="165" fontId="0" fillId="11" borderId="1" xfId="0" applyNumberFormat="1" applyFill="1" applyBorder="1" applyAlignment="1">
      <alignment horizontal="right"/>
    </xf>
    <xf numFmtId="168" fontId="3" fillId="10" borderId="2" xfId="0" applyNumberFormat="1" applyFont="1" applyFill="1" applyBorder="1" applyAlignment="1">
      <alignment horizontal="right"/>
    </xf>
    <xf numFmtId="169" fontId="3" fillId="10" borderId="2" xfId="0" applyNumberFormat="1" applyFont="1" applyFill="1" applyBorder="1" applyAlignment="1">
      <alignment horizontal="right"/>
    </xf>
    <xf numFmtId="168" fontId="6" fillId="12" borderId="2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69" fontId="3" fillId="2" borderId="1" xfId="0" applyNumberFormat="1" applyFont="1" applyFill="1" applyBorder="1" applyAlignment="1">
      <alignment horizontal="center"/>
    </xf>
    <xf numFmtId="170" fontId="7" fillId="10" borderId="1" xfId="0" applyNumberFormat="1" applyFont="1" applyFill="1" applyBorder="1" applyAlignment="1">
      <alignment horizontal="right"/>
    </xf>
    <xf numFmtId="170" fontId="8" fillId="7" borderId="1" xfId="0" applyNumberFormat="1" applyFont="1" applyFill="1" applyBorder="1" applyAlignment="1">
      <alignment horizontal="right"/>
    </xf>
    <xf numFmtId="16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width="30.7109375" customWidth="1"/>
    <col min="2" max="2" width="18.7109375" customWidth="1"/>
    <col min="3" max="7" width="13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</row>
    <row r="3" spans="1:7">
      <c r="A3" s="2" t="s">
        <v>2</v>
      </c>
    </row>
    <row r="5" spans="1:7">
      <c r="A5" s="3" t="s">
        <v>3</v>
      </c>
      <c r="B5" s="3"/>
      <c r="C5" s="3"/>
      <c r="D5" s="3"/>
      <c r="E5" s="3"/>
      <c r="F5" s="3"/>
      <c r="G5" s="3"/>
    </row>
    <row r="6" spans="1:7">
      <c r="A6" s="4" t="s">
        <v>4</v>
      </c>
      <c r="B6" s="5">
        <v>1683.13</v>
      </c>
    </row>
    <row r="7" spans="1:7">
      <c r="A7" s="4" t="s">
        <v>5</v>
      </c>
      <c r="B7" s="5">
        <v>50.697</v>
      </c>
    </row>
    <row r="8" spans="1:7">
      <c r="A8" s="4" t="s">
        <v>6</v>
      </c>
      <c r="B8" s="5">
        <v>3677</v>
      </c>
    </row>
    <row r="9" spans="1:7">
      <c r="A9" s="4" t="s">
        <v>7</v>
      </c>
      <c r="B9" s="5">
        <v>12345</v>
      </c>
    </row>
    <row r="10" spans="1:7">
      <c r="A10" s="4" t="s">
        <v>8</v>
      </c>
      <c r="B10" s="6">
        <f>B9-B8</f>
        <v>0</v>
      </c>
    </row>
    <row r="11" spans="1:7">
      <c r="A11" s="4" t="s">
        <v>9</v>
      </c>
      <c r="B11" s="5">
        <v>1327</v>
      </c>
    </row>
    <row r="12" spans="1:7">
      <c r="A12" s="4" t="s">
        <v>10</v>
      </c>
      <c r="B12" s="5">
        <v>28893</v>
      </c>
    </row>
    <row r="13" spans="1:7">
      <c r="A13" s="4" t="s">
        <v>11</v>
      </c>
      <c r="B13" s="7">
        <v>0.11</v>
      </c>
    </row>
    <row r="14" spans="1:7">
      <c r="A14" s="4" t="s">
        <v>12</v>
      </c>
      <c r="B14" s="7">
        <v>0.035</v>
      </c>
    </row>
    <row r="15" spans="1:7">
      <c r="A15" s="4" t="s">
        <v>13</v>
      </c>
      <c r="B15" s="7">
        <v>0.15</v>
      </c>
    </row>
    <row r="17" spans="1:7">
      <c r="A17" s="3" t="s">
        <v>14</v>
      </c>
      <c r="B17" s="3"/>
      <c r="C17" s="3"/>
      <c r="D17" s="3"/>
      <c r="E17" s="3"/>
      <c r="F17" s="3"/>
      <c r="G17" s="3"/>
    </row>
    <row r="18" spans="1:7">
      <c r="A18" s="8" t="s">
        <v>15</v>
      </c>
      <c r="B18" s="8" t="s">
        <v>16</v>
      </c>
      <c r="C18" s="8" t="s">
        <v>17</v>
      </c>
      <c r="D18" s="8" t="s">
        <v>18</v>
      </c>
      <c r="E18" s="8" t="s">
        <v>19</v>
      </c>
      <c r="F18" s="8" t="s">
        <v>20</v>
      </c>
    </row>
    <row r="19" spans="1:7">
      <c r="A19" s="4" t="s">
        <v>21</v>
      </c>
      <c r="B19" s="7">
        <v>0.3</v>
      </c>
      <c r="C19" s="7">
        <v>0.27</v>
      </c>
      <c r="D19" s="7">
        <v>0.22</v>
      </c>
      <c r="E19" s="7">
        <v>0.18</v>
      </c>
      <c r="F19" s="7">
        <v>0.15</v>
      </c>
    </row>
    <row r="20" spans="1:7">
      <c r="A20" s="4" t="s">
        <v>22</v>
      </c>
      <c r="B20" s="7">
        <v>0.048</v>
      </c>
      <c r="C20" s="7">
        <v>0.052</v>
      </c>
      <c r="D20" s="7">
        <v>0.055</v>
      </c>
      <c r="E20" s="7">
        <v>0.058</v>
      </c>
      <c r="F20" s="7">
        <v>0.06</v>
      </c>
    </row>
    <row r="21" spans="1:7">
      <c r="A21" s="4" t="s">
        <v>23</v>
      </c>
      <c r="B21" s="7">
        <v>0.4</v>
      </c>
      <c r="C21" s="7">
        <v>0.33</v>
      </c>
      <c r="D21" s="7">
        <v>0.28</v>
      </c>
      <c r="E21" s="7">
        <v>0.22</v>
      </c>
      <c r="F21" s="7">
        <v>0.18</v>
      </c>
    </row>
    <row r="22" spans="1:7">
      <c r="A22" s="4" t="s">
        <v>24</v>
      </c>
      <c r="B22" s="7">
        <v>0.055</v>
      </c>
      <c r="C22" s="7">
        <v>0.065</v>
      </c>
      <c r="D22" s="7">
        <v>0.075</v>
      </c>
      <c r="E22" s="7">
        <v>0.08</v>
      </c>
      <c r="F22" s="7">
        <v>0.08500000000000001</v>
      </c>
    </row>
    <row r="23" spans="1:7">
      <c r="A23" s="4" t="s">
        <v>25</v>
      </c>
      <c r="B23" s="7">
        <v>0.18</v>
      </c>
      <c r="C23" s="7">
        <v>0.15</v>
      </c>
      <c r="D23" s="7">
        <v>0.12</v>
      </c>
      <c r="E23" s="7">
        <v>0.08</v>
      </c>
      <c r="F23" s="7">
        <v>0.06</v>
      </c>
    </row>
    <row r="24" spans="1:7">
      <c r="A24" s="4" t="s">
        <v>26</v>
      </c>
      <c r="B24" s="7">
        <v>0.035</v>
      </c>
      <c r="C24" s="7">
        <v>0.038</v>
      </c>
      <c r="D24" s="7">
        <v>0.04</v>
      </c>
      <c r="E24" s="7">
        <v>0.04</v>
      </c>
      <c r="F24" s="7">
        <v>0.042</v>
      </c>
    </row>
    <row r="25" spans="1:7">
      <c r="A25" s="4" t="s">
        <v>27</v>
      </c>
      <c r="B25" s="7">
        <v>0.1</v>
      </c>
      <c r="C25" s="7">
        <v>0.04</v>
      </c>
    </row>
    <row r="26" spans="1:7">
      <c r="A26" s="4" t="s">
        <v>28</v>
      </c>
      <c r="B26" s="7">
        <v>0.13</v>
      </c>
      <c r="C26" s="7">
        <v>0.025</v>
      </c>
    </row>
    <row r="28" spans="1:7">
      <c r="A28" s="3" t="s">
        <v>29</v>
      </c>
      <c r="B28" s="3"/>
      <c r="C28" s="3"/>
      <c r="D28" s="3"/>
      <c r="E28" s="3"/>
      <c r="F28" s="3"/>
      <c r="G28" s="3"/>
    </row>
    <row r="29" spans="1:7">
      <c r="A29" s="8"/>
      <c r="B29" s="8" t="s">
        <v>30</v>
      </c>
      <c r="C29" s="8" t="s">
        <v>16</v>
      </c>
      <c r="D29" s="8" t="s">
        <v>17</v>
      </c>
      <c r="E29" s="8" t="s">
        <v>18</v>
      </c>
      <c r="F29" s="8" t="s">
        <v>19</v>
      </c>
      <c r="G29" s="8" t="s">
        <v>20</v>
      </c>
    </row>
    <row r="30" spans="1:7">
      <c r="A30" s="4" t="s">
        <v>31</v>
      </c>
      <c r="B30" s="6">
        <f>B12</f>
        <v>0</v>
      </c>
      <c r="C30" s="9">
        <f>B30*(1+B19)</f>
        <v>0</v>
      </c>
      <c r="D30" s="9">
        <f>C30*(1+C19)</f>
        <v>0</v>
      </c>
      <c r="E30" s="9">
        <f>D30*(1+D19)</f>
        <v>0</v>
      </c>
      <c r="F30" s="9">
        <f>E30*(1+E19)</f>
        <v>0</v>
      </c>
      <c r="G30" s="9">
        <f>F30*(1+F19)</f>
        <v>0</v>
      </c>
    </row>
    <row r="31" spans="1:7">
      <c r="A31" s="4" t="s">
        <v>32</v>
      </c>
      <c r="B31" s="6">
        <f>B11</f>
        <v>0</v>
      </c>
      <c r="C31" s="9">
        <f>C30*B20</f>
        <v>0</v>
      </c>
      <c r="D31" s="9">
        <f>D30*C20</f>
        <v>0</v>
      </c>
      <c r="E31" s="9">
        <f>E30*D20</f>
        <v>0</v>
      </c>
      <c r="F31" s="9">
        <f>F30*E20</f>
        <v>0</v>
      </c>
      <c r="G31" s="9">
        <f>G30*F20</f>
        <v>0</v>
      </c>
    </row>
    <row r="32" spans="1:7">
      <c r="A32" s="4" t="s">
        <v>33</v>
      </c>
      <c r="B32" s="10" t="s">
        <v>34</v>
      </c>
      <c r="C32" s="11">
        <f>1/(1+$B$13)^1</f>
        <v>0</v>
      </c>
      <c r="D32" s="11">
        <f>1/(1+$B$13)^2</f>
        <v>0</v>
      </c>
      <c r="E32" s="11">
        <f>1/(1+$B$13)^3</f>
        <v>0</v>
      </c>
      <c r="F32" s="11">
        <f>1/(1+$B$13)^4</f>
        <v>0</v>
      </c>
      <c r="G32" s="11">
        <f>1/(1+$B$13)^5</f>
        <v>0</v>
      </c>
    </row>
    <row r="33" spans="1:7">
      <c r="A33" s="4" t="s">
        <v>35</v>
      </c>
      <c r="B33" s="10" t="s">
        <v>34</v>
      </c>
      <c r="C33" s="9">
        <f>C31*C32</f>
        <v>0</v>
      </c>
      <c r="D33" s="9">
        <f>D31*D32</f>
        <v>0</v>
      </c>
      <c r="E33" s="9">
        <f>E31*E32</f>
        <v>0</v>
      </c>
      <c r="F33" s="9">
        <f>F31*F32</f>
        <v>0</v>
      </c>
      <c r="G33" s="9">
        <f>G31*G32</f>
        <v>0</v>
      </c>
    </row>
    <row r="35" spans="1:7">
      <c r="A35" s="3" t="s">
        <v>36</v>
      </c>
      <c r="B35" s="3"/>
      <c r="C35" s="3"/>
      <c r="D35" s="3"/>
      <c r="E35" s="3"/>
      <c r="F35" s="3"/>
      <c r="G35" s="3"/>
    </row>
    <row r="36" spans="1:7">
      <c r="A36" s="4" t="s">
        <v>37</v>
      </c>
      <c r="B36" s="6">
        <f>SUM(C33:G33)</f>
        <v>0</v>
      </c>
    </row>
    <row r="37" spans="1:7">
      <c r="A37" s="4" t="s">
        <v>38</v>
      </c>
      <c r="B37" s="6">
        <f>G31*(1+$B$14)</f>
        <v>0</v>
      </c>
    </row>
    <row r="38" spans="1:7">
      <c r="A38" s="4" t="s">
        <v>39</v>
      </c>
      <c r="B38" s="6">
        <f>B37/($B$13-$B$14)</f>
        <v>0</v>
      </c>
    </row>
    <row r="39" spans="1:7">
      <c r="A39" s="4" t="s">
        <v>40</v>
      </c>
      <c r="B39" s="6">
        <f>B38*G32</f>
        <v>0</v>
      </c>
    </row>
    <row r="40" spans="1:7">
      <c r="A40" s="4" t="s">
        <v>41</v>
      </c>
      <c r="B40" s="6">
        <f>B36+B39</f>
        <v>0</v>
      </c>
    </row>
    <row r="41" spans="1:7">
      <c r="A41" s="4" t="s">
        <v>42</v>
      </c>
      <c r="B41" s="6">
        <f>B10</f>
        <v>0</v>
      </c>
    </row>
    <row r="42" spans="1:7">
      <c r="A42" s="4" t="s">
        <v>43</v>
      </c>
      <c r="B42" s="6">
        <f>B40-B41</f>
        <v>0</v>
      </c>
    </row>
    <row r="43" spans="1:7">
      <c r="A43" s="4" t="s">
        <v>44</v>
      </c>
      <c r="B43" s="12">
        <f>B42/B7</f>
        <v>0</v>
      </c>
    </row>
    <row r="44" spans="1:7">
      <c r="A44" s="4" t="s">
        <v>45</v>
      </c>
      <c r="B44" s="13">
        <f>(B43-B6)/B6</f>
        <v>0</v>
      </c>
    </row>
    <row r="45" spans="1:7">
      <c r="A45" s="4" t="s">
        <v>46</v>
      </c>
      <c r="B45" s="14">
        <f>B38/B7</f>
        <v>0</v>
      </c>
    </row>
    <row r="46" spans="1:7">
      <c r="A46" s="4" t="s">
        <v>47</v>
      </c>
      <c r="B46" s="15">
        <f>B45/(1+B15)^5</f>
        <v>0</v>
      </c>
    </row>
    <row r="47" spans="1:7">
      <c r="A47" s="4" t="s">
        <v>48</v>
      </c>
      <c r="B47" s="13">
        <f>(B46-B6)/B6</f>
        <v>0</v>
      </c>
    </row>
  </sheetData>
  <mergeCells count="5">
    <mergeCell ref="A1:G1"/>
    <mergeCell ref="A5:G5"/>
    <mergeCell ref="A17:G17"/>
    <mergeCell ref="A28:G28"/>
    <mergeCell ref="A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cols>
    <col min="1" max="1" width="30.7109375" customWidth="1"/>
    <col min="2" max="2" width="18.7109375" customWidth="1"/>
    <col min="3" max="7" width="13.7109375" customWidth="1"/>
  </cols>
  <sheetData>
    <row r="1" spans="1:7">
      <c r="A1" s="1" t="s">
        <v>49</v>
      </c>
      <c r="B1" s="1"/>
      <c r="C1" s="1"/>
      <c r="D1" s="1"/>
      <c r="E1" s="1"/>
      <c r="F1" s="1"/>
      <c r="G1" s="1"/>
    </row>
    <row r="2" spans="1:7">
      <c r="A2" s="2" t="s">
        <v>50</v>
      </c>
    </row>
    <row r="4" spans="1:7">
      <c r="A4" s="16" t="s">
        <v>51</v>
      </c>
      <c r="B4" s="16"/>
      <c r="C4" s="16"/>
      <c r="D4" s="16"/>
      <c r="E4" s="16"/>
      <c r="F4" s="16"/>
      <c r="G4" s="16"/>
    </row>
    <row r="5" spans="1:7">
      <c r="A5" s="16" t="s">
        <v>52</v>
      </c>
      <c r="B5" s="16" t="s">
        <v>30</v>
      </c>
      <c r="C5" s="16" t="s">
        <v>16</v>
      </c>
      <c r="D5" s="16" t="s">
        <v>17</v>
      </c>
      <c r="E5" s="16" t="s">
        <v>18</v>
      </c>
      <c r="F5" s="16" t="s">
        <v>19</v>
      </c>
      <c r="G5" s="16" t="s">
        <v>20</v>
      </c>
    </row>
    <row r="6" spans="1:7">
      <c r="A6" s="4" t="s">
        <v>31</v>
      </c>
      <c r="B6" s="6">
        <f>'DCF Model'!B12</f>
        <v>0</v>
      </c>
      <c r="C6" s="17">
        <f>B6*(1+'DCF Model'!B21)</f>
        <v>0</v>
      </c>
      <c r="D6" s="17">
        <f>C6*(1+'DCF Model'!C21)</f>
        <v>0</v>
      </c>
      <c r="E6" s="17">
        <f>D6*(1+'DCF Model'!D21)</f>
        <v>0</v>
      </c>
      <c r="F6" s="17">
        <f>E6*(1+'DCF Model'!E21)</f>
        <v>0</v>
      </c>
      <c r="G6" s="17">
        <f>F6*(1+'DCF Model'!F21)</f>
        <v>0</v>
      </c>
    </row>
    <row r="7" spans="1:7">
      <c r="A7" s="4" t="s">
        <v>32</v>
      </c>
      <c r="B7" s="6">
        <f>'DCF Model'!B11</f>
        <v>0</v>
      </c>
      <c r="C7" s="17">
        <f>C6*'DCF Model'!B22</f>
        <v>0</v>
      </c>
      <c r="D7" s="17">
        <f>D6*'DCF Model'!C22</f>
        <v>0</v>
      </c>
      <c r="E7" s="17">
        <f>E6*'DCF Model'!D22</f>
        <v>0</v>
      </c>
      <c r="F7" s="17">
        <f>F6*'DCF Model'!E22</f>
        <v>0</v>
      </c>
      <c r="G7" s="17">
        <f>G6*'DCF Model'!F22</f>
        <v>0</v>
      </c>
    </row>
    <row r="8" spans="1:7">
      <c r="A8" s="4" t="s">
        <v>53</v>
      </c>
      <c r="B8" s="10" t="s">
        <v>34</v>
      </c>
      <c r="C8" s="11">
        <f>1/(1+'DCF Model'!B25)^1</f>
        <v>0</v>
      </c>
      <c r="D8" s="11">
        <f>1/(1+'DCF Model'!B25)^2</f>
        <v>0</v>
      </c>
      <c r="E8" s="11">
        <f>1/(1+'DCF Model'!B25)^3</f>
        <v>0</v>
      </c>
      <c r="F8" s="11">
        <f>1/(1+'DCF Model'!B25)^4</f>
        <v>0</v>
      </c>
      <c r="G8" s="11">
        <f>1/(1+'DCF Model'!B25)^5</f>
        <v>0</v>
      </c>
    </row>
    <row r="9" spans="1:7">
      <c r="A9" s="4" t="s">
        <v>35</v>
      </c>
      <c r="B9" s="10" t="s">
        <v>34</v>
      </c>
      <c r="C9" s="17">
        <f>C7*C8</f>
        <v>0</v>
      </c>
      <c r="D9" s="17">
        <f>D7*D8</f>
        <v>0</v>
      </c>
      <c r="E9" s="17">
        <f>E7*E8</f>
        <v>0</v>
      </c>
      <c r="F9" s="17">
        <f>F7*F8</f>
        <v>0</v>
      </c>
      <c r="G9" s="17">
        <f>G7*G8</f>
        <v>0</v>
      </c>
    </row>
    <row r="11" spans="1:7">
      <c r="A11" s="16" t="s">
        <v>54</v>
      </c>
      <c r="B11" s="16"/>
      <c r="C11" s="16"/>
      <c r="D11" s="16"/>
      <c r="E11" s="16"/>
      <c r="F11" s="16"/>
      <c r="G11" s="16"/>
    </row>
    <row r="12" spans="1:7">
      <c r="A12" s="4" t="s">
        <v>37</v>
      </c>
      <c r="B12" s="6">
        <f>SUM(C9:G9)</f>
        <v>0</v>
      </c>
    </row>
    <row r="13" spans="1:7">
      <c r="A13" s="4" t="s">
        <v>55</v>
      </c>
      <c r="B13" s="6">
        <f>G7*(1+'DCF Model'!C25)</f>
        <v>0</v>
      </c>
    </row>
    <row r="14" spans="1:7">
      <c r="A14" s="4" t="s">
        <v>39</v>
      </c>
      <c r="B14" s="6">
        <f>B13/('DCF Model'!B25-'DCF Model'!C25)</f>
        <v>0</v>
      </c>
    </row>
    <row r="15" spans="1:7">
      <c r="A15" s="4" t="s">
        <v>40</v>
      </c>
      <c r="B15" s="6">
        <f>B14*G8</f>
        <v>0</v>
      </c>
    </row>
    <row r="16" spans="1:7">
      <c r="A16" s="4" t="s">
        <v>41</v>
      </c>
      <c r="B16" s="6">
        <f>B12+B15</f>
        <v>0</v>
      </c>
    </row>
    <row r="17" spans="1:7">
      <c r="A17" s="4" t="s">
        <v>43</v>
      </c>
      <c r="B17" s="6">
        <f>B16-'DCF Model'!B10</f>
        <v>0</v>
      </c>
    </row>
    <row r="18" spans="1:7">
      <c r="A18" s="4" t="s">
        <v>56</v>
      </c>
      <c r="B18" s="15">
        <f>B17/'DCF Model'!B7</f>
        <v>0</v>
      </c>
    </row>
    <row r="19" spans="1:7">
      <c r="A19" s="4" t="s">
        <v>45</v>
      </c>
      <c r="B19" s="13">
        <f>(B18-'DCF Model'!B6)/'DCF Model'!B6</f>
        <v>0</v>
      </c>
    </row>
    <row r="20" spans="1:7">
      <c r="A20" s="4" t="s">
        <v>57</v>
      </c>
      <c r="B20" s="15">
        <f>(B14/'DCF Model'!B7)/(1+'DCF Model'!B15)^5</f>
        <v>0</v>
      </c>
    </row>
    <row r="22" spans="1:7">
      <c r="A22" s="18" t="s">
        <v>58</v>
      </c>
      <c r="B22" s="18"/>
      <c r="C22" s="18"/>
      <c r="D22" s="18"/>
      <c r="E22" s="18"/>
      <c r="F22" s="18"/>
      <c r="G22" s="18"/>
    </row>
    <row r="23" spans="1:7">
      <c r="A23" s="18" t="s">
        <v>52</v>
      </c>
      <c r="B23" s="18" t="s">
        <v>30</v>
      </c>
      <c r="C23" s="18" t="s">
        <v>16</v>
      </c>
      <c r="D23" s="18" t="s">
        <v>17</v>
      </c>
      <c r="E23" s="18" t="s">
        <v>18</v>
      </c>
      <c r="F23" s="18" t="s">
        <v>19</v>
      </c>
      <c r="G23" s="18" t="s">
        <v>20</v>
      </c>
    </row>
    <row r="24" spans="1:7">
      <c r="A24" s="4" t="s">
        <v>31</v>
      </c>
      <c r="B24" s="6">
        <f>'DCF Model'!B12</f>
        <v>0</v>
      </c>
      <c r="C24" s="19">
        <f>B24*(1+'DCF Model'!B23)</f>
        <v>0</v>
      </c>
      <c r="D24" s="19">
        <f>C24*(1+'DCF Model'!C23)</f>
        <v>0</v>
      </c>
      <c r="E24" s="19">
        <f>D24*(1+'DCF Model'!D23)</f>
        <v>0</v>
      </c>
      <c r="F24" s="19">
        <f>E24*(1+'DCF Model'!E23)</f>
        <v>0</v>
      </c>
      <c r="G24" s="19">
        <f>F24*(1+'DCF Model'!F23)</f>
        <v>0</v>
      </c>
    </row>
    <row r="25" spans="1:7">
      <c r="A25" s="4" t="s">
        <v>32</v>
      </c>
      <c r="B25" s="6">
        <f>'DCF Model'!B11</f>
        <v>0</v>
      </c>
      <c r="C25" s="19">
        <f>C24*'DCF Model'!B24</f>
        <v>0</v>
      </c>
      <c r="D25" s="19">
        <f>D24*'DCF Model'!C24</f>
        <v>0</v>
      </c>
      <c r="E25" s="19">
        <f>E24*'DCF Model'!D24</f>
        <v>0</v>
      </c>
      <c r="F25" s="19">
        <f>F24*'DCF Model'!E24</f>
        <v>0</v>
      </c>
      <c r="G25" s="19">
        <f>G24*'DCF Model'!F24</f>
        <v>0</v>
      </c>
    </row>
    <row r="26" spans="1:7">
      <c r="A26" s="4" t="s">
        <v>59</v>
      </c>
      <c r="B26" s="10" t="s">
        <v>34</v>
      </c>
      <c r="C26" s="11">
        <f>1/(1+'DCF Model'!B26)^1</f>
        <v>0</v>
      </c>
      <c r="D26" s="11">
        <f>1/(1+'DCF Model'!B26)^2</f>
        <v>0</v>
      </c>
      <c r="E26" s="11">
        <f>1/(1+'DCF Model'!B26)^3</f>
        <v>0</v>
      </c>
      <c r="F26" s="11">
        <f>1/(1+'DCF Model'!B26)^4</f>
        <v>0</v>
      </c>
      <c r="G26" s="11">
        <f>1/(1+'DCF Model'!B26)^5</f>
        <v>0</v>
      </c>
    </row>
    <row r="27" spans="1:7">
      <c r="A27" s="4" t="s">
        <v>35</v>
      </c>
      <c r="B27" s="10" t="s">
        <v>34</v>
      </c>
      <c r="C27" s="19">
        <f>C25*C26</f>
        <v>0</v>
      </c>
      <c r="D27" s="19">
        <f>D25*D26</f>
        <v>0</v>
      </c>
      <c r="E27" s="19">
        <f>E25*E26</f>
        <v>0</v>
      </c>
      <c r="F27" s="19">
        <f>F25*F26</f>
        <v>0</v>
      </c>
      <c r="G27" s="19">
        <f>G25*G26</f>
        <v>0</v>
      </c>
    </row>
    <row r="29" spans="1:7">
      <c r="A29" s="18" t="s">
        <v>60</v>
      </c>
      <c r="B29" s="18"/>
      <c r="C29" s="18"/>
      <c r="D29" s="18"/>
      <c r="E29" s="18"/>
      <c r="F29" s="18"/>
      <c r="G29" s="18"/>
    </row>
    <row r="30" spans="1:7">
      <c r="A30" s="4" t="s">
        <v>37</v>
      </c>
      <c r="B30" s="6">
        <f>SUM(C27:G27)</f>
        <v>0</v>
      </c>
    </row>
    <row r="31" spans="1:7">
      <c r="A31" s="4" t="s">
        <v>61</v>
      </c>
      <c r="B31" s="6">
        <f>G25*(1+'DCF Model'!C26)</f>
        <v>0</v>
      </c>
    </row>
    <row r="32" spans="1:7">
      <c r="A32" s="4" t="s">
        <v>39</v>
      </c>
      <c r="B32" s="6">
        <f>B31/('DCF Model'!B26-'DCF Model'!C26)</f>
        <v>0</v>
      </c>
    </row>
    <row r="33" spans="1:7">
      <c r="A33" s="4" t="s">
        <v>40</v>
      </c>
      <c r="B33" s="6">
        <f>B32*G26</f>
        <v>0</v>
      </c>
    </row>
    <row r="34" spans="1:7">
      <c r="A34" s="4" t="s">
        <v>41</v>
      </c>
      <c r="B34" s="6">
        <f>B30+B33</f>
        <v>0</v>
      </c>
    </row>
    <row r="35" spans="1:7">
      <c r="A35" s="4" t="s">
        <v>43</v>
      </c>
      <c r="B35" s="6">
        <f>B34-'DCF Model'!B10</f>
        <v>0</v>
      </c>
    </row>
    <row r="36" spans="1:7">
      <c r="A36" s="4" t="s">
        <v>62</v>
      </c>
      <c r="B36" s="20">
        <f>B35/'DCF Model'!B7</f>
        <v>0</v>
      </c>
    </row>
    <row r="37" spans="1:7">
      <c r="A37" s="4" t="s">
        <v>45</v>
      </c>
      <c r="B37" s="21">
        <f>(B36-'DCF Model'!B6)/'DCF Model'!B6</f>
        <v>0</v>
      </c>
    </row>
    <row r="38" spans="1:7">
      <c r="A38" s="4" t="s">
        <v>63</v>
      </c>
      <c r="B38" s="15">
        <f>(B32/'DCF Model'!B7)/(1+'DCF Model'!B15)^5</f>
        <v>0</v>
      </c>
    </row>
    <row r="40" spans="1:7">
      <c r="A40" s="3" t="s">
        <v>64</v>
      </c>
      <c r="B40" s="3"/>
      <c r="C40" s="3"/>
      <c r="D40" s="3"/>
      <c r="E40" s="3"/>
      <c r="F40" s="3"/>
      <c r="G40" s="3"/>
    </row>
    <row r="41" spans="1:7">
      <c r="A41" s="4" t="s">
        <v>65</v>
      </c>
      <c r="B41" s="7">
        <v>0.25</v>
      </c>
    </row>
    <row r="42" spans="1:7">
      <c r="A42" s="4" t="s">
        <v>66</v>
      </c>
      <c r="B42" s="7">
        <v>0.5</v>
      </c>
    </row>
    <row r="43" spans="1:7">
      <c r="A43" s="4" t="s">
        <v>67</v>
      </c>
      <c r="B43" s="7">
        <v>0.25</v>
      </c>
    </row>
    <row r="44" spans="1:7">
      <c r="A44" s="4" t="s">
        <v>68</v>
      </c>
      <c r="B44" s="22">
        <f>B18*B41+'DCF Model'!B43*B42+B36*B43</f>
        <v>0</v>
      </c>
    </row>
    <row r="45" spans="1:7">
      <c r="A45" s="4" t="s">
        <v>69</v>
      </c>
      <c r="B45" s="13">
        <f>(B44-'DCF Model'!B6)/'DCF Model'!B6</f>
        <v>0</v>
      </c>
    </row>
  </sheetData>
  <mergeCells count="6">
    <mergeCell ref="A1:G1"/>
    <mergeCell ref="A4:G4"/>
    <mergeCell ref="A11:G11"/>
    <mergeCell ref="A22:G22"/>
    <mergeCell ref="A29:G29"/>
    <mergeCell ref="A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>
      <c r="A1" s="1" t="s">
        <v>70</v>
      </c>
      <c r="B1" s="1"/>
      <c r="C1" s="1"/>
      <c r="D1" s="1"/>
      <c r="E1" s="1"/>
      <c r="F1" s="1"/>
    </row>
    <row r="2" spans="1:6">
      <c r="A2" s="2" t="s">
        <v>71</v>
      </c>
    </row>
    <row r="3" spans="1:6">
      <c r="A3" s="2" t="s">
        <v>72</v>
      </c>
    </row>
    <row r="5" spans="1:6">
      <c r="A5" s="23" t="s">
        <v>73</v>
      </c>
      <c r="B5" s="24">
        <v>0.025</v>
      </c>
      <c r="C5" s="24">
        <v>0.03</v>
      </c>
      <c r="D5" s="24">
        <v>0.035</v>
      </c>
      <c r="E5" s="24">
        <v>0.04</v>
      </c>
      <c r="F5" s="24">
        <v>0.045</v>
      </c>
    </row>
    <row r="6" spans="1:6">
      <c r="A6" s="24">
        <v>0.09</v>
      </c>
      <c r="B6" s="25">
        <v>1025.72</v>
      </c>
      <c r="C6" s="25">
        <v>1110.64</v>
      </c>
      <c r="D6" s="25">
        <v>1211.04</v>
      </c>
      <c r="E6" s="25">
        <v>1331.48</v>
      </c>
      <c r="F6" s="26">
        <v>1478.41</v>
      </c>
    </row>
    <row r="7" spans="1:6">
      <c r="A7" s="24">
        <v>0.1</v>
      </c>
      <c r="B7" s="25">
        <v>853.88</v>
      </c>
      <c r="C7" s="25">
        <v>914.71</v>
      </c>
      <c r="D7" s="25">
        <v>984.91</v>
      </c>
      <c r="E7" s="25">
        <v>1066.81</v>
      </c>
      <c r="F7" s="25">
        <v>1163.38</v>
      </c>
    </row>
    <row r="8" spans="1:6">
      <c r="A8" s="24">
        <v>0.11</v>
      </c>
      <c r="B8" s="25">
        <v>722.9400000000001</v>
      </c>
      <c r="C8" s="25">
        <v>768.27</v>
      </c>
      <c r="D8" s="25">
        <v>819.61</v>
      </c>
      <c r="E8" s="25">
        <v>878.3</v>
      </c>
      <c r="F8" s="25">
        <v>945.84</v>
      </c>
    </row>
    <row r="9" spans="1:6">
      <c r="A9" s="24">
        <v>0.12</v>
      </c>
      <c r="B9" s="25">
        <v>619.76</v>
      </c>
      <c r="C9" s="25">
        <v>654.54</v>
      </c>
      <c r="D9" s="25">
        <v>693.39</v>
      </c>
      <c r="E9" s="25">
        <v>737.1</v>
      </c>
      <c r="F9" s="25">
        <v>786.5</v>
      </c>
    </row>
    <row r="10" spans="1:6">
      <c r="A10" s="24">
        <v>0.13</v>
      </c>
      <c r="B10" s="25">
        <v>536.66</v>
      </c>
      <c r="C10" s="25">
        <v>564</v>
      </c>
      <c r="D10" s="25">
        <v>594.2</v>
      </c>
      <c r="E10" s="25">
        <v>627.77</v>
      </c>
      <c r="F10" s="25">
        <v>665.13</v>
      </c>
    </row>
    <row r="12" spans="1:6">
      <c r="A12" s="4" t="s">
        <v>74</v>
      </c>
    </row>
    <row r="13" spans="1:6">
      <c r="A13" s="2" t="s">
        <v>75</v>
      </c>
    </row>
    <row r="14" spans="1:6">
      <c r="A14" s="2" t="s">
        <v>76</v>
      </c>
    </row>
    <row r="15" spans="1:6">
      <c r="A15" s="2" t="s">
        <v>77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28.7109375" customWidth="1"/>
    <col min="2" max="5" width="16.7109375" customWidth="1"/>
  </cols>
  <sheetData>
    <row r="1" spans="1:4">
      <c r="A1" s="1" t="s">
        <v>78</v>
      </c>
      <c r="B1" s="1"/>
      <c r="C1" s="1"/>
      <c r="D1" s="1"/>
    </row>
    <row r="3" spans="1:4">
      <c r="A3" s="8" t="s">
        <v>79</v>
      </c>
      <c r="B3" s="8" t="s">
        <v>80</v>
      </c>
      <c r="C3" s="8" t="s">
        <v>81</v>
      </c>
      <c r="D3" s="8" t="s">
        <v>82</v>
      </c>
    </row>
    <row r="4" spans="1:4">
      <c r="A4" s="10" t="s">
        <v>83</v>
      </c>
      <c r="B4" s="27">
        <v>0.399</v>
      </c>
      <c r="C4" s="27">
        <v>0.383</v>
      </c>
      <c r="D4" s="10" t="s">
        <v>84</v>
      </c>
    </row>
    <row r="5" spans="1:4">
      <c r="A5" s="10" t="s">
        <v>85</v>
      </c>
      <c r="B5" s="27">
        <v>0.601</v>
      </c>
      <c r="C5" s="27">
        <v>0.416</v>
      </c>
      <c r="D5" s="10" t="s">
        <v>86</v>
      </c>
    </row>
    <row r="6" spans="1:4">
      <c r="A6" s="10" t="s">
        <v>87</v>
      </c>
      <c r="B6" s="27">
        <v>0.546</v>
      </c>
      <c r="C6" s="27">
        <v>0.482</v>
      </c>
      <c r="D6" s="10" t="s">
        <v>88</v>
      </c>
    </row>
    <row r="7" spans="1:4">
      <c r="A7" s="10" t="s">
        <v>89</v>
      </c>
      <c r="B7" s="10" t="s">
        <v>90</v>
      </c>
      <c r="C7" s="10" t="s">
        <v>90</v>
      </c>
      <c r="D7" s="10" t="s">
        <v>91</v>
      </c>
    </row>
    <row r="9" spans="1:4">
      <c r="A9" s="4" t="s">
        <v>92</v>
      </c>
      <c r="B9" s="10" t="s">
        <v>93</v>
      </c>
    </row>
    <row r="10" spans="1:4">
      <c r="A10" s="4" t="s">
        <v>94</v>
      </c>
      <c r="B10" s="27">
        <v>0.399</v>
      </c>
    </row>
    <row r="12" spans="1:4">
      <c r="A12" s="3" t="s">
        <v>95</v>
      </c>
      <c r="B12" s="3"/>
      <c r="C12" s="3"/>
      <c r="D12" s="3"/>
    </row>
    <row r="13" spans="1:4">
      <c r="A13" s="8" t="s">
        <v>96</v>
      </c>
      <c r="B13" s="8" t="s">
        <v>31</v>
      </c>
      <c r="C13" s="8" t="s">
        <v>97</v>
      </c>
      <c r="D13" s="8" t="s">
        <v>98</v>
      </c>
    </row>
    <row r="14" spans="1:4">
      <c r="A14" s="10" t="s">
        <v>99</v>
      </c>
      <c r="B14" s="6">
        <v>10545</v>
      </c>
      <c r="C14" s="10" t="s">
        <v>34</v>
      </c>
      <c r="D14" s="10" t="s">
        <v>34</v>
      </c>
    </row>
    <row r="15" spans="1:4">
      <c r="A15" s="10" t="s">
        <v>100</v>
      </c>
      <c r="B15" s="6">
        <v>15107</v>
      </c>
      <c r="C15" s="27">
        <v>0.4326220957799904</v>
      </c>
      <c r="D15" s="10" t="s">
        <v>34</v>
      </c>
    </row>
    <row r="16" spans="1:4">
      <c r="A16" s="10" t="s">
        <v>101</v>
      </c>
      <c r="B16" s="6">
        <v>20777</v>
      </c>
      <c r="C16" s="27">
        <v>0.3753226980869795</v>
      </c>
      <c r="D16" s="6">
        <v>1315</v>
      </c>
    </row>
    <row r="17" spans="1:4">
      <c r="A17" s="10" t="s">
        <v>102</v>
      </c>
      <c r="B17" s="6">
        <v>28893</v>
      </c>
      <c r="C17" s="27">
        <v>0.3906242479665014</v>
      </c>
      <c r="D17" s="6">
        <v>1327</v>
      </c>
    </row>
    <row r="18" spans="1:4">
      <c r="A18" s="10" t="s">
        <v>103</v>
      </c>
      <c r="B18" s="6">
        <v>8845</v>
      </c>
      <c r="C18" s="27">
        <v>0.4903117101937657</v>
      </c>
      <c r="D18" s="6">
        <v>271</v>
      </c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Bull &amp; Bear</vt:lpstr>
      <vt:lpstr>Sensitivity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2026-06-30T02:32:00Z</dcterms:created>
  <dcterms:modified xsi:type="dcterms:W3CDTF">2026-06-30T02:32:00Z</dcterms:modified>
</cp:coreProperties>
</file>