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" sheetId="4" r:id="rId4"/>
    <sheet name="Methodology" sheetId="5" r:id="rId5"/>
  </sheets>
  <calcPr calcId="124519" fullCalcOnLoad="1"/>
</workbook>
</file>

<file path=xl/sharedStrings.xml><?xml version="1.0" encoding="utf-8"?>
<sst xmlns="http://schemas.openxmlformats.org/spreadsheetml/2006/main" count="115" uniqueCount="93">
  <si>
    <t>MELI DCF Valuation Model</t>
  </si>
  <si>
    <t>Gray cells are INPUTS - adjust to see valuation change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</si>
  <si>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</si>
  <si>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</si>
  <si>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</si>
  <si>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</si>
  <si>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</si>
  <si>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</si>
  <si>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Base Year FCF (M)</t>
  </si>
  <si>
    <t>WACC</t>
  </si>
  <si>
    <t>Terminal Growth Rate</t>
  </si>
  <si>
    <t>FCF Margin (%)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</si>
  <si>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</si>
  <si>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</si>
  <si>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</si>
  <si>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</si>
  <si>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</si>
  <si>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</si>
  <si>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</si>
  <si>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</si>
  <si>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</si>
  <si>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 (M)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</si>
  <si>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</si>
  <si>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</si>
  <si>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</si>
  <si>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</si>
  <si>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</si>
  <si>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</si>
  <si>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</si>
  <si>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</si>
  <si>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</si>
  <si>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</si>
  <si>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</si>
  <si>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Upside/(Downside) %</t>
  </si>
  <si>
    <t>ENTRY PRICE (15% CAGR Target)</t>
  </si>
  <si>
    <t>Terminal Value per Share</t>
  </si>
  <si>
    <t>Entry Price (15% CAGR)</t>
  </si>
  <si>
    <t>Discount to Entry Price</t>
  </si>
  <si>
    <t>Scenario Analysis</t>
  </si>
  <si>
    <t>Compare Base, Bull, and Bear Cases</t>
  </si>
  <si>
    <t>Assumptions</t>
  </si>
  <si>
    <t>Base Case</t>
  </si>
  <si>
    <t>Bull Case</t>
  </si>
  <si>
    <t>Bear Case</t>
  </si>
  <si>
    <t>Terminal Growth</t>
  </si>
  <si>
    <t>FCF Margin</t>
  </si>
  <si>
    <t>Growth Rates</t>
  </si>
  <si>
    <t>Valuation Results</t>
  </si>
  <si>
    <t>Intrinsic Value/Share</t>
  </si>
  <si>
    <t>Upside/(Downside)</t>
  </si>
  <si>
    <t>Probability Weighted</t>
  </si>
  <si>
    <t>Scenario Probability</t>
  </si>
  <si>
    <t>Weighted Intrinsic Value</t>
  </si>
  <si>
    <t>Sensitivity Analysis</t>
  </si>
  <si>
    <t>Intrinsic Value by WACC &amp; Terminal Growth</t>
  </si>
  <si>
    <t>Base Case Scenario with varying discount rates</t>
  </si>
  <si>
    <t>WACC \ Term G</t>
  </si>
  <si>
    <t>Current Price:</t>
  </si>
  <si>
    <t>Base Case IV:</t>
  </si>
  <si>
    <t>Historical Growth Rates</t>
  </si>
  <si>
    <t>Source: MELI Financial Data FY2022-FY2024</t>
  </si>
  <si>
    <t>Metric</t>
  </si>
  <si>
    <t>2-Year CAGR</t>
  </si>
  <si>
    <t>Notes</t>
  </si>
  <si>
    <t>Revenue</t>
  </si>
  <si>
    <t>FY2022-FY2024</t>
  </si>
  <si>
    <t>EPS</t>
  </si>
  <si>
    <t>Equity</t>
  </si>
  <si>
    <t>Selected Growth Rate:</t>
  </si>
  <si>
    <t>revenue_2yr_cagr</t>
  </si>
  <si>
    <t>Notes:</t>
  </si>
  <si>
    <t>MELI is a hyper-growth company with exceptional 30%+ revenue growth for 27 consecutive quarters. Revenue 2yr CAGR 40.1%, EPS 98.0%, Equity 54.5%. All metrics show strong growth. Using revenue CAGR as most conservative/representative metric for projections, with gradual deceleration built into scenario assumptions.</t>
  </si>
  <si>
    <t>Current Financial Position</t>
  </si>
  <si>
    <t>FY2024 FCF (M)</t>
  </si>
  <si>
    <t>DCF Valuation Methodology</t>
  </si>
  <si>
    <t>Approach:</t>
  </si>
  <si>
    <t>FCF-based DCF valuation with three scenarios (Base/Bull/Bear). Uses FY2024 reported Adjusted FCF of $1,315M as starting point. Projects FCF growth based on revenue growth assumptions and FCF margin expectations (Revenue * FCF margin).</t>
  </si>
  <si>
    <t>Key Adjustments:</t>
  </si>
  <si>
    <t>• WACC of 11% (base) reflects high-growth EM company with FX exposure (95% revenue from LatAm), execution risk (managing 7+ growth initiatives), competitive intensity (Shopee, Amazon, Temu), and credit risk ($11B portfolio)</t>
  </si>
  <si>
    <t>• Terminal growth of 3.5% (base) above US GDP given LatAm e-commerce structural tailwinds (12.4% annual market growth; penetration can double from mid-teens)</t>
  </si>
  <si>
    <t>• FCF margin of 6.3% reflects FY2024 level ($1,315M / $20,777M); assumes modest improvement to 7.5% in bull case (scale benefits, operating leverage), compression to 4.5% in bear case (competition, credit provisions)</t>
  </si>
  <si>
    <t>• Net debt of $7,295M uses Q3 2025 balance sheet (Total Debt $9,877M - Cash $2,582M)</t>
  </si>
  <si>
    <t>• Growth rates assume gradual deceleration from current 40%+ revenue CAGR to terminal over 5 years; Base 25%→25%→18%→18%→12%, Bull 32%→32%→25%→25%→18%, Bear 15%→15%→10%→10%→6%</t>
  </si>
  <si>
    <t>Limitations:</t>
  </si>
  <si>
    <t>• Limited historical FCF data; FY2024 is first year of significant FCF generation ($1,315M); Q3 2025 LTM FCF lower (~$650M) due to credit portfolio investment ($1.7B)</t>
  </si>
  <si>
    <t>• High-growth company with limited margin visibility; FCF margins could vary significantly (FY2024 6.3% vs implied 2-3% in prior years)</t>
  </si>
  <si>
    <t>• Credit portfolio growth ($11.0B, +83% YoY) creates significant balance sheet volatility not fully captured in income statement FCF; credit losses could spike in recession</t>
  </si>
  <si>
    <t>• FX volatility creates P&amp;L noise; Argentina hyperinflation accounting affects reported results (Q3 FX losses $102M; translation impacts from peso, real depreciation)</t>
  </si>
  <si>
    <t>• Competitive landscape evolving rapidly; Shopee, Amazon, Temu dynamics uncertain; pricing pressure and market share battles could compress margins permanently</t>
  </si>
  <si>
    <t>• Multiple growth initiatives (marketplace, logistics, fintech, credit cards, advertising, loyalty) create execution complexity and forecasting uncertainty</t>
  </si>
  <si>
    <t>• Operating margin varied from 9.8% (Q3'25) to 18.2% (Q3'23); quarterly volatility makes trend extrapolation challenging</t>
  </si>
  <si>
    <t>Recommendation:</t>
  </si>
  <si>
    <t>Current valuation of $2,064 appears significantly ahead of intrinsic value across all scenarios. Base case ($542) shows 74% downside, bull case ($1,318) shows 36% downside, probability-weighted IV ($583) shows 72% downside. Even the most optimistic sensitivity case (WACC 9%, terminal growth 4.5%) yields only $2,113 IV, barely justifying current price with zero margin of safety.
The market is pricing in near-perfect execution of best-case scenarios: sustained 30%+ growth, significant margin expansion, flawless credit portfolio performance, and no competitive margin pressure. Entry price analysis suggests waiting for substantial pullback to $850 (bull entry) or ideally $430 (base entry) for adequate risk/reward.
That said, MELI has demonstrated exceptional execution (27 consecutive quarters 30%+ growth, transition to profitability, $1.3B FCF generation) and the LatAm e-commerce/fintech opportunity is genuinely massive (penetration can double, 100M+ buyer addressable market for fintech cross-sell, credit cards just launching). For high-conviction growth investors willing to pay premium valuations for quality execution and structural tailwinds, the bull case may justify patience at current levels IF all growth drivers materialize. However, risk/reward appears poor with minimal margin of safety.
RECOMMENDED ACTION: WATCH. Company is exceptional with multiple powerful growth vectors, but current valuation fully prices in optimistic scenarios with no room for disappointment. Seek entry opportunities on market corrections (target $800-1,000 range) or wait for evidence that company can sustain 30%+ growth with margin expansion that validates current market expectations. Existing shareholders may consider trimming positions and redeploying on weakness.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</si>
</sst>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5" fontId="0" fillId="0" borderId="2" xfId="0" applyNumberFormat="1" applyBorder="1"/>
    <xf numFmtId="166" fontId="0" fillId="0" borderId="2" xfId="0" applyNumberFormat="1" applyBorder="1"/>
    <xf numFmtId="165" fontId="4" fillId="3" borderId="2" xfId="0" applyNumberFormat="1" applyFont="1" applyFill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0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t="s">
        <v>3</v>
      </c>
      <c r="B5" s="4">
        <v>2064</v>
      </c>
    </row>
    <row r="6" spans="1:6">
      <c r="A6" t="s">
        <v>4</v>
      </c>
      <c r="B6" s="4">
        <v>50.697</v>
      </c>
    </row>
    <row r="7" spans="1:6">
      <c r="A7" t="s">
        <v>5</v>
      </c>
      <c r="B7" s="4">
        <v>2582</v>
      </c>
    </row>
    <row r="8" spans="1:6">
      <c r="A8" t="s">
        <v>6</v>
      </c>
      <c r="B8" s="4">
        <v>9877</v>
      </c>
    </row>
    <row r="9" spans="1:6">
      <c r="A9" t="s">
        <v>7</v>
      </c>
      <c r="B9" s="5">
        <f>B8-B7</f>
        <v>0</v>
      </c>
    </row>
    <row r="10" spans="1:6">
      <c r="A10" t="s">
        <v>8</v>
      </c>
      <c r="B10" s="4">
        <v>1315</v>
      </c>
    </row>
    <row r="12" spans="1:6">
      <c r="A12" t="s">
        <v>9</v>
      </c>
      <c r="B12" s="6">
        <v>0.11</v>
      </c>
    </row>
    <row r="13" spans="1:6">
      <c r="A13" t="s">
        <v>10</v>
      </c>
      <c r="B13" s="6">
        <v>0.035</v>
      </c>
    </row>
    <row r="14" spans="1:6">
      <c r="A14" t="s">
        <v>11</v>
      </c>
      <c r="B14" s="6">
        <v>0.063</v>
      </c>
    </row>
    <row r="16" spans="1:6">
      <c r="A16" s="3" t="s">
        <v>12</v>
      </c>
      <c r="B16" s="7" t="s">
        <v>14</v>
      </c>
      <c r="C16" s="7" t="s">
        <v>15</v>
      </c>
      <c r="D16" s="7" t="s">
        <v>16</v>
      </c>
      <c r="E16" s="7" t="s">
        <v>17</v>
      </c>
      <c r="F16" s="7" t="s">
        <v>18</v>
      </c>
    </row>
    <row r="17" spans="1:7">
      <c r="A17" t="s">
        <v>13</v>
      </c>
      <c r="B17" s="6">
        <v>0.25</v>
      </c>
      <c r="C17" s="6">
        <v>0.25</v>
      </c>
      <c r="D17" s="6">
        <v>0.18</v>
      </c>
      <c r="E17" s="6">
        <v>0.18</v>
      </c>
      <c r="F17" s="6">
        <v>0.12</v>
      </c>
    </row>
    <row r="19" spans="1:7">
      <c r="A19" s="3" t="s">
        <v>19</v>
      </c>
    </row>
    <row r="20" spans="1:7">
      <c r="A20" s="7"/>
      <c r="B20" s="7" t="s">
        <v>20</v>
      </c>
      <c r="C20" s="7" t="s">
        <v>14</v>
      </c>
      <c r="D20" s="7" t="s">
        <v>15</v>
      </c>
      <c r="E20" s="7" t="s">
        <v>16</v>
      </c>
      <c r="F20" s="7" t="s">
        <v>17</v>
      </c>
      <c r="G20" s="7" t="s">
        <v>18</v>
      </c>
    </row>
    <row r="21" spans="1:7">
      <c r="A21" t="s">
        <v>21</v>
      </c>
      <c r="B21" s="5">
        <f>B10</f>
        <v>0</v>
      </c>
      <c r="C21" s="5">
        <f>B21*(1+B17)</f>
        <v>0</v>
      </c>
      <c r="D21" s="5">
        <f>C21*(1+C17)</f>
        <v>0</v>
      </c>
      <c r="E21" s="5">
        <f>D21*(1+D17)</f>
        <v>0</v>
      </c>
      <c r="F21" s="5">
        <f>E21*(1+E17)</f>
        <v>0</v>
      </c>
      <c r="G21" s="5">
        <f>F21*(1+F17)</f>
        <v>0</v>
      </c>
    </row>
    <row r="22" spans="1:7">
      <c r="A22" t="s">
        <v>22</v>
      </c>
      <c r="C22" s="5">
        <f>1/(1+$B$12)^1</f>
        <v>0</v>
      </c>
      <c r="D22" s="5">
        <f>1/(1+$B$12)^2</f>
        <v>0</v>
      </c>
      <c r="E22" s="5">
        <f>1/(1+$B$12)^3</f>
        <v>0</v>
      </c>
      <c r="F22" s="5">
        <f>1/(1+$B$12)^4</f>
        <v>0</v>
      </c>
      <c r="G22" s="5">
        <f>1/(1+$B$12)^5</f>
        <v>0</v>
      </c>
    </row>
    <row r="23" spans="1:7">
      <c r="A23" t="s">
        <v>23</v>
      </c>
      <c r="C23" s="5">
        <f>C21*C22</f>
        <v>0</v>
      </c>
      <c r="D23" s="5">
        <f>D21*D22</f>
        <v>0</v>
      </c>
      <c r="E23" s="5">
        <f>E21*E22</f>
        <v>0</v>
      </c>
      <c r="F23" s="5">
        <f>F21*F22</f>
        <v>0</v>
      </c>
      <c r="G23" s="5">
        <f>G21*G22</f>
        <v>0</v>
      </c>
    </row>
    <row r="25" spans="1:7">
      <c r="A25" s="3" t="s">
        <v>24</v>
      </c>
    </row>
    <row r="26" spans="1:7">
      <c r="A26" t="s">
        <v>25</v>
      </c>
      <c r="B26" s="5">
        <f>SUM(C23:G23)</f>
        <v>0</v>
      </c>
    </row>
    <row r="27" spans="1:7">
      <c r="A27" t="s">
        <v>26</v>
      </c>
      <c r="B27" s="5">
        <f>G21*(1+$B$13)</f>
        <v>0</v>
      </c>
    </row>
    <row r="28" spans="1:7">
      <c r="A28" t="s">
        <v>27</v>
      </c>
      <c r="B28" s="5">
        <f>B27/($B$12-$B$13)</f>
        <v>0</v>
      </c>
    </row>
    <row r="29" spans="1:7">
      <c r="A29" t="s">
        <v>28</v>
      </c>
      <c r="B29" s="5">
        <f>B28*G22</f>
        <v>0</v>
      </c>
    </row>
    <row r="30" spans="1:7">
      <c r="A30" t="s">
        <v>29</v>
      </c>
      <c r="B30" s="5">
        <f>B26+B29</f>
        <v>0</v>
      </c>
    </row>
    <row r="31" spans="1:7">
      <c r="A31" t="s">
        <v>30</v>
      </c>
      <c r="B31" s="5">
        <f>B9</f>
        <v>0</v>
      </c>
    </row>
    <row r="32" spans="1:7">
      <c r="A32" t="s">
        <v>31</v>
      </c>
      <c r="B32" s="5">
        <f>B30-B31</f>
        <v>0</v>
      </c>
    </row>
    <row r="33" spans="1:2">
      <c r="A33" s="8" t="s">
        <v>32</v>
      </c>
      <c r="B33" s="9">
        <f>B32/B6</f>
        <v>0</v>
      </c>
    </row>
    <row r="35" spans="1:2">
      <c r="A35" t="s">
        <v>33</v>
      </c>
      <c r="B35" s="10">
        <f>(B33-B5)/B5</f>
        <v>0</v>
      </c>
    </row>
    <row r="37" spans="1:2">
      <c r="A37" s="3" t="s">
        <v>34</v>
      </c>
    </row>
    <row r="38" spans="1:2">
      <c r="A38" t="s">
        <v>35</v>
      </c>
      <c r="B38" s="11">
        <f>B28/B6</f>
        <v>0</v>
      </c>
    </row>
    <row r="39" spans="1:2">
      <c r="A39" t="s">
        <v>36</v>
      </c>
      <c r="B39" s="9">
        <f>B38/(1.15^5)</f>
        <v>0</v>
      </c>
    </row>
    <row r="41" spans="1:2">
      <c r="A41" t="s">
        <v>37</v>
      </c>
      <c r="B41" s="10">
        <f>(B5-B39)/B5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7"/>
  <sheetViews>
    <sheetView workbookViewId="0"/>
  </sheetViews>
  <sheetFormatPr defaultRowHeight="15"/>
  <cols>
    <col min="1" max="1" width="25.7109375" customWidth="1"/>
    <col min="2" max="4" width="16.7109375" customWidth="1"/>
  </cols>
  <sheetData>
    <row r="1" spans="1:4">
      <c r="A1" s="1" t="s">
        <v>38</v>
      </c>
    </row>
    <row r="2" spans="1:4">
      <c r="A2" t="s">
        <v>39</v>
      </c>
    </row>
    <row r="4" spans="1:4">
      <c r="A4" s="3" t="s">
        <v>40</v>
      </c>
    </row>
    <row r="5" spans="1:4">
      <c r="A5" s="7"/>
      <c r="B5" s="7" t="s">
        <v>41</v>
      </c>
      <c r="C5" s="7" t="s">
        <v>42</v>
      </c>
      <c r="D5" s="7" t="s">
        <v>43</v>
      </c>
    </row>
    <row r="7" spans="1:4">
      <c r="A7" t="s">
        <v>9</v>
      </c>
      <c r="B7" s="10">
        <v>0.11</v>
      </c>
      <c r="C7" s="10">
        <v>0.1</v>
      </c>
      <c r="D7" s="10">
        <v>0.125</v>
      </c>
    </row>
    <row r="8" spans="1:4">
      <c r="A8" t="s">
        <v>44</v>
      </c>
      <c r="B8" s="10">
        <v>0.035</v>
      </c>
      <c r="C8" s="10">
        <v>0.04</v>
      </c>
      <c r="D8" s="10">
        <v>0.025</v>
      </c>
    </row>
    <row r="9" spans="1:4">
      <c r="A9" t="s">
        <v>45</v>
      </c>
      <c r="B9" s="10">
        <v>0.063</v>
      </c>
      <c r="C9" s="10">
        <v>0.075</v>
      </c>
      <c r="D9" s="10">
        <v>0.045</v>
      </c>
    </row>
    <row r="10" spans="1:4">
      <c r="A10" s="3" t="s">
        <v>46</v>
      </c>
    </row>
    <row r="11" spans="1:4">
      <c r="A11" t="s">
        <v>14</v>
      </c>
      <c r="B11" s="10">
        <v>0.25</v>
      </c>
      <c r="C11" s="10">
        <v>0.32</v>
      </c>
      <c r="D11" s="10">
        <v>0.15</v>
      </c>
    </row>
    <row r="12" spans="1:4">
      <c r="A12" t="s">
        <v>15</v>
      </c>
      <c r="B12" s="10">
        <v>0.25</v>
      </c>
      <c r="C12" s="10">
        <v>0.32</v>
      </c>
      <c r="D12" s="10">
        <v>0.15</v>
      </c>
    </row>
    <row r="13" spans="1:4">
      <c r="A13" t="s">
        <v>16</v>
      </c>
      <c r="B13" s="10">
        <v>0.18</v>
      </c>
      <c r="C13" s="10">
        <v>0.25</v>
      </c>
      <c r="D13" s="10">
        <v>0.1</v>
      </c>
    </row>
    <row r="14" spans="1:4">
      <c r="A14" t="s">
        <v>17</v>
      </c>
      <c r="B14" s="10">
        <v>0.18</v>
      </c>
      <c r="C14" s="10">
        <v>0.25</v>
      </c>
      <c r="D14" s="10">
        <v>0.1</v>
      </c>
    </row>
    <row r="15" spans="1:4">
      <c r="A15" t="s">
        <v>18</v>
      </c>
      <c r="B15" s="10">
        <v>0.12</v>
      </c>
      <c r="C15" s="10">
        <v>0.18</v>
      </c>
      <c r="D15" s="10">
        <v>0.06</v>
      </c>
    </row>
    <row r="17" spans="1:4">
      <c r="A17" s="3" t="s">
        <v>47</v>
      </c>
    </row>
    <row r="18" spans="1:4">
      <c r="A18" s="7"/>
      <c r="B18" s="7" t="s">
        <v>41</v>
      </c>
      <c r="C18" s="7" t="s">
        <v>42</v>
      </c>
      <c r="D18" s="7" t="s">
        <v>43</v>
      </c>
    </row>
    <row r="20" spans="1:4">
      <c r="A20" t="s">
        <v>48</v>
      </c>
      <c r="B20" s="11">
        <v>542.05</v>
      </c>
      <c r="C20" s="11">
        <v>1318.05</v>
      </c>
      <c r="D20" s="11">
        <v>163.88</v>
      </c>
    </row>
    <row r="21" spans="1:4">
      <c r="A21" t="s">
        <v>49</v>
      </c>
      <c r="B21" s="10">
        <v>-0.737</v>
      </c>
      <c r="C21" s="10">
        <v>-0.361</v>
      </c>
      <c r="D21" s="10">
        <v>-0.9209999999999999</v>
      </c>
    </row>
    <row r="22" spans="1:4">
      <c r="A22" t="s">
        <v>36</v>
      </c>
      <c r="B22" s="11">
        <v>431.81</v>
      </c>
      <c r="C22" s="11">
        <v>851.38</v>
      </c>
      <c r="D22" s="11">
        <v>159.59</v>
      </c>
    </row>
    <row r="24" spans="1:4">
      <c r="A24" s="3" t="s">
        <v>50</v>
      </c>
    </row>
    <row r="25" spans="1:4">
      <c r="A25" t="s">
        <v>51</v>
      </c>
      <c r="B25" s="10">
        <v>0.5</v>
      </c>
      <c r="C25" s="10">
        <v>0.2</v>
      </c>
      <c r="D25" s="10">
        <v>0.3</v>
      </c>
    </row>
    <row r="27" spans="1:4">
      <c r="A27" s="8" t="s">
        <v>52</v>
      </c>
      <c r="B27" s="9">
        <f>(B19*B25)+(C19*C25)+(D19*D25)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53</v>
      </c>
    </row>
    <row r="2" spans="1:6">
      <c r="A2" s="2" t="s">
        <v>54</v>
      </c>
    </row>
    <row r="3" spans="1:6">
      <c r="A3" s="2" t="s">
        <v>55</v>
      </c>
    </row>
    <row r="5" spans="1:6">
      <c r="A5" s="7" t="s">
        <v>56</v>
      </c>
      <c r="B5" s="12">
        <v>0.025</v>
      </c>
      <c r="C5" s="12">
        <v>0.03</v>
      </c>
      <c r="D5" s="12">
        <v>0.035</v>
      </c>
      <c r="E5" s="12">
        <v>0.04</v>
      </c>
      <c r="F5" s="12">
        <v>0.045</v>
      </c>
    </row>
    <row r="6" spans="1:6">
      <c r="A6" s="12">
        <v>0.09</v>
      </c>
      <c r="B6" s="11">
        <v>829.15</v>
      </c>
      <c r="C6" s="11">
        <v>968.84</v>
      </c>
      <c r="D6" s="11">
        <v>1175.43</v>
      </c>
      <c r="E6" s="11">
        <v>1504.97</v>
      </c>
      <c r="F6" s="11">
        <v>2113.08</v>
      </c>
    </row>
    <row r="7" spans="1:6">
      <c r="A7" s="12">
        <v>0.1</v>
      </c>
      <c r="B7" s="11">
        <v>688.34</v>
      </c>
      <c r="C7" s="11">
        <v>782.64</v>
      </c>
      <c r="D7" s="11">
        <v>907.59</v>
      </c>
      <c r="E7" s="11">
        <v>1087.41</v>
      </c>
      <c r="F7" s="11">
        <v>1373.24</v>
      </c>
    </row>
    <row r="8" spans="1:6">
      <c r="A8" s="12">
        <v>0.11</v>
      </c>
      <c r="B8" s="11">
        <v>589.01</v>
      </c>
      <c r="C8" s="11">
        <v>657.4299999999999</v>
      </c>
      <c r="D8" s="11">
        <v>744.54</v>
      </c>
      <c r="E8" s="11">
        <v>860.3099999999999</v>
      </c>
      <c r="F8" s="11">
        <v>1025</v>
      </c>
    </row>
    <row r="9" spans="1:6">
      <c r="A9" s="12">
        <v>0.12</v>
      </c>
      <c r="B9" s="11">
        <v>515.58</v>
      </c>
      <c r="C9" s="11">
        <v>568.08</v>
      </c>
      <c r="D9" s="11">
        <v>633</v>
      </c>
      <c r="E9" s="11">
        <v>716.24</v>
      </c>
      <c r="F9" s="11">
        <v>827.0599999999999</v>
      </c>
    </row>
    <row r="10" spans="1:6">
      <c r="A10" s="12">
        <v>0.13</v>
      </c>
      <c r="B10" s="11">
        <v>458.61</v>
      </c>
      <c r="C10" s="11">
        <v>499.75</v>
      </c>
      <c r="D10" s="11">
        <v>549.84</v>
      </c>
      <c r="E10" s="11">
        <v>612.49</v>
      </c>
      <c r="F10" s="11">
        <v>693.99</v>
      </c>
    </row>
    <row r="12" spans="1:6">
      <c r="A12" s="8" t="s">
        <v>57</v>
      </c>
      <c r="B12" s="11">
        <v>2064</v>
      </c>
    </row>
    <row r="13" spans="1:6">
      <c r="A13" s="8" t="s">
        <v>58</v>
      </c>
      <c r="B13" s="11">
        <v>542.05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3">
      <c r="A1" s="1" t="s">
        <v>59</v>
      </c>
    </row>
    <row r="2" spans="1:3">
      <c r="A2" s="2" t="s">
        <v>60</v>
      </c>
    </row>
    <row r="4" spans="1:3">
      <c r="A4" s="7" t="s">
        <v>61</v>
      </c>
      <c r="B4" s="7" t="s">
        <v>62</v>
      </c>
      <c r="C4" s="7" t="s">
        <v>63</v>
      </c>
    </row>
    <row r="5" spans="1:3">
      <c r="A5" t="s">
        <v>64</v>
      </c>
      <c r="B5" s="10">
        <v>0.401</v>
      </c>
      <c r="C5" t="s">
        <v>65</v>
      </c>
    </row>
    <row r="6" spans="1:3">
      <c r="A6" t="s">
        <v>66</v>
      </c>
      <c r="B6" s="10">
        <v>0.98</v>
      </c>
      <c r="C6" t="s">
        <v>65</v>
      </c>
    </row>
    <row r="7" spans="1:3">
      <c r="A7" t="s">
        <v>67</v>
      </c>
      <c r="B7" s="10">
        <v>0.545</v>
      </c>
      <c r="C7" t="s">
        <v>65</v>
      </c>
    </row>
    <row r="9" spans="1:3">
      <c r="A9" s="8" t="s">
        <v>68</v>
      </c>
      <c r="B9" s="10">
        <v>0.401</v>
      </c>
      <c r="C9" t="s">
        <v>69</v>
      </c>
    </row>
    <row r="11" spans="1:3">
      <c r="A11" s="8" t="s">
        <v>70</v>
      </c>
    </row>
    <row r="12" spans="1:3" ht="60" customHeight="1">
      <c r="A12" s="13" t="s">
        <v>71</v>
      </c>
    </row>
    <row r="15" spans="1:3">
      <c r="A15" s="3" t="s">
        <v>72</v>
      </c>
    </row>
    <row r="16" spans="1:3">
      <c r="A16" t="s">
        <v>4</v>
      </c>
      <c r="B16" s="5">
        <v>50.697</v>
      </c>
    </row>
    <row r="17" spans="1:2">
      <c r="A17" t="s">
        <v>5</v>
      </c>
      <c r="B17" s="5">
        <v>2582</v>
      </c>
    </row>
    <row r="18" spans="1:2">
      <c r="A18" t="s">
        <v>6</v>
      </c>
      <c r="B18" s="5">
        <v>9877</v>
      </c>
    </row>
    <row r="19" spans="1:2">
      <c r="A19" t="s">
        <v>7</v>
      </c>
      <c r="B19" s="5">
        <v>7295</v>
      </c>
    </row>
    <row r="20" spans="1:2">
      <c r="A20" t="s">
        <v>73</v>
      </c>
      <c r="B20" s="5">
        <v>1315</v>
      </c>
    </row>
    <row r="21" spans="1:2">
      <c r="A21" t="s">
        <v>45</v>
      </c>
      <c r="B21" s="10">
        <v>0.063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4"/>
  <sheetViews>
    <sheetView workbookViewId="0"/>
  </sheetViews>
  <sheetFormatPr defaultRowHeight="15"/>
  <cols>
    <col min="1" max="1" width="100.7109375" customWidth="1"/>
  </cols>
  <sheetData>
    <row r="1" spans="1:1">
      <c r="A1" s="1" t="s">
        <v>74</v>
      </c>
    </row>
    <row r="3" spans="1:1">
      <c r="A3" s="8" t="s">
        <v>75</v>
      </c>
    </row>
    <row r="4" spans="1:1" ht="40" customHeight="1">
      <c r="A4" s="13" t="s">
        <v>76</v>
      </c>
    </row>
    <row r="6" spans="1:1">
      <c r="A6" s="8" t="s">
        <v>77</v>
      </c>
    </row>
    <row r="8" spans="1:1" ht="30" customHeight="1">
      <c r="A8" s="13" t="s">
        <v>78</v>
      </c>
    </row>
    <row r="9" spans="1:1" ht="30" customHeight="1">
      <c r="A9" s="13" t="s">
        <v>79</v>
      </c>
    </row>
    <row r="10" spans="1:1" ht="30" customHeight="1">
      <c r="A10" s="13" t="s">
        <v>80</v>
      </c>
    </row>
    <row r="11" spans="1:1" ht="30" customHeight="1">
      <c r="A11" s="13" t="s">
        <v>81</v>
      </c>
    </row>
    <row r="12" spans="1:1" ht="30" customHeight="1">
      <c r="A12" s="13" t="s">
        <v>82</v>
      </c>
    </row>
    <row r="14" spans="1:1">
      <c r="A14" s="8" t="s">
        <v>83</v>
      </c>
    </row>
    <row r="16" spans="1:1" ht="30" customHeight="1">
      <c r="A16" s="13" t="s">
        <v>84</v>
      </c>
    </row>
    <row r="17" spans="1:1" ht="30" customHeight="1">
      <c r="A17" s="13" t="s">
        <v>85</v>
      </c>
    </row>
    <row r="18" spans="1:1" ht="30" customHeight="1">
      <c r="A18" s="13" t="s">
        <v>86</v>
      </c>
    </row>
    <row r="19" spans="1:1" ht="30" customHeight="1">
      <c r="A19" s="13" t="s">
        <v>87</v>
      </c>
    </row>
    <row r="20" spans="1:1" ht="30" customHeight="1">
      <c r="A20" s="13" t="s">
        <v>88</v>
      </c>
    </row>
    <row r="21" spans="1:1" ht="30" customHeight="1">
      <c r="A21" s="13" t="s">
        <v>89</v>
      </c>
    </row>
    <row r="22" spans="1:1" ht="30" customHeight="1">
      <c r="A22" s="13" t="s">
        <v>90</v>
      </c>
    </row>
    <row r="23" spans="1:1">
      <c r="A23" s="8" t="s">
        <v>91</v>
      </c>
    </row>
    <row r="24" spans="1:1" ht="200" customHeight="1">
      <c r="A24" s="13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Scenarios</vt:lpstr>
      <vt:lpstr>Sensitivity</vt:lpstr>
      <vt:lpstr>Historical</vt:lpstr>
      <vt:lpstr>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2026-01-22T20:15:07Z</dcterms:created>
  <dcterms:modified xsi:type="dcterms:W3CDTF">2026-01-22T20:15:07Z</dcterms:modified>
</cp:coreProperties>
</file>