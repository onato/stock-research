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Historical" sheetId="2" state="visible" r:id="rId4"/>
    <sheet name="DCF Model" sheetId="3" state="visible" r:id="rId5"/>
    <sheet name="Sensitivity" sheetId="4" state="visible" r:id="rId6"/>
    <sheet name="Summary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<sst xmlns="http://schemas.openxmlformats.org/spreadsheetml/2006/main" count="273" uniqueCount="243">
  <si>
    <t xml:space="preserve">WISE PLC (WISE.L) - DCF VALUATION MODEL</t>
  </si>
  <si>
    <t xml:space="preserve">Currency: GBP (£ millions unless otherwise stated)</t>
  </si>
  <si>
    <t xml:space="preserve">Model Date: February 2026 (Revised with FY25 actuals)</t>
  </si>
  <si>
    <t xml:space="preserve">COMPANY OVERVIEW</t>
  </si>
  <si>
    <t xml:space="preserve">Company</t>
  </si>
  <si>
    <t xml:space="preserve">Wise plc</t>
  </si>
  <si>
    <t xml:space="preserve">Ticker</t>
  </si>
  <si>
    <t xml:space="preserve">WISE.L (LSE)</t>
  </si>
  <si>
    <t xml:space="preserve">Sector</t>
  </si>
  <si>
    <t xml:space="preserve">Fintech / Payments</t>
  </si>
  <si>
    <t xml:space="preserve">FY End</t>
  </si>
  <si>
    <t xml:space="preserve">March 31</t>
  </si>
  <si>
    <t xml:space="preserve">KEY DCF ASSUMPTIONS</t>
  </si>
  <si>
    <t xml:space="preserve">Risk-Free Rate</t>
  </si>
  <si>
    <t xml:space="preserve">UK 10Y Gilt yield</t>
  </si>
  <si>
    <t xml:space="preserve">Equity Risk Premium</t>
  </si>
  <si>
    <t xml:space="preserve">Market consensus</t>
  </si>
  <si>
    <t xml:space="preserve">Beta (Levered)</t>
  </si>
  <si>
    <t xml:space="preserve">Source: Alpha Spread</t>
  </si>
  <si>
    <t xml:space="preserve">Cost of Equity</t>
  </si>
  <si>
    <t xml:space="preserve">Cost of Debt (Pre-tax)</t>
  </si>
  <si>
    <t xml:space="preserve">Interest expense / Avg debt</t>
  </si>
  <si>
    <t xml:space="preserve">Tax Rate</t>
  </si>
  <si>
    <t xml:space="preserve">UK effective rate</t>
  </si>
  <si>
    <t xml:space="preserve">Cost of Debt (After-tax)</t>
  </si>
  <si>
    <t xml:space="preserve">Debt / Total Capital</t>
  </si>
  <si>
    <t xml:space="preserve">Based on market values</t>
  </si>
  <si>
    <t xml:space="preserve">Equity / Total Capital</t>
  </si>
  <si>
    <t xml:space="preserve">WACC</t>
  </si>
  <si>
    <t xml:space="preserve">GROWTH ASSUMPTIONS</t>
  </si>
  <si>
    <t xml:space="preserve">Revenue Growth FY26</t>
  </si>
  <si>
    <t xml:space="preserve">Revised up: mgmt guides 15-20% underlying income growth</t>
  </si>
  <si>
    <t xml:space="preserve">Revenue Growth FY27</t>
  </si>
  <si>
    <t xml:space="preserve">Platform partnerships accelerating (Morgan Stanley, Nubank)</t>
  </si>
  <si>
    <t xml:space="preserve">Revenue Growth FY28</t>
  </si>
  <si>
    <t xml:space="preserve">Customer growth +21% YoY, holdings +33%</t>
  </si>
  <si>
    <t xml:space="preserve">Revenue Growth FY29</t>
  </si>
  <si>
    <t xml:space="preserve">Gradual deceleration as base grows</t>
  </si>
  <si>
    <t xml:space="preserve">Revenue Growth FY30</t>
  </si>
  <si>
    <t xml:space="preserve">Mature but still above-market growth</t>
  </si>
  <si>
    <t xml:space="preserve">Terminal Growth Rate</t>
  </si>
  <si>
    <t xml:space="preserve">Long-term GDP growth</t>
  </si>
  <si>
    <t xml:space="preserve">MARGIN ASSUMPTIONS</t>
  </si>
  <si>
    <t xml:space="preserve">EBIT Margin FY25 (Base)</t>
  </si>
  <si>
    <t xml:space="preserve">Actual FY25</t>
  </si>
  <si>
    <t xml:space="preserve">Target EBIT Margin</t>
  </si>
  <si>
    <t xml:space="preserve">Long-term normalization</t>
  </si>
  <si>
    <t xml:space="preserve">D&amp;A % of Revenue</t>
  </si>
  <si>
    <t xml:space="preserve">Based on FY25</t>
  </si>
  <si>
    <t xml:space="preserve">CapEx % of Revenue</t>
  </si>
  <si>
    <t xml:space="preserve">Historical average</t>
  </si>
  <si>
    <t xml:space="preserve">NWC % of Revenue Change</t>
  </si>
  <si>
    <t xml:space="preserve">Estimated</t>
  </si>
  <si>
    <t xml:space="preserve">VALUATION INPUTS</t>
  </si>
  <si>
    <t xml:space="preserve">Shares Outstanding (m)</t>
  </si>
  <si>
    <t xml:space="preserve">Net Cash (Debt) £m</t>
  </si>
  <si>
    <t xml:space="preserve">Net cash position FY25</t>
  </si>
  <si>
    <t xml:space="preserve">Current Share Price (GBX)</t>
  </si>
  <si>
    <t xml:space="preserve">EXIT MULTIPLE ASSUMPTIONS</t>
  </si>
  <si>
    <t xml:space="preserve">Exit EV/Revenue Multiple</t>
  </si>
  <si>
    <t xml:space="preserve">Revised up: US dual listing premium, investment grade rating</t>
  </si>
  <si>
    <t xml:space="preserve">Exit EV/EBITDA Multiple</t>
  </si>
  <si>
    <t xml:space="preserve">Alternative approach</t>
  </si>
  <si>
    <t xml:space="preserve">Current EV/Revenue (FY25)</t>
  </si>
  <si>
    <t xml:space="preserve">Current EV/EBIT (FY25)</t>
  </si>
  <si>
    <t xml:space="preserve">REVISION NOTES (Feb 2026)</t>
  </si>
  <si>
    <t xml:space="preserve">1. Revenue growth rates increased to reflect FY25 performance and mgmt guidance</t>
  </si>
  <si>
    <t xml:space="preserve">2. US dual listing announced - supports higher exit multiple</t>
  </si>
  <si>
    <t xml:space="preserve">3. Investment grade BBB rating from S&amp;P and Fitch</t>
  </si>
  <si>
    <t xml:space="preserve">4. Major bank partnerships: Morgan Stanley, Standard Chartered, Nubank</t>
  </si>
  <si>
    <t xml:space="preserve">5. Customer holdings +33% to £21.5bn, Assets +52% to £4.5bn</t>
  </si>
  <si>
    <t xml:space="preserve">6. Near-term margin pressure from £2bn investment plan (FY26-27)</t>
  </si>
  <si>
    <t xml:space="preserve">7. Take rate cut to 53bps (from 67bps) - flywheel still operating</t>
  </si>
  <si>
    <t xml:space="preserve">WISE PLC - HISTORICAL FINANCIALS</t>
  </si>
  <si>
    <t xml:space="preserve">Source: Company filings, Yahoo Finance</t>
  </si>
  <si>
    <t xml:space="preserve">FY2022</t>
  </si>
  <si>
    <t xml:space="preserve">FY2023</t>
  </si>
  <si>
    <t xml:space="preserve">FY2024</t>
  </si>
  <si>
    <t xml:space="preserve">FY2025</t>
  </si>
  <si>
    <t xml:space="preserve">INCOME STATEMENT</t>
  </si>
  <si>
    <t xml:space="preserve">Total Revenue</t>
  </si>
  <si>
    <t xml:space="preserve">Cost of Revenue</t>
  </si>
  <si>
    <t xml:space="preserve">Gross Profit</t>
  </si>
  <si>
    <t xml:space="preserve">Operating Expenses</t>
  </si>
  <si>
    <t xml:space="preserve">Operating Income (EBIT)</t>
  </si>
  <si>
    <t xml:space="preserve">Interest Income/(Expense)</t>
  </si>
  <si>
    <t xml:space="preserve">Pre-Tax Income</t>
  </si>
  <si>
    <t xml:space="preserve">Tax Expense</t>
  </si>
  <si>
    <t xml:space="preserve">Net Income</t>
  </si>
  <si>
    <t xml:space="preserve">KEY RATIOS</t>
  </si>
  <si>
    <t xml:space="preserve">Revenue Growth %</t>
  </si>
  <si>
    <t xml:space="preserve">Gross Margin %</t>
  </si>
  <si>
    <t xml:space="preserve">EBIT Margin %</t>
  </si>
  <si>
    <t xml:space="preserve">Net Margin %</t>
  </si>
  <si>
    <t xml:space="preserve">Effective Tax Rate %</t>
  </si>
  <si>
    <t xml:space="preserve">CASH FLOW DATA</t>
  </si>
  <si>
    <t xml:space="preserve">D&amp;A</t>
  </si>
  <si>
    <t xml:space="preserve">Capital Expenditure</t>
  </si>
  <si>
    <t xml:space="preserve">Free Cash Flow</t>
  </si>
  <si>
    <t xml:space="preserve">BALANCE SHEET</t>
  </si>
  <si>
    <t xml:space="preserve">Total Assets</t>
  </si>
  <si>
    <t xml:space="preserve">Total Liabilities</t>
  </si>
  <si>
    <t xml:space="preserve">Total Equity</t>
  </si>
  <si>
    <t xml:space="preserve">Total Debt</t>
  </si>
  <si>
    <t xml:space="preserve">Net Debt / (Cash)</t>
  </si>
  <si>
    <t xml:space="preserve">WISE PLC - DISCOUNTED CASH FLOW MODEL</t>
  </si>
  <si>
    <t xml:space="preserve">All figures in £ millions</t>
  </si>
  <si>
    <t xml:space="preserve">Projection Period</t>
  </si>
  <si>
    <t xml:space="preserve">Base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</si>
  <si>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</si>
  <si>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</si>
  <si>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</si>
  <si>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</si>
  <si>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</si>
  <si>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</si>
  <si>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REVENUE PROJECTIONS</t>
  </si>
  <si>
    <t xml:space="preserve">Revenue</t>
  </si>
  <si>
    <t xml:space="preserve">Growth Rate</t>
  </si>
  <si>
    <t xml:space="preserve">OPERATING PROFITABILITY</t>
  </si>
  <si>
    <t xml:space="preserve">EBIT Margin (declining to target)</t>
  </si>
  <si>
    <t xml:space="preserve">EBIT</t>
  </si>
  <si>
    <t xml:space="preserve">Less: Taxes on EBIT</t>
  </si>
  <si>
    <t xml:space="preserve">NOPAT (EBIT after tax)</t>
  </si>
  <si>
    <t xml:space="preserve">CASH FLOW ADJUSTMENTS</t>
  </si>
  <si>
    <t xml:space="preserve">Add: Depreciation &amp; Amortization</t>
  </si>
  <si>
    <t xml:space="preserve">Less: Capital Expenditure</t>
  </si>
  <si>
    <t xml:space="preserve">Less: Change in NWC</t>
  </si>
  <si>
    <t xml:space="preserve">UNLEVERED FREE CASH FLOW</t>
  </si>
  <si>
    <t xml:space="preserve">Unlevered Free Cash Flow</t>
  </si>
  <si>
    <t xml:space="preserve">DISCOUNTING</t>
  </si>
  <si>
    <t xml:space="preserve">Discount Period (Mid-Year)</t>
  </si>
  <si>
    <t xml:space="preserve">Discount Factor</t>
  </si>
  <si>
    <t xml:space="preserve">Present Value of FCF</t>
  </si>
  <si>
    <t xml:space="preserve">TERMINAL VALUE</t>
  </si>
  <si>
    <t xml:space="preserve">Terminal Year FCF</t>
  </si>
  <si>
    <t xml:space="preserve">Terminal Value (Gordon Growth)</t>
  </si>
  <si>
    <t xml:space="preserve">PV of Terminal Value</t>
  </si>
  <si>
    <t xml:space="preserve">VALUATION SUMMARY</t>
  </si>
  <si>
    <t xml:space="preserve">Sum of PV of FCFs</t>
  </si>
  <si>
    <t xml:space="preserve">Enterprise Value</t>
  </si>
  <si>
    <t xml:space="preserve">Less: Net Debt (Add: Net Cash)</t>
  </si>
  <si>
    <t xml:space="preserve">Equity Value</t>
  </si>
  <si>
    <t xml:space="preserve">Implied Share Price (£)</t>
  </si>
  <si>
    <t xml:space="preserve">Current Share Price (£)</t>
  </si>
  <si>
    <t xml:space="preserve">Upside / (Downside)</t>
  </si>
  <si>
    <t xml:space="preserve">EXIT MULTIPLE APPROACH</t>
  </si>
  <si>
    <t xml:space="preserve">Year 5 Revenue</t>
  </si>
  <si>
    <t xml:space="preserve">Terminal Value (Exit Multiple)</t>
  </si>
  <si>
    <t xml:space="preserve">VALUATION (EXIT MULTIPLE METHOD)</t>
  </si>
  <si>
    <t xml:space="preserve">PV of Terminal Value (Exit)</t>
  </si>
  <si>
    <t xml:space="preserve">Add: Net Cash</t>
  </si>
  <si>
    <t xml:space="preserve">SENSITIVITY ANALYSIS</t>
  </si>
  <si>
    <t xml:space="preserve">IMPLIED SHARE PRICE (£)</t>
  </si>
  <si>
    <t xml:space="preserve">WACC vs Terminal Growth Rate</t>
  </si>
  <si>
    <t xml:space="preserve">WACC ↓</t>
  </si>
  <si>
    <t xml:space="preserve">Terminal Growth →</t>
  </si>
  <si>
    <t xml:space="preserve">Note: Yellow highlighted cell represents base case assumptions</t>
  </si>
  <si>
    <t xml:space="preserve">SHARE PRICE BY EBIT MARGIN</t>
  </si>
  <si>
    <t xml:space="preserve">Long-term EBIT Margin</t>
  </si>
  <si>
    <t xml:space="preserve">Implied Share Price</t>
  </si>
  <si>
    <t xml:space="preserve">EXIT MULTIPLE SENSITIVITY</t>
  </si>
  <si>
    <t xml:space="preserve">IMPLIED SHARE PRICE BY EXIT EV/REVENUE MULTIPLE</t>
  </si>
  <si>
    <t xml:space="preserve">Exit EV/Revenue</t>
  </si>
  <si>
    <t xml:space="preserve">SHARE PRICE: WACC vs EXIT MULTIPLE</t>
  </si>
  <si>
    <t xml:space="preserve">Exit Multiple →</t>
  </si>
  <si>
    <t xml:space="preserve">Note: Yellow cells represent base case assumptions (WACC 8.7%, Exit Multiple 4.5x)</t>
  </si>
  <si>
    <t xml:space="preserve">WISE PLC - INVESTMENT SUMMARY</t>
  </si>
  <si>
    <t xml:space="preserve">DCF VALUATION RESULT</t>
  </si>
  <si>
    <t xml:space="preserve">Current Share Price</t>
  </si>
  <si>
    <t xml:space="preserve">KEY METRICS</t>
  </si>
  <si>
    <t xml:space="preserve">EV/Revenue (FY25)</t>
  </si>
  <si>
    <t xml:space="preserve">EV/EBIT (FY25)</t>
  </si>
  <si>
    <t xml:space="preserve">KEY ASSUMPTIONS</t>
  </si>
  <si>
    <t xml:space="preserve">5-Year Revenue CAGR</t>
  </si>
  <si>
    <t xml:space="preserve">INVESTMENT THESIS</t>
  </si>
  <si>
    <t xml:space="preserve">Bull Case (Updated Feb 2026):</t>
  </si>
  <si>
    <t xml:space="preserve">• US dual listing expands investor base, enables index inclusion</t>
  </si>
  <si>
    <t xml:space="preserve">• Platform partnerships with tier-1 banks (Morgan Stanley, StanChart)</t>
  </si>
  <si>
    <t xml:space="preserve">• Investment grade BBB rating from both S&amp;P and Fitch</t>
  </si>
  <si>
    <t xml:space="preserve">• Customer holdings +33% YoY - balance growth accelerating</t>
  </si>
  <si>
    <t xml:space="preserve">Bear Case (Updated Feb 2026):</t>
  </si>
  <si>
    <t xml:space="preserve">• £2bn investment plan compresses near-term margins to 13-16%</t>
  </si>
  <si>
    <t xml:space="preserve">• Interest rate normalization reduces float income by ~£200m</t>
  </si>
  <si>
    <t xml:space="preserve">• Regulatory risks across 90+ jurisdictions</t>
  </si>
  <si>
    <t xml:space="preserve">• Execution risk on massive hiring plan (+700 FY26)</t>
  </si>
  <si>
    <t xml:space="preserve">VALUATION COMPARISON</t>
  </si>
  <si>
    <t xml:space="preserve">Method</t>
  </si>
  <si>
    <t xml:space="preserve">Implied Price</t>
  </si>
  <si>
    <t xml:space="preserve">Upside</t>
  </si>
  <si>
    <t xml:space="preserve">Gordon Growth (2.5% TG)</t>
  </si>
  <si>
    <t xml:space="preserve">Exit Multiple (4.5x Rev)</t>
  </si>
  <si>
    <t xml:space="preserve">Average</t>
  </si>
  <si>
    <t xml:space="preserve">SCENARIO ANALYSIS</t>
  </si>
  <si>
    <t xml:space="preserve">Bear Case (20%)</t>
  </si>
  <si>
    <t xml:space="preserve">Base Case (50%)</t>
  </si>
  <si>
    <t xml:space="preserve">Bull Case (30%)</t>
  </si>
  <si>
    <t xml:space="preserve">Probability-Weighted</t>
  </si>
  <si>
    <t xml:space="preserve">WISE PLC - SCENARIO ANALYSIS</t>
  </si>
  <si>
    <t xml:space="preserve">Probability-weighted valuation across Bear, Base, and Bull cases</t>
  </si>
  <si>
    <t xml:space="preserve">SCENARIO ASSUMPTIONS</t>
  </si>
  <si>
    <t xml:space="preserve">Assumption</t>
  </si>
  <si>
    <t xml:space="preserve">Bear</t>
  </si>
  <si>
    <t xml:space="preserve">Bull</t>
  </si>
  <si>
    <t xml:space="preserve">Notes</t>
  </si>
  <si>
    <t xml:space="preserve">Probability</t>
  </si>
  <si>
    <t xml:space="preserve">Must sum to 100%. Bear reduced, Bull increased post-FY25</t>
  </si>
  <si>
    <t xml:space="preserve">Revenue CAGR (5-Year)</t>
  </si>
  <si>
    <t xml:space="preserve">Base revised up to 15% (mgmt guides 15-20%)</t>
  </si>
  <si>
    <t xml:space="preserve">Exit EBIT Margin</t>
  </si>
  <si>
    <t xml:space="preserve">Long-term profitability</t>
  </si>
  <si>
    <t xml:space="preserve">Base/Bull revised up for US listing premium</t>
  </si>
  <si>
    <t xml:space="preserve">Higher risk = higher WACC</t>
  </si>
  <si>
    <t xml:space="preserve">SCENARIO OUTPUTS</t>
  </si>
  <si>
    <t xml:space="preserve">Output</t>
  </si>
  <si>
    <t xml:space="preserve">Year 5 Revenue (£m)</t>
  </si>
  <si>
    <t xml:space="preserve">Year 5 EBIT (£m)</t>
  </si>
  <si>
    <t xml:space="preserve">Terminal Value (£m)</t>
  </si>
  <si>
    <t xml:space="preserve">PV of Terminal Value (£m)</t>
  </si>
  <si>
    <t xml:space="preserve">PV of FCFs (£m, estimated)</t>
  </si>
  <si>
    <t xml:space="preserve">Enterprise Value (£m)</t>
  </si>
  <si>
    <t xml:space="preserve">Equity Value (£m)</t>
  </si>
  <si>
    <t xml:space="preserve">PROBABILITY-WEIGHTED VALUATION</t>
  </si>
  <si>
    <t xml:space="preserve">Weighted Share Price</t>
  </si>
  <si>
    <t xml:space="preserve">Expected Upside</t>
  </si>
  <si>
    <t xml:space="preserve">RISK / REWARD SUMMARY</t>
  </si>
  <si>
    <t xml:space="preserve">Downside (Bear Case)</t>
  </si>
  <si>
    <t xml:space="preserve">Base Case</t>
  </si>
  <si>
    <t xml:space="preserve">Upside (Bull Case)</t>
  </si>
  <si>
    <t xml:space="preserve">Risk/Reward Ratio</t>
  </si>
  <si>
    <t xml:space="preserve">(Bull upside £ / Bear downside £)</t>
  </si>
  <si>
    <t xml:space="preserve">KEY RISKS BY SCENARIO</t>
  </si>
  <si>
    <t xml:space="preserve">BEAR CASE TRIGGERS:</t>
  </si>
  <si>
    <t xml:space="preserve">• Interest rate cuts significantly reduce float income</t>
  </si>
  <si>
    <t xml:space="preserve">• £2bn investment plan fails to drive growth</t>
  </si>
  <si>
    <t xml:space="preserve">• Regulatory action in key markets (UK FCA, US)</t>
  </si>
  <si>
    <t xml:space="preserve">• Competition from banks investing in real-time payments</t>
  </si>
  <si>
    <t xml:space="preserve">• Macro slowdown reduces cross-border volumes</t>
  </si>
  <si>
    <t xml:space="preserve">BULL CASE TRIGGERS:</t>
  </si>
  <si>
    <t xml:space="preserve">• US dual listing drives multiple expansion + index inclusion</t>
  </si>
  <si>
    <t xml:space="preserve">• Platform/B2B business accelerates (Morgan Stanley, etc.)</t>
  </si>
  <si>
    <t xml:space="preserve">• Customer balances compound to £40bn+ (more float income)</t>
  </si>
  <si>
    <t xml:space="preserve">• Wise Assets grows into wealth management platform</t>
  </si>
  <si>
    <t xml:space="preserve">• Take rate reductions drive volume inflection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</si>
</sst>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.0\x"/>
    <numFmt numFmtId="167" formatCode="#,##0.0"/>
    <numFmt numFmtId="168" formatCode="0.0"/>
    <numFmt numFmtId="169" formatCode="0.0000"/>
    <numFmt numFmtId="170" formatCode="#,##0"/>
    <numFmt numFmtId="171" formatCode="\£#,##0.00"/>
    <numFmt numFmtId="172" formatCode="\£#,##0"/>
    <numFmt numFmtId="173" formatCode="0%"/>
    <numFmt numFmtId="174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6B6B"/>
        <bgColor rgb="FFFF6600"/>
      </patternFill>
    </fill>
    <fill>
      <patternFill patternType="solid">
        <fgColor rgb="FFFFE066"/>
        <bgColor rgb="FFFFFF99"/>
      </patternFill>
    </fill>
    <fill>
      <patternFill patternType="solid">
        <fgColor rgb="FF69DB7C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66"/>
      <rgbColor rgb="FF4472C4"/>
      <rgbColor rgb="FF69DB7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25"/>
    <col collapsed="false" customWidth="true" hidden="false" outlineLevel="0" max="4" min="4" style="1" width="1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5" customFormat="false" ht="15" hidden="false" customHeight="true" outlineLevel="0" collapsed="false">
      <c r="A5" s="3" t="s">
        <v>3</v>
      </c>
      <c r="B5" s="3"/>
      <c r="C5" s="3"/>
      <c r="D5" s="3"/>
    </row>
    <row r="6" customFormat="false" ht="15" hidden="false" customHeight="true" outlineLevel="0" collapsed="false">
      <c r="A6" s="1" t="s">
        <v>4</v>
      </c>
      <c r="B6" s="1" t="s">
        <v>5</v>
      </c>
    </row>
    <row r="7" customFormat="false" ht="15" hidden="false" customHeight="true" outlineLevel="0" collapsed="false">
      <c r="A7" s="1" t="s">
        <v>6</v>
      </c>
      <c r="B7" s="1" t="s">
        <v>7</v>
      </c>
    </row>
    <row r="8" customFormat="false" ht="15" hidden="false" customHeight="true" outlineLevel="0" collapsed="false">
      <c r="A8" s="1" t="s">
        <v>8</v>
      </c>
      <c r="B8" s="1" t="s">
        <v>9</v>
      </c>
    </row>
    <row r="9" customFormat="false" ht="15" hidden="false" customHeight="true" outlineLevel="0" collapsed="false">
      <c r="A9" s="1" t="s">
        <v>10</v>
      </c>
      <c r="B9" s="1" t="s">
        <v>11</v>
      </c>
    </row>
    <row r="11" customFormat="false" ht="15" hidden="false" customHeight="true" outlineLevel="0" collapsed="false">
      <c r="A11" s="3" t="s">
        <v>12</v>
      </c>
      <c r="B11" s="3"/>
      <c r="C11" s="3"/>
      <c r="D11" s="3"/>
    </row>
    <row r="12" customFormat="false" ht="15" hidden="false" customHeight="true" outlineLevel="0" collapsed="false">
      <c r="A12" s="1" t="s">
        <v>13</v>
      </c>
      <c r="B12" s="4" t="n">
        <v>0.0467</v>
      </c>
      <c r="C12" s="1" t="s">
        <v>14</v>
      </c>
    </row>
    <row r="13" customFormat="false" ht="15" hidden="false" customHeight="true" outlineLevel="0" collapsed="false">
      <c r="A13" s="1" t="s">
        <v>15</v>
      </c>
      <c r="B13" s="4" t="n">
        <v>0.0406</v>
      </c>
      <c r="C13" s="1" t="s">
        <v>16</v>
      </c>
    </row>
    <row r="14" customFormat="false" ht="15" hidden="false" customHeight="true" outlineLevel="0" collapsed="false">
      <c r="A14" s="1" t="s">
        <v>17</v>
      </c>
      <c r="B14" s="5" t="n">
        <v>0.99</v>
      </c>
      <c r="C14" s="1" t="s">
        <v>18</v>
      </c>
    </row>
    <row r="15" customFormat="false" ht="15" hidden="false" customHeight="true" outlineLevel="0" collapsed="false">
      <c r="A15" s="1" t="s">
        <v>19</v>
      </c>
      <c r="B15" s="6" t="n">
        <f aca="false">B12+B14*B13</f>
        <v>0.086894</v>
      </c>
    </row>
    <row r="16" customFormat="false" ht="15" hidden="false" customHeight="true" outlineLevel="0" collapsed="false">
      <c r="A16" s="1" t="s">
        <v>20</v>
      </c>
      <c r="B16" s="4" t="n">
        <v>0.102</v>
      </c>
      <c r="C16" s="1" t="s">
        <v>21</v>
      </c>
    </row>
    <row r="17" customFormat="false" ht="15" hidden="false" customHeight="true" outlineLevel="0" collapsed="false">
      <c r="A17" s="1" t="s">
        <v>22</v>
      </c>
      <c r="B17" s="4" t="n">
        <v>0.26</v>
      </c>
      <c r="C17" s="1" t="s">
        <v>23</v>
      </c>
    </row>
    <row r="18" customFormat="false" ht="15" hidden="false" customHeight="true" outlineLevel="0" collapsed="false">
      <c r="A18" s="1" t="s">
        <v>24</v>
      </c>
      <c r="B18" s="6" t="n">
        <f aca="false">B16*(1-B17)</f>
        <v>0.07548</v>
      </c>
    </row>
    <row r="19" customFormat="false" ht="15" hidden="false" customHeight="true" outlineLevel="0" collapsed="false">
      <c r="A19" s="1" t="s">
        <v>25</v>
      </c>
      <c r="B19" s="4" t="n">
        <v>0.013</v>
      </c>
      <c r="C19" s="1" t="s">
        <v>26</v>
      </c>
    </row>
    <row r="20" customFormat="false" ht="15" hidden="false" customHeight="true" outlineLevel="0" collapsed="false">
      <c r="A20" s="1" t="s">
        <v>27</v>
      </c>
      <c r="B20" s="6" t="n">
        <f aca="false">1-B19</f>
        <v>0.987</v>
      </c>
    </row>
    <row r="21" customFormat="false" ht="15" hidden="false" customHeight="true" outlineLevel="0" collapsed="false">
      <c r="A21" s="7" t="s">
        <v>28</v>
      </c>
      <c r="B21" s="6" t="n">
        <f aca="false">B15*B20+B18*B19</f>
        <v>0.086745618</v>
      </c>
    </row>
    <row r="23" customFormat="false" ht="15" hidden="false" customHeight="true" outlineLevel="0" collapsed="false">
      <c r="A23" s="3" t="s">
        <v>29</v>
      </c>
      <c r="B23" s="3"/>
      <c r="C23" s="3"/>
      <c r="D23" s="3"/>
    </row>
    <row r="24" customFormat="false" ht="15" hidden="false" customHeight="true" outlineLevel="0" collapsed="false">
      <c r="A24" s="1" t="s">
        <v>30</v>
      </c>
      <c r="B24" s="4" t="n">
        <v>0.15</v>
      </c>
      <c r="C24" s="1" t="s">
        <v>31</v>
      </c>
    </row>
    <row r="25" customFormat="false" ht="15" hidden="false" customHeight="true" outlineLevel="0" collapsed="false">
      <c r="A25" s="1" t="s">
        <v>32</v>
      </c>
      <c r="B25" s="4" t="n">
        <v>0.16</v>
      </c>
      <c r="C25" s="1" t="s">
        <v>33</v>
      </c>
    </row>
    <row r="26" customFormat="false" ht="15" hidden="false" customHeight="true" outlineLevel="0" collapsed="false">
      <c r="A26" s="1" t="s">
        <v>34</v>
      </c>
      <c r="B26" s="4" t="n">
        <v>0.15</v>
      </c>
      <c r="C26" s="1" t="s">
        <v>35</v>
      </c>
    </row>
    <row r="27" customFormat="false" ht="15" hidden="false" customHeight="true" outlineLevel="0" collapsed="false">
      <c r="A27" s="1" t="s">
        <v>36</v>
      </c>
      <c r="B27" s="4" t="n">
        <v>0.14</v>
      </c>
      <c r="C27" s="1" t="s">
        <v>37</v>
      </c>
    </row>
    <row r="28" customFormat="false" ht="15" hidden="false" customHeight="true" outlineLevel="0" collapsed="false">
      <c r="A28" s="1" t="s">
        <v>38</v>
      </c>
      <c r="B28" s="4" t="n">
        <v>0.12</v>
      </c>
      <c r="C28" s="1" t="s">
        <v>39</v>
      </c>
    </row>
    <row r="29" customFormat="false" ht="15" hidden="false" customHeight="true" outlineLevel="0" collapsed="false">
      <c r="A29" s="1" t="s">
        <v>40</v>
      </c>
      <c r="B29" s="4" t="n">
        <v>0.025</v>
      </c>
      <c r="C29" s="1" t="s">
        <v>41</v>
      </c>
    </row>
    <row r="31" customFormat="false" ht="15" hidden="false" customHeight="true" outlineLevel="0" collapsed="false">
      <c r="A31" s="3" t="s">
        <v>42</v>
      </c>
      <c r="B31" s="3"/>
      <c r="C31" s="3"/>
      <c r="D31" s="3"/>
    </row>
    <row r="32" customFormat="false" ht="15" hidden="false" customHeight="true" outlineLevel="0" collapsed="false">
      <c r="A32" s="1" t="s">
        <v>43</v>
      </c>
      <c r="B32" s="4" t="n">
        <v>0.3878</v>
      </c>
      <c r="C32" s="1" t="s">
        <v>44</v>
      </c>
    </row>
    <row r="33" customFormat="false" ht="15" hidden="false" customHeight="true" outlineLevel="0" collapsed="false">
      <c r="A33" s="1" t="s">
        <v>45</v>
      </c>
      <c r="B33" s="4" t="n">
        <v>0.25</v>
      </c>
      <c r="C33" s="1" t="s">
        <v>46</v>
      </c>
    </row>
    <row r="34" customFormat="false" ht="15" hidden="false" customHeight="true" outlineLevel="0" collapsed="false">
      <c r="A34" s="1" t="s">
        <v>47</v>
      </c>
      <c r="B34" s="4" t="n">
        <v>0.011</v>
      </c>
      <c r="C34" s="1" t="s">
        <v>48</v>
      </c>
    </row>
    <row r="35" customFormat="false" ht="15" hidden="false" customHeight="true" outlineLevel="0" collapsed="false">
      <c r="A35" s="1" t="s">
        <v>49</v>
      </c>
      <c r="B35" s="4" t="n">
        <v>0.02</v>
      </c>
      <c r="C35" s="1" t="s">
        <v>50</v>
      </c>
    </row>
    <row r="36" customFormat="false" ht="15" hidden="false" customHeight="true" outlineLevel="0" collapsed="false">
      <c r="A36" s="1" t="s">
        <v>51</v>
      </c>
      <c r="B36" s="4" t="n">
        <v>0.05</v>
      </c>
      <c r="C36" s="1" t="s">
        <v>52</v>
      </c>
    </row>
    <row r="38" customFormat="false" ht="15" hidden="false" customHeight="true" outlineLevel="0" collapsed="false">
      <c r="A38" s="3" t="s">
        <v>53</v>
      </c>
      <c r="B38" s="3"/>
      <c r="C38" s="3"/>
      <c r="D38" s="3"/>
    </row>
    <row r="39" customFormat="false" ht="15" hidden="false" customHeight="true" outlineLevel="0" collapsed="false">
      <c r="A39" s="1" t="s">
        <v>54</v>
      </c>
      <c r="B39" s="5" t="n">
        <v>1025</v>
      </c>
    </row>
    <row r="40" customFormat="false" ht="15" hidden="false" customHeight="true" outlineLevel="0" collapsed="false">
      <c r="A40" s="1" t="s">
        <v>55</v>
      </c>
      <c r="B40" s="5" t="n">
        <v>1331</v>
      </c>
      <c r="C40" s="1" t="s">
        <v>56</v>
      </c>
    </row>
    <row r="41" customFormat="false" ht="15" hidden="false" customHeight="true" outlineLevel="0" collapsed="false">
      <c r="A41" s="1" t="s">
        <v>57</v>
      </c>
      <c r="B41" s="5" t="n">
        <v>874</v>
      </c>
    </row>
    <row r="43" customFormat="false" ht="15" hidden="false" customHeight="true" outlineLevel="0" collapsed="false">
      <c r="A43" s="3" t="s">
        <v>58</v>
      </c>
      <c r="B43" s="3"/>
      <c r="C43" s="3"/>
      <c r="D43" s="3"/>
    </row>
    <row r="44" customFormat="false" ht="15" hidden="false" customHeight="true" outlineLevel="0" collapsed="false">
      <c r="A44" s="1" t="s">
        <v>59</v>
      </c>
      <c r="B44" s="8" t="n">
        <v>6.5</v>
      </c>
      <c r="C44" s="1" t="s">
        <v>60</v>
      </c>
    </row>
    <row r="45" customFormat="false" ht="15" hidden="false" customHeight="true" outlineLevel="0" collapsed="false">
      <c r="A45" s="1" t="s">
        <v>61</v>
      </c>
      <c r="B45" s="8" t="n">
        <v>15</v>
      </c>
      <c r="C45" s="1" t="s">
        <v>62</v>
      </c>
    </row>
    <row r="46" customFormat="false" ht="15" hidden="false" customHeight="true" outlineLevel="0" collapsed="false">
      <c r="A46" s="1" t="s">
        <v>63</v>
      </c>
      <c r="B46" s="9" t="n">
        <f aca="false">'DCF Model'!B39/Historical!E6</f>
        <v>4.94919540478272</v>
      </c>
    </row>
    <row r="47" customFormat="false" ht="15" hidden="false" customHeight="true" outlineLevel="0" collapsed="false">
      <c r="A47" s="1" t="s">
        <v>64</v>
      </c>
      <c r="B47" s="9" t="n">
        <f aca="false">'DCF Model'!B39/Historical!E10</f>
        <v>16.0258815706679</v>
      </c>
    </row>
    <row r="49" customFormat="false" ht="15" hidden="false" customHeight="false" outlineLevel="0" collapsed="false">
      <c r="A49" s="10" t="s">
        <v>65</v>
      </c>
    </row>
    <row r="50" customFormat="false" ht="15" hidden="false" customHeight="false" outlineLevel="0" collapsed="false">
      <c r="A50" s="1" t="s">
        <v>66</v>
      </c>
    </row>
    <row r="51" customFormat="false" ht="15" hidden="false" customHeight="false" outlineLevel="0" collapsed="false">
      <c r="A51" s="1" t="s">
        <v>67</v>
      </c>
    </row>
    <row r="52" customFormat="false" ht="15" hidden="false" customHeight="false" outlineLevel="0" collapsed="false">
      <c r="A52" s="1" t="s">
        <v>68</v>
      </c>
    </row>
    <row r="53" customFormat="false" ht="15" hidden="false" customHeight="false" outlineLevel="0" collapsed="false">
      <c r="A53" s="1" t="s">
        <v>69</v>
      </c>
    </row>
    <row r="54" customFormat="false" ht="15" hidden="false" customHeight="false" outlineLevel="0" collapsed="false">
      <c r="A54" s="1" t="s">
        <v>70</v>
      </c>
    </row>
    <row r="55" customFormat="false" ht="15" hidden="false" customHeight="false" outlineLevel="0" collapsed="false">
      <c r="A55" s="1" t="s">
        <v>71</v>
      </c>
    </row>
    <row r="56" customFormat="false" ht="15" hidden="false" customHeight="false" outlineLevel="0" collapsed="false">
      <c r="A56" s="1" t="s">
        <v>72</v>
      </c>
    </row>
  </sheetData>
  <mergeCells count="6">
    <mergeCell ref="A5:D5"/>
    <mergeCell ref="A11:D11"/>
    <mergeCell ref="A23:D23"/>
    <mergeCell ref="A31:D31"/>
    <mergeCell ref="A38:D38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2"/>
  </cols>
  <sheetData>
    <row r="1" customFormat="false" ht="17.25" hidden="false" customHeight="true" outlineLevel="0" collapsed="false">
      <c r="A1" s="11" t="s">
        <v>73</v>
      </c>
    </row>
    <row r="2" customFormat="false" ht="15" hidden="false" customHeight="true" outlineLevel="0" collapsed="false">
      <c r="A2" s="1" t="s">
        <v>74</v>
      </c>
    </row>
    <row r="4" customFormat="false" ht="15" hidden="false" customHeight="true" outlineLevel="0" collapsed="false">
      <c r="A4" s="12"/>
      <c r="B4" s="12" t="s">
        <v>75</v>
      </c>
      <c r="C4" s="12" t="s">
        <v>76</v>
      </c>
      <c r="D4" s="12" t="s">
        <v>77</v>
      </c>
      <c r="E4" s="12" t="s">
        <v>78</v>
      </c>
    </row>
    <row r="5" customFormat="false" ht="15" hidden="false" customHeight="true" outlineLevel="0" collapsed="false">
      <c r="A5" s="3" t="s">
        <v>79</v>
      </c>
      <c r="B5" s="3"/>
      <c r="C5" s="3"/>
      <c r="D5" s="3"/>
      <c r="E5" s="3"/>
    </row>
    <row r="6" customFormat="false" ht="15" hidden="false" customHeight="true" outlineLevel="0" collapsed="false">
      <c r="A6" s="1" t="s">
        <v>80</v>
      </c>
      <c r="B6" s="13" t="n">
        <v>563.8</v>
      </c>
      <c r="C6" s="13" t="n">
        <v>986.3</v>
      </c>
      <c r="D6" s="13" t="n">
        <v>1537.2</v>
      </c>
      <c r="E6" s="13" t="n">
        <v>1806.2</v>
      </c>
    </row>
    <row r="7" customFormat="false" ht="15" hidden="false" customHeight="true" outlineLevel="0" collapsed="false">
      <c r="A7" s="1" t="s">
        <v>81</v>
      </c>
      <c r="B7" s="13" t="n">
        <v>194.7</v>
      </c>
      <c r="C7" s="13" t="n">
        <v>348.1</v>
      </c>
      <c r="D7" s="13" t="n">
        <v>444.8</v>
      </c>
      <c r="E7" s="13" t="n">
        <v>498.4</v>
      </c>
    </row>
    <row r="8" customFormat="false" ht="15" hidden="false" customHeight="true" outlineLevel="0" collapsed="false">
      <c r="A8" s="1" t="s">
        <v>82</v>
      </c>
      <c r="B8" s="13" t="n">
        <v>369.1</v>
      </c>
      <c r="C8" s="13" t="n">
        <v>638.2</v>
      </c>
      <c r="D8" s="13" t="n">
        <v>1092.4</v>
      </c>
      <c r="E8" s="13" t="n">
        <v>1307.8</v>
      </c>
    </row>
    <row r="9" customFormat="false" ht="15" hidden="false" customHeight="true" outlineLevel="0" collapsed="false">
      <c r="A9" s="1" t="s">
        <v>83</v>
      </c>
      <c r="B9" s="13" t="n">
        <v>320.4</v>
      </c>
      <c r="C9" s="13" t="n">
        <v>483.8</v>
      </c>
      <c r="D9" s="13" t="n">
        <v>610.2</v>
      </c>
      <c r="E9" s="13" t="n">
        <v>750</v>
      </c>
    </row>
    <row r="10" customFormat="false" ht="15" hidden="false" customHeight="true" outlineLevel="0" collapsed="false">
      <c r="A10" s="1" t="s">
        <v>84</v>
      </c>
      <c r="B10" s="13" t="n">
        <v>48.7</v>
      </c>
      <c r="C10" s="13" t="n">
        <v>154.4</v>
      </c>
      <c r="D10" s="13" t="n">
        <v>482.2</v>
      </c>
      <c r="E10" s="13" t="n">
        <v>557.8</v>
      </c>
    </row>
    <row r="11" customFormat="false" ht="15" hidden="false" customHeight="true" outlineLevel="0" collapsed="false">
      <c r="A11" s="1" t="s">
        <v>85</v>
      </c>
      <c r="B11" s="13" t="n">
        <v>-4.8</v>
      </c>
      <c r="C11" s="13" t="n">
        <v>-7.9</v>
      </c>
      <c r="D11" s="13" t="n">
        <v>-0.8</v>
      </c>
      <c r="E11" s="13" t="n">
        <v>18.5</v>
      </c>
    </row>
    <row r="12" customFormat="false" ht="15" hidden="false" customHeight="true" outlineLevel="0" collapsed="false">
      <c r="A12" s="1" t="s">
        <v>86</v>
      </c>
      <c r="B12" s="13" t="n">
        <v>43.9</v>
      </c>
      <c r="C12" s="13" t="n">
        <v>146.5</v>
      </c>
      <c r="D12" s="13" t="n">
        <v>481.4</v>
      </c>
      <c r="E12" s="13" t="n">
        <v>564.8</v>
      </c>
    </row>
    <row r="13" customFormat="false" ht="15" hidden="false" customHeight="true" outlineLevel="0" collapsed="false">
      <c r="A13" s="1" t="s">
        <v>87</v>
      </c>
      <c r="B13" s="13" t="n">
        <v>11</v>
      </c>
      <c r="C13" s="13" t="n">
        <v>32.5</v>
      </c>
      <c r="D13" s="13" t="n">
        <v>126.8</v>
      </c>
      <c r="E13" s="13" t="n">
        <v>148.1</v>
      </c>
    </row>
    <row r="14" customFormat="false" ht="15" hidden="false" customHeight="true" outlineLevel="0" collapsed="false">
      <c r="A14" s="1" t="s">
        <v>88</v>
      </c>
      <c r="B14" s="13" t="n">
        <v>32.9</v>
      </c>
      <c r="C14" s="13" t="n">
        <v>114</v>
      </c>
      <c r="D14" s="13" t="n">
        <v>354.6</v>
      </c>
      <c r="E14" s="13" t="n">
        <v>416.7</v>
      </c>
    </row>
    <row r="16" customFormat="false" ht="15" hidden="false" customHeight="true" outlineLevel="0" collapsed="false">
      <c r="A16" s="3" t="s">
        <v>89</v>
      </c>
      <c r="B16" s="3"/>
      <c r="C16" s="3"/>
      <c r="D16" s="3"/>
      <c r="E16" s="3"/>
    </row>
    <row r="17" customFormat="false" ht="15" hidden="false" customHeight="true" outlineLevel="0" collapsed="false">
      <c r="A17" s="1" t="s">
        <v>90</v>
      </c>
      <c r="B17" s="6"/>
      <c r="C17" s="6" t="n">
        <f aca="false">C6/B6-1</f>
        <v>0.749379212486697</v>
      </c>
      <c r="D17" s="6" t="n">
        <f aca="false">D6/C6-1</f>
        <v>0.558552164655784</v>
      </c>
      <c r="E17" s="6" t="n">
        <f aca="false">E6/D6-1</f>
        <v>0.174993494665626</v>
      </c>
    </row>
    <row r="18" customFormat="false" ht="15" hidden="false" customHeight="true" outlineLevel="0" collapsed="false">
      <c r="A18" s="1" t="s">
        <v>91</v>
      </c>
      <c r="B18" s="6" t="n">
        <f aca="false">B8/B6</f>
        <v>0.654664774742817</v>
      </c>
      <c r="C18" s="6" t="n">
        <f aca="false">C8/C6</f>
        <v>0.647064787589983</v>
      </c>
      <c r="D18" s="6" t="n">
        <f aca="false">D8/D6</f>
        <v>0.71064272703617</v>
      </c>
      <c r="E18" s="6" t="n">
        <f aca="false">E8/E6</f>
        <v>0.724061565718082</v>
      </c>
    </row>
    <row r="19" customFormat="false" ht="15" hidden="false" customHeight="true" outlineLevel="0" collapsed="false">
      <c r="A19" s="1" t="s">
        <v>92</v>
      </c>
      <c r="B19" s="6" t="n">
        <f aca="false">B10/B6</f>
        <v>0.0863781482795318</v>
      </c>
      <c r="C19" s="6" t="n">
        <f aca="false">C10/C6</f>
        <v>0.156544661867586</v>
      </c>
      <c r="D19" s="6" t="n">
        <f aca="false">D10/D6</f>
        <v>0.313687223523289</v>
      </c>
      <c r="E19" s="6" t="n">
        <f aca="false">E10/E6</f>
        <v>0.308825157789835</v>
      </c>
    </row>
    <row r="20" customFormat="false" ht="15" hidden="false" customHeight="true" outlineLevel="0" collapsed="false">
      <c r="A20" s="1" t="s">
        <v>93</v>
      </c>
      <c r="B20" s="6" t="n">
        <f aca="false">B14/B6</f>
        <v>0.0583540262504434</v>
      </c>
      <c r="C20" s="6" t="n">
        <f aca="false">C14/C6</f>
        <v>0.115583493865964</v>
      </c>
      <c r="D20" s="6" t="n">
        <f aca="false">D14/D6</f>
        <v>0.230679156908665</v>
      </c>
      <c r="E20" s="6" t="n">
        <f aca="false">E14/E6</f>
        <v>0.230705348244934</v>
      </c>
    </row>
    <row r="21" customFormat="false" ht="15" hidden="false" customHeight="true" outlineLevel="0" collapsed="false">
      <c r="A21" s="1" t="s">
        <v>94</v>
      </c>
      <c r="B21" s="6" t="n">
        <f aca="false">B13/B12</f>
        <v>0.250569476082005</v>
      </c>
      <c r="C21" s="6" t="n">
        <f aca="false">C13/C12</f>
        <v>0.221843003412969</v>
      </c>
      <c r="D21" s="6" t="n">
        <f aca="false">D13/D12</f>
        <v>0.263398421271292</v>
      </c>
      <c r="E21" s="6" t="n">
        <f aca="false">E13/E12</f>
        <v>0.26221671388102</v>
      </c>
    </row>
    <row r="23" customFormat="false" ht="15" hidden="false" customHeight="true" outlineLevel="0" collapsed="false">
      <c r="A23" s="3" t="s">
        <v>95</v>
      </c>
      <c r="B23" s="3"/>
      <c r="C23" s="3"/>
      <c r="D23" s="3"/>
      <c r="E23" s="3"/>
    </row>
    <row r="24" customFormat="false" ht="15" hidden="false" customHeight="true" outlineLevel="0" collapsed="false">
      <c r="A24" s="1" t="s">
        <v>96</v>
      </c>
      <c r="B24" s="13" t="n">
        <v>10</v>
      </c>
      <c r="C24" s="13" t="n">
        <v>12</v>
      </c>
      <c r="D24" s="13" t="n">
        <v>18.3</v>
      </c>
      <c r="E24" s="13" t="n">
        <v>18.4</v>
      </c>
    </row>
    <row r="25" customFormat="false" ht="15" hidden="false" customHeight="true" outlineLevel="0" collapsed="false">
      <c r="A25" s="1" t="s">
        <v>97</v>
      </c>
      <c r="B25" s="13" t="n">
        <v>11.9</v>
      </c>
      <c r="C25" s="13" t="n">
        <v>8.8</v>
      </c>
      <c r="D25" s="13" t="n">
        <v>13</v>
      </c>
      <c r="E25" s="13" t="n">
        <v>35.4</v>
      </c>
    </row>
    <row r="26" customFormat="false" ht="15" hidden="false" customHeight="true" outlineLevel="0" collapsed="false">
      <c r="A26" s="1" t="s">
        <v>98</v>
      </c>
      <c r="B26" s="13" t="n">
        <v>3126</v>
      </c>
      <c r="C26" s="13" t="n">
        <v>213.3</v>
      </c>
      <c r="D26" s="13" t="n">
        <v>486.6</v>
      </c>
      <c r="E26" s="13" t="n">
        <v>615.4</v>
      </c>
    </row>
    <row r="28" customFormat="false" ht="15" hidden="false" customHeight="true" outlineLevel="0" collapsed="false">
      <c r="A28" s="3" t="s">
        <v>99</v>
      </c>
      <c r="B28" s="3"/>
      <c r="C28" s="3"/>
      <c r="D28" s="3"/>
      <c r="E28" s="3"/>
    </row>
    <row r="29" customFormat="false" ht="15" hidden="false" customHeight="true" outlineLevel="0" collapsed="false">
      <c r="A29" s="1" t="s">
        <v>100</v>
      </c>
      <c r="B29" s="13" t="n">
        <v>7564.4</v>
      </c>
      <c r="C29" s="13" t="n">
        <v>11904.2</v>
      </c>
      <c r="D29" s="13" t="n">
        <v>15137.4</v>
      </c>
      <c r="E29" s="13" t="n">
        <v>19246.2</v>
      </c>
    </row>
    <row r="30" customFormat="false" ht="15" hidden="false" customHeight="true" outlineLevel="0" collapsed="false">
      <c r="A30" s="1" t="s">
        <v>101</v>
      </c>
      <c r="B30" s="13" t="n">
        <v>7155.2</v>
      </c>
      <c r="C30" s="13" t="n">
        <v>11327.3</v>
      </c>
      <c r="D30" s="13" t="n">
        <v>14157.5</v>
      </c>
      <c r="E30" s="13" t="n">
        <v>17860</v>
      </c>
    </row>
    <row r="31" customFormat="false" ht="15" hidden="false" customHeight="true" outlineLevel="0" collapsed="false">
      <c r="A31" s="1" t="s">
        <v>102</v>
      </c>
      <c r="B31" s="13" t="n">
        <v>409.2</v>
      </c>
      <c r="C31" s="13" t="n">
        <v>576.9</v>
      </c>
      <c r="D31" s="13" t="n">
        <v>979.9</v>
      </c>
      <c r="E31" s="13" t="n">
        <v>1386.2</v>
      </c>
    </row>
    <row r="32" customFormat="false" ht="15" hidden="false" customHeight="true" outlineLevel="0" collapsed="false">
      <c r="A32" s="1" t="s">
        <v>103</v>
      </c>
      <c r="B32" s="13" t="n">
        <v>95.7</v>
      </c>
      <c r="C32" s="13" t="n">
        <v>264.4</v>
      </c>
      <c r="D32" s="13" t="n">
        <v>224.2</v>
      </c>
      <c r="E32" s="13" t="n">
        <v>185.6</v>
      </c>
    </row>
    <row r="33" customFormat="false" ht="15" hidden="false" customHeight="true" outlineLevel="0" collapsed="false">
      <c r="A33" s="1" t="s">
        <v>104</v>
      </c>
      <c r="B33" s="13" t="n">
        <v>-262</v>
      </c>
      <c r="C33" s="13" t="n">
        <v>-407</v>
      </c>
      <c r="D33" s="13" t="n">
        <v>-837</v>
      </c>
      <c r="E33" s="13" t="n">
        <v>-1331</v>
      </c>
    </row>
  </sheetData>
  <mergeCells count="4">
    <mergeCell ref="A5:E5"/>
    <mergeCell ref="A16:E16"/>
    <mergeCell ref="A23:E23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11" t="s">
        <v>105</v>
      </c>
    </row>
    <row r="2" customFormat="false" ht="15" hidden="false" customHeight="true" outlineLevel="0" collapsed="false">
      <c r="A2" s="1" t="s">
        <v>106</v>
      </c>
    </row>
    <row r="4" customFormat="false" ht="15" hidden="false" customHeight="true" outlineLevel="0" collapsed="false">
      <c r="A4" s="12" t="s">
        <v>107</v>
      </c>
      <c r="B4" s="14" t="s">
        <v>108</v>
      </c>
      <c r="C4" s="14" t="s">
        <v>109</v>
      </c>
      <c r="D4" s="14" t="s">
        <v>110</v>
      </c>
      <c r="E4" s="14" t="s">
        <v>111</v>
      </c>
      <c r="F4" s="14" t="s">
        <v>112</v>
      </c>
      <c r="G4" s="14" t="s">
        <v>113</v>
      </c>
      <c r="H4" s="14" t="s">
        <v>114</v>
      </c>
    </row>
    <row r="6" customFormat="false" ht="15" hidden="false" customHeight="true" outlineLevel="0" collapsed="false">
      <c r="A6" s="3" t="s">
        <v>115</v>
      </c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1" t="s">
        <v>116</v>
      </c>
      <c r="B7" s="13" t="n">
        <v>1806.2</v>
      </c>
      <c r="C7" s="15" t="n">
        <f aca="false">B7*(1+Assumptions!B24)</f>
        <v>2077.13</v>
      </c>
      <c r="D7" s="15" t="n">
        <f aca="false">C7*(1+Assumptions!B25)</f>
        <v>2409.4708</v>
      </c>
      <c r="E7" s="15" t="n">
        <f aca="false">D7*(1+Assumptions!B26)</f>
        <v>2770.89142</v>
      </c>
      <c r="F7" s="15" t="n">
        <f aca="false">E7*(1+Assumptions!B27)</f>
        <v>3158.8162188</v>
      </c>
      <c r="G7" s="15" t="n">
        <f aca="false">F7*(1+Assumptions!B28)</f>
        <v>3537.874165056</v>
      </c>
      <c r="H7" s="15"/>
    </row>
    <row r="8" customFormat="false" ht="15" hidden="false" customHeight="true" outlineLevel="0" collapsed="false">
      <c r="A8" s="1" t="s">
        <v>117</v>
      </c>
      <c r="B8" s="16"/>
      <c r="C8" s="16" t="n">
        <f aca="false">Assumptions!B24</f>
        <v>0.15</v>
      </c>
      <c r="D8" s="16" t="n">
        <f aca="false">Assumptions!B25</f>
        <v>0.16</v>
      </c>
      <c r="E8" s="16" t="n">
        <f aca="false">Assumptions!B26</f>
        <v>0.15</v>
      </c>
      <c r="F8" s="16" t="n">
        <f aca="false">Assumptions!B27</f>
        <v>0.14</v>
      </c>
      <c r="G8" s="16" t="n">
        <f aca="false">Assumptions!B28</f>
        <v>0.12</v>
      </c>
      <c r="H8" s="16"/>
    </row>
    <row r="9" customFormat="false" ht="15" hidden="false" customHeight="true" outlineLevel="0" collapsed="false">
      <c r="B9" s="15"/>
      <c r="C9" s="15"/>
      <c r="D9" s="15"/>
      <c r="E9" s="15"/>
      <c r="F9" s="15"/>
      <c r="G9" s="15"/>
      <c r="H9" s="15"/>
    </row>
    <row r="10" customFormat="false" ht="15" hidden="false" customHeight="true" outlineLevel="0" collapsed="false">
      <c r="A10" s="3" t="s">
        <v>118</v>
      </c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1" t="s">
        <v>119</v>
      </c>
      <c r="B11" s="16" t="n">
        <f aca="false">Assumptions!B32</f>
        <v>0.3878</v>
      </c>
      <c r="C11" s="16" t="n">
        <f aca="false">(Assumptions!B32-Assumptions!B33)/5*4+Assumptions!B33</f>
        <v>0.36024</v>
      </c>
      <c r="D11" s="16" t="n">
        <f aca="false">(Assumptions!B32-Assumptions!B33)/5*3+Assumptions!B33</f>
        <v>0.33268</v>
      </c>
      <c r="E11" s="16" t="n">
        <f aca="false">(Assumptions!B32-Assumptions!B33)/5*2+Assumptions!B33</f>
        <v>0.30512</v>
      </c>
      <c r="F11" s="16" t="n">
        <f aca="false">(Assumptions!B32-Assumptions!B33)/5*1+Assumptions!B33</f>
        <v>0.27756</v>
      </c>
      <c r="G11" s="16" t="n">
        <f aca="false">Assumptions!B33</f>
        <v>0.25</v>
      </c>
      <c r="H11" s="16"/>
    </row>
    <row r="12" customFormat="false" ht="15" hidden="false" customHeight="true" outlineLevel="0" collapsed="false">
      <c r="A12" s="1" t="s">
        <v>120</v>
      </c>
      <c r="B12" s="13" t="n">
        <v>557.8</v>
      </c>
      <c r="C12" s="15" t="n">
        <f aca="false">C7*C11</f>
        <v>748.2653112</v>
      </c>
      <c r="D12" s="15" t="n">
        <f aca="false">D7*D11</f>
        <v>801.582745744</v>
      </c>
      <c r="E12" s="15" t="n">
        <f aca="false">E7*E11</f>
        <v>845.4543900704</v>
      </c>
      <c r="F12" s="15" t="n">
        <f aca="false">F7*F11</f>
        <v>876.761029690128</v>
      </c>
      <c r="G12" s="15" t="n">
        <f aca="false">G7*G11</f>
        <v>884.468541264</v>
      </c>
      <c r="H12" s="15"/>
    </row>
    <row r="13" customFormat="false" ht="15" hidden="false" customHeight="true" outlineLevel="0" collapsed="false">
      <c r="A13" s="1" t="s">
        <v>121</v>
      </c>
      <c r="B13" s="15"/>
      <c r="C13" s="15" t="n">
        <f aca="false">-C12*Assumptions!B17</f>
        <v>-194.548980912</v>
      </c>
      <c r="D13" s="15" t="n">
        <f aca="false">-D12*Assumptions!B17</f>
        <v>-208.41151389344</v>
      </c>
      <c r="E13" s="15" t="n">
        <f aca="false">-E12*Assumptions!B17</f>
        <v>-219.818141418304</v>
      </c>
      <c r="F13" s="15" t="n">
        <f aca="false">-F12*Assumptions!B17</f>
        <v>-227.957867719433</v>
      </c>
      <c r="G13" s="15" t="n">
        <f aca="false">-G12*Assumptions!B17</f>
        <v>-229.96182072864</v>
      </c>
      <c r="H13" s="15"/>
    </row>
    <row r="14" customFormat="false" ht="15" hidden="false" customHeight="true" outlineLevel="0" collapsed="false">
      <c r="A14" s="1" t="s">
        <v>122</v>
      </c>
      <c r="B14" s="15"/>
      <c r="C14" s="15" t="n">
        <f aca="false">C12+C13</f>
        <v>553.716330288</v>
      </c>
      <c r="D14" s="15" t="n">
        <f aca="false">D12+D13</f>
        <v>593.17123185056</v>
      </c>
      <c r="E14" s="15" t="n">
        <f aca="false">E12+E13</f>
        <v>625.636248652096</v>
      </c>
      <c r="F14" s="15" t="n">
        <f aca="false">F12+F13</f>
        <v>648.803161970695</v>
      </c>
      <c r="G14" s="15" t="n">
        <f aca="false">G12+G13</f>
        <v>654.50672053536</v>
      </c>
      <c r="H14" s="15"/>
    </row>
    <row r="15" customFormat="false" ht="15" hidden="false" customHeight="true" outlineLevel="0" collapsed="false"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3" t="s">
        <v>123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1" t="s">
        <v>124</v>
      </c>
      <c r="B17" s="15"/>
      <c r="C17" s="15" t="n">
        <f aca="false">C7*Assumptions!B34</f>
        <v>22.84843</v>
      </c>
      <c r="D17" s="15" t="n">
        <f aca="false">D7*Assumptions!B34</f>
        <v>26.5041788</v>
      </c>
      <c r="E17" s="15" t="n">
        <f aca="false">E7*Assumptions!B34</f>
        <v>30.47980562</v>
      </c>
      <c r="F17" s="15" t="n">
        <f aca="false">F7*Assumptions!B34</f>
        <v>34.7469784068</v>
      </c>
      <c r="G17" s="15" t="n">
        <f aca="false">G7*Assumptions!B34</f>
        <v>38.916615815616</v>
      </c>
      <c r="H17" s="15"/>
    </row>
    <row r="18" customFormat="false" ht="15" hidden="false" customHeight="true" outlineLevel="0" collapsed="false">
      <c r="A18" s="1" t="s">
        <v>125</v>
      </c>
      <c r="B18" s="15"/>
      <c r="C18" s="15" t="n">
        <f aca="false">-C7*Assumptions!B35</f>
        <v>-41.5426</v>
      </c>
      <c r="D18" s="15" t="n">
        <f aca="false">-D7*Assumptions!B35</f>
        <v>-48.189416</v>
      </c>
      <c r="E18" s="15" t="n">
        <f aca="false">-E7*Assumptions!B35</f>
        <v>-55.4178284</v>
      </c>
      <c r="F18" s="15" t="n">
        <f aca="false">-F7*Assumptions!B35</f>
        <v>-63.176324376</v>
      </c>
      <c r="G18" s="15" t="n">
        <f aca="false">-G7*Assumptions!B35</f>
        <v>-70.75748330112</v>
      </c>
      <c r="H18" s="15"/>
    </row>
    <row r="19" customFormat="false" ht="15" hidden="false" customHeight="true" outlineLevel="0" collapsed="false">
      <c r="A19" s="1" t="s">
        <v>126</v>
      </c>
      <c r="B19" s="15"/>
      <c r="C19" s="15" t="n">
        <f aca="false">-(C7-B7)*Assumptions!B36</f>
        <v>-13.5465</v>
      </c>
      <c r="D19" s="15" t="n">
        <f aca="false">-(D7-C7)*Assumptions!B36</f>
        <v>-16.61704</v>
      </c>
      <c r="E19" s="15" t="n">
        <f aca="false">-(E7-D7)*Assumptions!B36</f>
        <v>-18.071031</v>
      </c>
      <c r="F19" s="15" t="n">
        <f aca="false">-(F7-E7)*Assumptions!B36</f>
        <v>-19.39623994</v>
      </c>
      <c r="G19" s="15" t="n">
        <f aca="false">-(G7-F7)*Assumptions!B36</f>
        <v>-18.9528973128</v>
      </c>
      <c r="H19" s="15"/>
    </row>
    <row r="20" customFormat="false" ht="15" hidden="false" customHeight="true" outlineLevel="0" collapsed="false">
      <c r="B20" s="15"/>
      <c r="C20" s="15"/>
      <c r="D20" s="15"/>
      <c r="E20" s="15"/>
      <c r="F20" s="15"/>
      <c r="G20" s="15"/>
      <c r="H20" s="15"/>
    </row>
    <row r="21" customFormat="false" ht="15" hidden="false" customHeight="true" outlineLevel="0" collapsed="false">
      <c r="A21" s="3" t="s">
        <v>127</v>
      </c>
      <c r="B21" s="3"/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A22" s="7" t="s">
        <v>128</v>
      </c>
      <c r="B22" s="15"/>
      <c r="C22" s="15" t="n">
        <f aca="false">C14+C17+C18+C19</f>
        <v>521.475660288</v>
      </c>
      <c r="D22" s="15" t="n">
        <f aca="false">D14+D17+D18+D19</f>
        <v>554.86895465056</v>
      </c>
      <c r="E22" s="15" t="n">
        <f aca="false">E14+E17+E18+E19</f>
        <v>582.627194872096</v>
      </c>
      <c r="F22" s="15" t="n">
        <f aca="false">F14+F17+F18+F19</f>
        <v>600.977576061495</v>
      </c>
      <c r="G22" s="15" t="n">
        <f aca="false">G14+G17+G18+G19</f>
        <v>603.712955737056</v>
      </c>
      <c r="H22" s="15"/>
    </row>
    <row r="23" customFormat="false" ht="15" hidden="false" customHeight="true" outlineLevel="0" collapsed="false">
      <c r="B23" s="15"/>
      <c r="C23" s="15"/>
      <c r="D23" s="15"/>
      <c r="E23" s="15"/>
      <c r="F23" s="15"/>
      <c r="G23" s="15"/>
      <c r="H23" s="15"/>
    </row>
    <row r="24" customFormat="false" ht="15" hidden="false" customHeight="true" outlineLevel="0" collapsed="false">
      <c r="A24" s="3" t="s">
        <v>129</v>
      </c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A25" s="1" t="s">
        <v>130</v>
      </c>
      <c r="B25" s="17"/>
      <c r="C25" s="18" t="n">
        <v>0.5</v>
      </c>
      <c r="D25" s="18" t="n">
        <v>1.5</v>
      </c>
      <c r="E25" s="18" t="n">
        <v>2.5</v>
      </c>
      <c r="F25" s="18" t="n">
        <v>3.5</v>
      </c>
      <c r="G25" s="18" t="n">
        <v>4.5</v>
      </c>
      <c r="H25" s="17"/>
    </row>
    <row r="26" customFormat="false" ht="15" hidden="false" customHeight="true" outlineLevel="0" collapsed="false">
      <c r="A26" s="1" t="s">
        <v>28</v>
      </c>
      <c r="B26" s="16"/>
      <c r="C26" s="16" t="n">
        <f aca="false">Assumptions!B21</f>
        <v>0.086745618</v>
      </c>
      <c r="D26" s="16" t="n">
        <f aca="false">Assumptions!B21</f>
        <v>0.086745618</v>
      </c>
      <c r="E26" s="16" t="n">
        <f aca="false">Assumptions!B21</f>
        <v>0.086745618</v>
      </c>
      <c r="F26" s="16" t="n">
        <f aca="false">Assumptions!B21</f>
        <v>0.086745618</v>
      </c>
      <c r="G26" s="16" t="n">
        <f aca="false">Assumptions!B21</f>
        <v>0.086745618</v>
      </c>
      <c r="H26" s="16"/>
    </row>
    <row r="27" customFormat="false" ht="15" hidden="false" customHeight="true" outlineLevel="0" collapsed="false">
      <c r="A27" s="1" t="s">
        <v>131</v>
      </c>
      <c r="B27" s="19"/>
      <c r="C27" s="19" t="n">
        <f aca="false">1/(1+C26)^C25</f>
        <v>0.959259372415962</v>
      </c>
      <c r="D27" s="19" t="n">
        <f aca="false">1/(1+D26)^D25</f>
        <v>0.882689892213545</v>
      </c>
      <c r="E27" s="19" t="n">
        <f aca="false">1/(1+E26)^E25</f>
        <v>0.812232299439136</v>
      </c>
      <c r="F27" s="19" t="n">
        <f aca="false">1/(1+F26)^F25</f>
        <v>0.747398734336683</v>
      </c>
      <c r="G27" s="19" t="n">
        <f aca="false">1/(1+G26)^G25</f>
        <v>0.687740278826395</v>
      </c>
      <c r="H27" s="19"/>
    </row>
    <row r="28" customFormat="false" ht="15" hidden="false" customHeight="true" outlineLevel="0" collapsed="false">
      <c r="A28" s="1" t="s">
        <v>132</v>
      </c>
      <c r="B28" s="15"/>
      <c r="C28" s="15" t="n">
        <f aca="false">C22*C27</f>
        <v>500.230414618066</v>
      </c>
      <c r="D28" s="15" t="n">
        <f aca="false">D22*D27</f>
        <v>489.777217773145</v>
      </c>
      <c r="E28" s="15" t="n">
        <f aca="false">E22*E27</f>
        <v>473.228626206736</v>
      </c>
      <c r="F28" s="15" t="n">
        <f aca="false">F22*F27</f>
        <v>449.169879713089</v>
      </c>
      <c r="G28" s="15" t="n">
        <f aca="false">G22*G27</f>
        <v>415.19771650971</v>
      </c>
      <c r="H28" s="15"/>
    </row>
    <row r="30" customFormat="false" ht="15" hidden="false" customHeight="true" outlineLevel="0" collapsed="false">
      <c r="A30" s="3" t="s">
        <v>133</v>
      </c>
      <c r="B30" s="3"/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A31" s="1" t="s">
        <v>134</v>
      </c>
      <c r="B31" s="15"/>
      <c r="H31" s="15" t="n">
        <f aca="false">G22*(1+Assumptions!B29)</f>
        <v>618.805779630482</v>
      </c>
    </row>
    <row r="32" customFormat="false" ht="15" hidden="false" customHeight="true" outlineLevel="0" collapsed="false">
      <c r="A32" s="1" t="s">
        <v>40</v>
      </c>
      <c r="H32" s="16" t="n">
        <f aca="false">Assumptions!B29</f>
        <v>0.025</v>
      </c>
    </row>
    <row r="33" customFormat="false" ht="15" hidden="false" customHeight="true" outlineLevel="0" collapsed="false">
      <c r="A33" s="1" t="s">
        <v>135</v>
      </c>
      <c r="B33" s="15"/>
      <c r="H33" s="15" t="n">
        <f aca="false">H31/(Assumptions!B21-H32)</f>
        <v>10021.8574155413</v>
      </c>
    </row>
    <row r="34" customFormat="false" ht="15" hidden="false" customHeight="true" outlineLevel="0" collapsed="false">
      <c r="A34" s="1" t="s">
        <v>136</v>
      </c>
      <c r="B34" s="15"/>
      <c r="H34" s="15" t="n">
        <f aca="false">H33/(1+Assumptions!B21)^(G25+0.5)</f>
        <v>6611.6328852978</v>
      </c>
    </row>
    <row r="36" customFormat="false" ht="15" hidden="false" customHeight="true" outlineLevel="0" collapsed="false">
      <c r="A36" s="3" t="s">
        <v>137</v>
      </c>
      <c r="B36" s="3"/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A37" s="1" t="s">
        <v>138</v>
      </c>
      <c r="B37" s="15" t="n">
        <f aca="false">SUM(C28:G28)</f>
        <v>2327.60385482075</v>
      </c>
      <c r="H37" s="15"/>
    </row>
    <row r="38" customFormat="false" ht="15" hidden="false" customHeight="true" outlineLevel="0" collapsed="false">
      <c r="A38" s="1" t="s">
        <v>136</v>
      </c>
      <c r="B38" s="15" t="n">
        <f aca="false">H34</f>
        <v>6611.6328852978</v>
      </c>
      <c r="H38" s="15"/>
    </row>
    <row r="39" customFormat="false" ht="15" hidden="false" customHeight="true" outlineLevel="0" collapsed="false">
      <c r="A39" s="7" t="s">
        <v>139</v>
      </c>
      <c r="B39" s="20" t="n">
        <f aca="false">B37+B38</f>
        <v>8939.23674011855</v>
      </c>
      <c r="H39" s="15"/>
    </row>
    <row r="40" customFormat="false" ht="15" hidden="false" customHeight="true" outlineLevel="0" collapsed="false">
      <c r="A40" s="1" t="s">
        <v>140</v>
      </c>
      <c r="B40" s="15" t="n">
        <f aca="false">Assumptions!B40</f>
        <v>1331</v>
      </c>
      <c r="H40" s="15"/>
    </row>
    <row r="41" customFormat="false" ht="15" hidden="false" customHeight="true" outlineLevel="0" collapsed="false">
      <c r="A41" s="7" t="s">
        <v>141</v>
      </c>
      <c r="B41" s="20" t="n">
        <f aca="false">B39+B40</f>
        <v>10270.2367401186</v>
      </c>
      <c r="H41" s="15"/>
    </row>
    <row r="42" customFormat="false" ht="15" hidden="false" customHeight="true" outlineLevel="0" collapsed="false">
      <c r="A42" s="1" t="s">
        <v>54</v>
      </c>
      <c r="B42" s="21" t="n">
        <f aca="false">Assumptions!B39</f>
        <v>1025</v>
      </c>
    </row>
    <row r="43" customFormat="false" ht="15" hidden="false" customHeight="true" outlineLevel="0" collapsed="false">
      <c r="A43" s="12" t="s">
        <v>142</v>
      </c>
      <c r="B43" s="22" t="n">
        <f aca="false">B41/B42</f>
        <v>10.0197431610913</v>
      </c>
    </row>
    <row r="44" customFormat="false" ht="15" hidden="false" customHeight="true" outlineLevel="0" collapsed="false">
      <c r="A44" s="1" t="s">
        <v>143</v>
      </c>
      <c r="B44" s="23" t="n">
        <f aca="false">Assumptions!B41/100</f>
        <v>8.74</v>
      </c>
    </row>
    <row r="45" customFormat="false" ht="15" hidden="false" customHeight="true" outlineLevel="0" collapsed="false">
      <c r="A45" s="7" t="s">
        <v>144</v>
      </c>
      <c r="B45" s="16" t="n">
        <f aca="false">B43/B44-1</f>
        <v>0.146423702642021</v>
      </c>
    </row>
    <row r="46" customFormat="false" ht="15" hidden="false" customHeight="true" outlineLevel="0" collapsed="false">
      <c r="A46" s="3" t="s">
        <v>145</v>
      </c>
      <c r="B46" s="3"/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A47" s="1" t="s">
        <v>146</v>
      </c>
      <c r="B47" s="15" t="n">
        <f aca="false">G7</f>
        <v>3537.874165056</v>
      </c>
    </row>
    <row r="48" customFormat="false" ht="15" hidden="false" customHeight="true" outlineLevel="0" collapsed="false">
      <c r="A48" s="1" t="s">
        <v>59</v>
      </c>
      <c r="B48" s="8" t="n">
        <f aca="false">Assumptions!B44</f>
        <v>6.5</v>
      </c>
    </row>
    <row r="49" customFormat="false" ht="15" hidden="false" customHeight="true" outlineLevel="0" collapsed="false">
      <c r="A49" s="7" t="s">
        <v>147</v>
      </c>
      <c r="B49" s="15" t="n">
        <f aca="false">B47*B48</f>
        <v>22996.182072864</v>
      </c>
    </row>
    <row r="50" customFormat="false" ht="15" hidden="false" customHeight="true" outlineLevel="0" collapsed="false">
      <c r="A50" s="1" t="s">
        <v>136</v>
      </c>
      <c r="B50" s="15" t="n">
        <f aca="false">B49/(1+Assumptions!B21)^4.5</f>
        <v>15815.400670734</v>
      </c>
    </row>
    <row r="52" customFormat="false" ht="15" hidden="false" customHeight="true" outlineLevel="0" collapsed="false">
      <c r="A52" s="3" t="s">
        <v>148</v>
      </c>
      <c r="B52" s="3"/>
      <c r="C52" s="3"/>
      <c r="D52" s="3"/>
      <c r="E52" s="3"/>
      <c r="F52" s="3"/>
      <c r="G52" s="3"/>
      <c r="H52" s="3"/>
    </row>
    <row r="53" customFormat="false" ht="15" hidden="false" customHeight="true" outlineLevel="0" collapsed="false">
      <c r="A53" s="1" t="s">
        <v>138</v>
      </c>
      <c r="B53" s="15" t="n">
        <f aca="false">B37</f>
        <v>2327.60385482075</v>
      </c>
    </row>
    <row r="54" customFormat="false" ht="15" hidden="false" customHeight="true" outlineLevel="0" collapsed="false">
      <c r="A54" s="1" t="s">
        <v>149</v>
      </c>
      <c r="B54" s="15" t="n">
        <f aca="false">B50</f>
        <v>15815.400670734</v>
      </c>
    </row>
    <row r="55" customFormat="false" ht="15" hidden="false" customHeight="true" outlineLevel="0" collapsed="false">
      <c r="A55" s="7" t="s">
        <v>139</v>
      </c>
      <c r="B55" s="20" t="n">
        <f aca="false">B53+B54</f>
        <v>18143.0045255548</v>
      </c>
    </row>
    <row r="56" customFormat="false" ht="15" hidden="false" customHeight="true" outlineLevel="0" collapsed="false">
      <c r="A56" s="1" t="s">
        <v>150</v>
      </c>
      <c r="B56" s="15" t="n">
        <f aca="false">Assumptions!B40</f>
        <v>1331</v>
      </c>
    </row>
    <row r="57" customFormat="false" ht="15" hidden="false" customHeight="true" outlineLevel="0" collapsed="false">
      <c r="A57" s="7" t="s">
        <v>141</v>
      </c>
      <c r="B57" s="20" t="n">
        <f aca="false">B55+B56</f>
        <v>19474.0045255548</v>
      </c>
    </row>
    <row r="58" customFormat="false" ht="15" hidden="false" customHeight="true" outlineLevel="0" collapsed="false">
      <c r="A58" s="1" t="s">
        <v>54</v>
      </c>
      <c r="B58" s="21" t="n">
        <f aca="false">Assumptions!B39</f>
        <v>1025</v>
      </c>
    </row>
    <row r="59" customFormat="false" ht="15" hidden="false" customHeight="true" outlineLevel="0" collapsed="false">
      <c r="A59" s="12" t="s">
        <v>142</v>
      </c>
      <c r="B59" s="22" t="n">
        <f aca="false">B57/B58</f>
        <v>18.9990288054193</v>
      </c>
    </row>
    <row r="60" customFormat="false" ht="15" hidden="false" customHeight="true" outlineLevel="0" collapsed="false">
      <c r="A60" s="1" t="s">
        <v>143</v>
      </c>
      <c r="B60" s="23" t="n">
        <f aca="false">Assumptions!B41/100</f>
        <v>8.74</v>
      </c>
    </row>
    <row r="61" customFormat="false" ht="15" hidden="false" customHeight="true" outlineLevel="0" collapsed="false">
      <c r="A61" s="7" t="s">
        <v>144</v>
      </c>
      <c r="B61" s="24" t="n">
        <f aca="false">B59/B60-1</f>
        <v>1.17380192281685</v>
      </c>
    </row>
  </sheetData>
  <mergeCells count="9">
    <mergeCell ref="A6:H6"/>
    <mergeCell ref="A10:H10"/>
    <mergeCell ref="A16:H16"/>
    <mergeCell ref="A21:H21"/>
    <mergeCell ref="A24:H24"/>
    <mergeCell ref="A30:H30"/>
    <mergeCell ref="A36:H36"/>
    <mergeCell ref="A46:H46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11" t="s">
        <v>151</v>
      </c>
    </row>
    <row r="3" customFormat="false" ht="15" hidden="false" customHeight="true" outlineLevel="0" collapsed="false">
      <c r="A3" s="7" t="s">
        <v>152</v>
      </c>
    </row>
    <row r="4" customFormat="false" ht="15" hidden="false" customHeight="true" outlineLevel="0" collapsed="false">
      <c r="A4" s="1" t="s">
        <v>153</v>
      </c>
    </row>
    <row r="5" customFormat="false" ht="15" hidden="false" customHeight="true" outlineLevel="0" collapsed="false">
      <c r="B5" s="1" t="s">
        <v>154</v>
      </c>
    </row>
    <row r="6" customFormat="false" ht="15" hidden="false" customHeight="true" outlineLevel="0" collapsed="false">
      <c r="A6" s="1" t="s">
        <v>155</v>
      </c>
      <c r="B6" s="25" t="n">
        <v>0.015</v>
      </c>
      <c r="C6" s="25" t="n">
        <v>0.02</v>
      </c>
      <c r="D6" s="25" t="n">
        <v>0.025</v>
      </c>
      <c r="E6" s="25" t="n">
        <v>0.03</v>
      </c>
      <c r="F6" s="25" t="n">
        <v>0.035</v>
      </c>
    </row>
    <row r="7" customFormat="false" ht="15" hidden="false" customHeight="true" outlineLevel="0" collapsed="false">
      <c r="A7" s="26" t="n">
        <v>0.07</v>
      </c>
      <c r="B7" s="23" t="n">
        <f aca="false">('DCF Model'!C22/(1+0.07)^0.5+'DCF Model'!D22/(1+0.07)^1.5+'DCF Model'!E22/(1+0.07)^2.5+'DCF Model'!F22/(1+0.07)^3.5+'DCF Model'!G22/(1+0.07)^4.5+('DCF Model'!G22*(1+0.015)/(0.07-0.015))/(1+0.07)^5+Assumptions!B40)/Assumptions!B39</f>
        <v>11.4063169771012</v>
      </c>
      <c r="C7" s="23" t="n">
        <f aca="false">('DCF Model'!C22/(1+0.07)^0.5+'DCF Model'!D22/(1+0.07)^1.5+'DCF Model'!E22/(1+0.07)^2.5+'DCF Model'!F22/(1+0.07)^3.5+'DCF Model'!G22/(1+0.07)^4.5+('DCF Model'!G22*(1+0.02)/(0.07-0.02))/(1+0.07)^5+Assumptions!B40)/Assumptions!B39</f>
        <v>12.2232920961838</v>
      </c>
      <c r="D7" s="23" t="n">
        <f aca="false">('DCF Model'!C22/(1+0.07)^0.5+'DCF Model'!D22/(1+0.07)^1.5+'DCF Model'!E22/(1+0.07)^2.5+'DCF Model'!F22/(1+0.07)^3.5+'DCF Model'!G22/(1+0.07)^4.5+('DCF Model'!G22*(1+0.025)/(0.07-0.025))/(1+0.07)^5+Assumptions!B40)/Assumptions!B39</f>
        <v>13.2218172417293</v>
      </c>
      <c r="E7" s="23" t="n">
        <f aca="false">('DCF Model'!C22/(1+0.07)^0.5+'DCF Model'!D22/(1+0.07)^1.5+'DCF Model'!E22/(1+0.07)^2.5+'DCF Model'!F22/(1+0.07)^3.5+'DCF Model'!G22/(1+0.07)^4.5+('DCF Model'!G22*(1+0.03)/(0.07-0.03))/(1+0.07)^5+Assumptions!B40)/Assumptions!B39</f>
        <v>14.4699736736612</v>
      </c>
      <c r="F7" s="23" t="n">
        <f aca="false">('DCF Model'!C22/(1+0.07)^0.5+'DCF Model'!D22/(1+0.07)^1.5+'DCF Model'!E22/(1+0.07)^2.5+'DCF Model'!F22/(1+0.07)^3.5+'DCF Model'!G22/(1+0.07)^4.5+('DCF Model'!G22*(1+0.035)/(0.07-0.035))/(1+0.07)^5+Assumptions!B40)/Assumptions!B39</f>
        <v>16.0747462290022</v>
      </c>
    </row>
    <row r="8" customFormat="false" ht="15" hidden="false" customHeight="true" outlineLevel="0" collapsed="false">
      <c r="A8" s="26" t="n">
        <v>0.08</v>
      </c>
      <c r="B8" s="23" t="n">
        <f aca="false">('DCF Model'!C22/(1+0.08)^0.5+'DCF Model'!D22/(1+0.08)^1.5+'DCF Model'!E22/(1+0.08)^2.5+'DCF Model'!F22/(1+0.08)^3.5+'DCF Model'!G22/(1+0.08)^4.5+('DCF Model'!G22*(1+0.015)/(0.08-0.015))/(1+0.08)^5+Assumptions!B40)/Assumptions!B39</f>
        <v>9.86329602746282</v>
      </c>
      <c r="C8" s="23" t="n">
        <f aca="false">('DCF Model'!C22/(1+0.08)^0.5+'DCF Model'!D22/(1+0.08)^1.5+'DCF Model'!E22/(1+0.08)^2.5+'DCF Model'!F22/(1+0.08)^3.5+'DCF Model'!G22/(1+0.08)^4.5+('DCF Model'!G22*(1+0.02)/(0.08-0.02))/(1+0.08)^5+Assumptions!B40)/Assumptions!B39</f>
        <v>10.418326727884</v>
      </c>
      <c r="D8" s="23" t="n">
        <f aca="false">('DCF Model'!C22/(1+0.08)^0.5+'DCF Model'!D22/(1+0.08)^1.5+'DCF Model'!E22/(1+0.08)^2.5+'DCF Model'!F22/(1+0.08)^3.5+'DCF Model'!G22/(1+0.08)^4.5+('DCF Model'!G22*(1+0.025)/(0.08-0.025))/(1+0.08)^5+Assumptions!B40)/Assumptions!B39</f>
        <v>11.074272101109</v>
      </c>
      <c r="E8" s="23" t="n">
        <f aca="false">('DCF Model'!C22/(1+0.08)^0.5+'DCF Model'!D22/(1+0.08)^1.5+'DCF Model'!E22/(1+0.08)^2.5+'DCF Model'!F22/(1+0.08)^3.5+'DCF Model'!G22/(1+0.08)^4.5+('DCF Model'!G22*(1+0.03)/(0.08-0.03))/(1+0.08)^5+Assumptions!B40)/Assumptions!B39</f>
        <v>11.861406548979</v>
      </c>
      <c r="F8" s="23" t="n">
        <f aca="false">('DCF Model'!C22/(1+0.08)^0.5+'DCF Model'!D22/(1+0.08)^1.5+'DCF Model'!E22/(1+0.08)^2.5+'DCF Model'!F22/(1+0.08)^3.5+'DCF Model'!G22/(1+0.08)^4.5+('DCF Model'!G22*(1+0.035)/(0.08-0.035))/(1+0.08)^5+Assumptions!B40)/Assumptions!B39</f>
        <v>12.8234597630424</v>
      </c>
    </row>
    <row r="9" customFormat="false" ht="15" hidden="false" customHeight="true" outlineLevel="0" collapsed="false">
      <c r="A9" s="26" t="n">
        <v>0.0869</v>
      </c>
      <c r="B9" s="23" t="n">
        <f aca="false">('DCF Model'!C22/(1+0.0869)^0.5+'DCF Model'!D22/(1+0.0869)^1.5+'DCF Model'!E22/(1+0.0869)^2.5+'DCF Model'!F22/(1+0.0869)^3.5+'DCF Model'!G22/(1+0.0869)^4.5+('DCF Model'!G22*(1+0.015)/(0.0869-0.015))/(1+0.0869)^5+Assumptions!B40)/Assumptions!B39</f>
        <v>9.0500473825268</v>
      </c>
      <c r="C9" s="23" t="n">
        <f aca="false">('DCF Model'!C22/(1+0.0869)^0.5+'DCF Model'!D22/(1+0.0869)^1.5+'DCF Model'!E22/(1+0.0869)^2.5+'DCF Model'!F22/(1+0.0869)^3.5+'DCF Model'!G22/(1+0.0869)^4.5+('DCF Model'!G22*(1+0.02)/(0.0869-0.02))/(1+0.0869)^5+Assumptions!B40)/Assumptions!B39</f>
        <v>9.4887429756195</v>
      </c>
      <c r="D9" s="27" t="n">
        <f aca="false">('DCF Model'!C22/(1+0.0869)^0.5+'DCF Model'!D22/(1+0.0869)^1.5+'DCF Model'!E22/(1+0.0869)^2.5+'DCF Model'!F22/(1+0.0869)^3.5+'DCF Model'!G22/(1+0.0869)^4.5+('DCF Model'!G22*(1+0.025)/(0.0869-0.025))/(1+0.0869)^5+Assumptions!B40)/Assumptions!B39</f>
        <v>9.99831023157047</v>
      </c>
      <c r="E9" s="23" t="n">
        <f aca="false">('DCF Model'!C22/(1+0.0869)^0.5+'DCF Model'!D22/(1+0.0869)^1.5+'DCF Model'!E22/(1+0.0869)^2.5+'DCF Model'!F22/(1+0.0869)^3.5+'DCF Model'!G22/(1+0.0869)^4.5+('DCF Model'!G22*(1+0.03)/(0.0869-0.03))/(1+0.0869)^5+Assumptions!B40)/Assumptions!B39</f>
        <v>10.5974323655445</v>
      </c>
      <c r="F9" s="23" t="n">
        <f aca="false">('DCF Model'!C22/(1+0.0869)^0.5+'DCF Model'!D22/(1+0.0869)^1.5+'DCF Model'!E22/(1+0.0869)^2.5+'DCF Model'!F22/(1+0.0869)^3.5+'DCF Model'!G22/(1+0.0869)^4.5+('DCF Model'!G22*(1+0.035)/(0.0869-0.035))/(1+0.0869)^5+Assumptions!B40)/Assumptions!B39</f>
        <v>11.3119922902649</v>
      </c>
    </row>
    <row r="10" customFormat="false" ht="15" hidden="false" customHeight="true" outlineLevel="0" collapsed="false">
      <c r="A10" s="26" t="n">
        <v>0.09</v>
      </c>
      <c r="B10" s="23" t="n">
        <f aca="false">('DCF Model'!C22/(1+0.09)^0.5+'DCF Model'!D22/(1+0.09)^1.5+'DCF Model'!E22/(1+0.09)^2.5+'DCF Model'!F22/(1+0.09)^3.5+'DCF Model'!G22/(1+0.09)^4.5+('DCF Model'!G22*(1+0.015)/(0.09-0.015))/(1+0.09)^5+Assumptions!B40)/Assumptions!B39</f>
        <v>8.73367394827522</v>
      </c>
      <c r="C10" s="23" t="n">
        <f aca="false">('DCF Model'!C22/(1+0.09)^0.5+'DCF Model'!D22/(1+0.09)^1.5+'DCF Model'!E22/(1+0.09)^2.5+'DCF Model'!F22/(1+0.09)^3.5+'DCF Model'!G22/(1+0.09)^4.5+('DCF Model'!G22*(1+0.02)/(0.09-0.02))/(1+0.09)^5+Assumptions!B40)/Assumptions!B39</f>
        <v>9.13105882919584</v>
      </c>
      <c r="D10" s="23" t="n">
        <f aca="false">('DCF Model'!C22/(1+0.09)^0.5+'DCF Model'!D22/(1+0.09)^1.5+'DCF Model'!E22/(1+0.09)^2.5+'DCF Model'!F22/(1+0.09)^3.5+'DCF Model'!G22/(1+0.09)^4.5+('DCF Model'!G22*(1+0.025)/(0.09-0.025))/(1+0.09)^5+Assumptions!B40)/Assumptions!B39</f>
        <v>9.58957984564271</v>
      </c>
      <c r="E10" s="23" t="n">
        <f aca="false">('DCF Model'!C22/(1+0.09)^0.5+'DCF Model'!D22/(1+0.09)^1.5+'DCF Model'!E22/(1+0.09)^2.5+'DCF Model'!F22/(1+0.09)^3.5+'DCF Model'!G22/(1+0.09)^4.5+('DCF Model'!G22*(1+0.03)/(0.09-0.03))/(1+0.09)^5+Assumptions!B40)/Assumptions!B39</f>
        <v>10.1245210314974</v>
      </c>
      <c r="F10" s="23" t="n">
        <f aca="false">('DCF Model'!C22/(1+0.09)^0.5+'DCF Model'!D22/(1+0.09)^1.5+'DCF Model'!E22/(1+0.09)^2.5+'DCF Model'!F22/(1+0.09)^3.5+'DCF Model'!G22/(1+0.09)^4.5+('DCF Model'!G22*(1+0.035)/(0.09-0.035))/(1+0.09)^5+Assumptions!B40)/Assumptions!B39</f>
        <v>10.7567242511438</v>
      </c>
    </row>
    <row r="11" customFormat="false" ht="15" hidden="false" customHeight="true" outlineLevel="0" collapsed="false">
      <c r="A11" s="26" t="n">
        <v>0.1</v>
      </c>
      <c r="B11" s="23" t="n">
        <f aca="false">('DCF Model'!C22/(1+0.1)^0.5+'DCF Model'!D22/(1+0.1)^1.5+'DCF Model'!E22/(1+0.1)^2.5+'DCF Model'!F22/(1+0.1)^3.5+'DCF Model'!G22/(1+0.1)^4.5+('DCF Model'!G22*(1+0.015)/(0.1-0.015))/(1+0.1)^5+Assumptions!B40)/Assumptions!B39</f>
        <v>7.87139000516757</v>
      </c>
      <c r="C11" s="23" t="n">
        <f aca="false">('DCF Model'!C22/(1+0.1)^0.5+'DCF Model'!D22/(1+0.1)^1.5+'DCF Model'!E22/(1+0.1)^2.5+'DCF Model'!F22/(1+0.1)^3.5+'DCF Model'!G22/(1+0.1)^4.5+('DCF Model'!G22*(1+0.02)/(0.1-0.02))/(1+0.1)^5+Assumptions!B40)/Assumptions!B39</f>
        <v>8.16718919594708</v>
      </c>
      <c r="D11" s="23" t="n">
        <f aca="false">('DCF Model'!C22/(1+0.1)^0.5+'DCF Model'!D22/(1+0.1)^1.5+'DCF Model'!E22/(1+0.1)^2.5+'DCF Model'!F22/(1+0.1)^3.5+'DCF Model'!G22/(1+0.1)^4.5+('DCF Model'!G22*(1+0.025)/(0.1-0.025))/(1+0.1)^5+Assumptions!B40)/Assumptions!B39</f>
        <v>8.50242827883051</v>
      </c>
      <c r="E11" s="23" t="n">
        <f aca="false">('DCF Model'!C22/(1+0.1)^0.5+'DCF Model'!D22/(1+0.1)^1.5+'DCF Model'!E22/(1+0.1)^2.5+'DCF Model'!F22/(1+0.1)^3.5+'DCF Model'!G22/(1+0.1)^4.5+('DCF Model'!G22*(1+0.03)/(0.1-0.03))/(1+0.1)^5+Assumptions!B40)/Assumptions!B39</f>
        <v>8.88555865926873</v>
      </c>
      <c r="F11" s="23" t="n">
        <f aca="false">('DCF Model'!C22/(1+0.1)^0.5+'DCF Model'!D22/(1+0.1)^1.5+'DCF Model'!E22/(1+0.1)^2.5+'DCF Model'!F22/(1+0.1)^3.5+'DCF Model'!G22/(1+0.1)^4.5+('DCF Model'!G22*(1+0.035)/(0.1-0.035))/(1+0.1)^5+Assumptions!B40)/Assumptions!B39</f>
        <v>9.32763217515897</v>
      </c>
    </row>
    <row r="13" customFormat="false" ht="15" hidden="false" customHeight="true" outlineLevel="0" collapsed="false">
      <c r="A13" s="1" t="s">
        <v>156</v>
      </c>
    </row>
    <row r="16" customFormat="false" ht="15" hidden="false" customHeight="true" outlineLevel="0" collapsed="false">
      <c r="A16" s="7" t="s">
        <v>157</v>
      </c>
    </row>
    <row r="18" customFormat="false" ht="15" hidden="false" customHeight="true" outlineLevel="0" collapsed="false">
      <c r="A18" s="1" t="s">
        <v>158</v>
      </c>
      <c r="B18" s="26" t="n">
        <v>0.2</v>
      </c>
      <c r="C18" s="26" t="n">
        <v>0.22</v>
      </c>
      <c r="D18" s="26" t="n">
        <v>0.25</v>
      </c>
      <c r="E18" s="26" t="n">
        <v>0.28</v>
      </c>
      <c r="F18" s="26" t="n">
        <v>0.3</v>
      </c>
    </row>
    <row r="19" customFormat="false" ht="15" hidden="false" customHeight="true" outlineLevel="0" collapsed="false">
      <c r="A19" s="1" t="s">
        <v>159</v>
      </c>
      <c r="B19" s="23" t="n">
        <f aca="false">('DCF Model'!C22/(1+Assumptions!B21)^0.5+'DCF Model'!D22/(1+Assumptions!B21)^1.5+'DCF Model'!E22/(1+Assumptions!B21)^2.5+'DCF Model'!F22/(1+Assumptions!B21)^3.5+('DCF Model'!G7*0.2*(1-Assumptions!B17)+'DCF Model'!G7*Assumptions!B34-'DCF Model'!G7*Assumptions!B35-('DCF Model'!G7-'DCF Model'!F7)*Assumptions!B36)/(1+Assumptions!B21)^4.5+(('DCF Model'!G7*0.2*(1-Assumptions!B17)+'DCF Model'!G7*Assumptions!B34-'DCF Model'!G7*Assumptions!B35)*(1+Assumptions!B29)/(Assumptions!B21-Assumptions!B29))/(1+Assumptions!B21)^5+Assumptions!B40)/Assumptions!B39</f>
        <v>8.73579915539894</v>
      </c>
      <c r="C19" s="23" t="n">
        <f aca="false">('DCF Model'!C22/(1+Assumptions!B21)^0.5+'DCF Model'!D22/(1+Assumptions!B21)^1.5+'DCF Model'!E22/(1+Assumptions!B21)^2.5+'DCF Model'!F22/(1+Assumptions!B21)^3.5+('DCF Model'!G7*0.22*(1-Assumptions!B17)+'DCF Model'!G7*Assumptions!B34-'DCF Model'!G7*Assumptions!B35-('DCF Model'!G7-'DCF Model'!F7)*Assumptions!B36)/(1+Assumptions!B21)^4.5+(('DCF Model'!G7*0.22*(1-Assumptions!B17)+'DCF Model'!G7*Assumptions!B34-'DCF Model'!G7*Assumptions!B35)*(1+Assumptions!B29)/(Assumptions!B21-Assumptions!B29))/(1+Assumptions!B21)^5+Assumptions!B40)/Assumptions!B39</f>
        <v>9.33037768124178</v>
      </c>
      <c r="D19" s="27" t="n">
        <f aca="false">('DCF Model'!C22/(1+Assumptions!B21)^0.5+'DCF Model'!D22/(1+Assumptions!B21)^1.5+'DCF Model'!E22/(1+Assumptions!B21)^2.5+'DCF Model'!F22/(1+Assumptions!B21)^3.5+('DCF Model'!G7*0.25*(1-Assumptions!B17)+'DCF Model'!G7*Assumptions!B34-'DCF Model'!G7*Assumptions!B35-('DCF Model'!G7-'DCF Model'!F7)*Assumptions!B36)/(1+Assumptions!B21)^4.5+(('DCF Model'!G7*0.25*(1-Assumptions!B17)+'DCF Model'!G7*Assumptions!B34-'DCF Model'!G7*Assumptions!B35)*(1+Assumptions!B29)/(Assumptions!B21-Assumptions!B29))/(1+Assumptions!B21)^5+Assumptions!B40)/Assumptions!B39</f>
        <v>10.222245470006</v>
      </c>
      <c r="E19" s="23" t="n">
        <f aca="false">('DCF Model'!C22/(1+Assumptions!B21)^0.5+'DCF Model'!D22/(1+Assumptions!B21)^1.5+'DCF Model'!E22/(1+Assumptions!B21)^2.5+'DCF Model'!F22/(1+Assumptions!B21)^3.5+('DCF Model'!G7*0.28*(1-Assumptions!B17)+'DCF Model'!G7*Assumptions!B34-'DCF Model'!G7*Assumptions!B35-('DCF Model'!G7-'DCF Model'!F7)*Assumptions!B36)/(1+Assumptions!B21)^4.5+(('DCF Model'!G7*0.28*(1-Assumptions!B17)+'DCF Model'!G7*Assumptions!B34-'DCF Model'!G7*Assumptions!B35)*(1+Assumptions!B29)/(Assumptions!B21-Assumptions!B29))/(1+Assumptions!B21)^5+Assumptions!B40)/Assumptions!B39</f>
        <v>11.1141132587703</v>
      </c>
      <c r="F19" s="23" t="n">
        <f aca="false">('DCF Model'!C22/(1+Assumptions!B21)^0.5+'DCF Model'!D22/(1+Assumptions!B21)^1.5+'DCF Model'!E22/(1+Assumptions!B21)^2.5+'DCF Model'!F22/(1+Assumptions!B21)^3.5+('DCF Model'!G7*0.3*(1-Assumptions!B17)+'DCF Model'!G7*Assumptions!B34-'DCF Model'!G7*Assumptions!B35-('DCF Model'!G7-'DCF Model'!F7)*Assumptions!B36)/(1+Assumptions!B21)^4.5+(('DCF Model'!G7*0.3*(1-Assumptions!B17)+'DCF Model'!G7*Assumptions!B34-'DCF Model'!G7*Assumptions!B35)*(1+Assumptions!B29)/(Assumptions!B21-Assumptions!B29))/(1+Assumptions!B21)^5+Assumptions!B40)/Assumptions!B39</f>
        <v>11.7086917846132</v>
      </c>
    </row>
    <row r="22" customFormat="false" ht="17.25" hidden="false" customHeight="true" outlineLevel="0" collapsed="false">
      <c r="A22" s="11" t="s">
        <v>160</v>
      </c>
    </row>
    <row r="24" customFormat="false" ht="15" hidden="false" customHeight="true" outlineLevel="0" collapsed="false">
      <c r="A24" s="7" t="s">
        <v>161</v>
      </c>
    </row>
    <row r="26" customFormat="false" ht="15" hidden="false" customHeight="true" outlineLevel="0" collapsed="false">
      <c r="A26" s="1" t="s">
        <v>162</v>
      </c>
      <c r="B26" s="28" t="n">
        <v>3</v>
      </c>
      <c r="C26" s="28" t="n">
        <v>3.5</v>
      </c>
      <c r="D26" s="28" t="n">
        <v>4</v>
      </c>
      <c r="E26" s="28" t="n">
        <v>4.5</v>
      </c>
      <c r="F26" s="28" t="n">
        <v>5</v>
      </c>
      <c r="G26" s="28" t="n">
        <v>5.5</v>
      </c>
      <c r="H26" s="28" t="n">
        <v>6</v>
      </c>
    </row>
    <row r="27" customFormat="false" ht="15" hidden="false" customHeight="true" outlineLevel="0" collapsed="false">
      <c r="A27" s="1" t="s">
        <v>159</v>
      </c>
      <c r="B27" s="23" t="n">
        <f aca="false">('DCF Model'!C22/(1+Assumptions!B21)^0.5+'DCF Model'!D22/(1+Assumptions!B21)^1.5+'DCF Model'!E22/(1+Assumptions!B21)^2.5+'DCF Model'!F22/(1+Assumptions!B21)^3.5+'DCF Model'!G22/(1+Assumptions!B21)^4.5+('DCF Model'!G7*3)/(1+Assumptions!B21)^4.5+Assumptions!B40)/Assumptions!B39</f>
        <v>10.6907507795177</v>
      </c>
      <c r="C27" s="23" t="n">
        <f aca="false">('DCF Model'!C22/(1+Assumptions!B21)^0.5+'DCF Model'!D22/(1+Assumptions!B21)^1.5+'DCF Model'!E22/(1+Assumptions!B21)^2.5+'DCF Model'!F22/(1+Assumptions!B21)^3.5+'DCF Model'!G22/(1+Assumptions!B21)^4.5+('DCF Model'!G7*3.5)/(1+Assumptions!B21)^4.5+Assumptions!B40)/Assumptions!B39</f>
        <v>11.8776476403608</v>
      </c>
      <c r="D27" s="23" t="n">
        <f aca="false">('DCF Model'!C22/(1+Assumptions!B21)^0.5+'DCF Model'!D22/(1+Assumptions!B21)^1.5+'DCF Model'!E22/(1+Assumptions!B21)^2.5+'DCF Model'!F22/(1+Assumptions!B21)^3.5+'DCF Model'!G22/(1+Assumptions!B21)^4.5+('DCF Model'!G7*4)/(1+Assumptions!B21)^4.5+Assumptions!B40)/Assumptions!B39</f>
        <v>13.0645445012039</v>
      </c>
      <c r="E27" s="27" t="n">
        <f aca="false">('DCF Model'!C22/(1+Assumptions!B21)^0.5+'DCF Model'!D22/(1+Assumptions!B21)^1.5+'DCF Model'!E22/(1+Assumptions!B21)^2.5+'DCF Model'!F22/(1+Assumptions!B21)^3.5+'DCF Model'!G22/(1+Assumptions!B21)^4.5+('DCF Model'!G7*4.5)/(1+Assumptions!B21)^4.5+Assumptions!B40)/Assumptions!B39</f>
        <v>14.251441362047</v>
      </c>
      <c r="F27" s="23" t="n">
        <f aca="false">('DCF Model'!C22/(1+Assumptions!B21)^0.5+'DCF Model'!D22/(1+Assumptions!B21)^1.5+'DCF Model'!E22/(1+Assumptions!B21)^2.5+'DCF Model'!F22/(1+Assumptions!B21)^3.5+'DCF Model'!G22/(1+Assumptions!B21)^4.5+('DCF Model'!G7*5)/(1+Assumptions!B21)^4.5+Assumptions!B40)/Assumptions!B39</f>
        <v>15.4383382228901</v>
      </c>
      <c r="G27" s="23" t="n">
        <f aca="false">('DCF Model'!C22/(1+Assumptions!B21)^0.5+'DCF Model'!D22/(1+Assumptions!B21)^1.5+'DCF Model'!E22/(1+Assumptions!B21)^2.5+'DCF Model'!F22/(1+Assumptions!B21)^3.5+'DCF Model'!G22/(1+Assumptions!B21)^4.5+('DCF Model'!G7*5.5)/(1+Assumptions!B21)^4.5+Assumptions!B40)/Assumptions!B39</f>
        <v>16.6252350837331</v>
      </c>
      <c r="H27" s="23" t="n">
        <f aca="false">('DCF Model'!C22/(1+Assumptions!B21)^0.5+'DCF Model'!D22/(1+Assumptions!B21)^1.5+'DCF Model'!E22/(1+Assumptions!B21)^2.5+'DCF Model'!F22/(1+Assumptions!B21)^3.5+'DCF Model'!G22/(1+Assumptions!B21)^4.5+('DCF Model'!G7*6)/(1+Assumptions!B21)^4.5+Assumptions!B40)/Assumptions!B39</f>
        <v>17.8121319445762</v>
      </c>
    </row>
    <row r="30" customFormat="false" ht="15" hidden="false" customHeight="true" outlineLevel="0" collapsed="false">
      <c r="A30" s="7" t="s">
        <v>163</v>
      </c>
    </row>
    <row r="31" customFormat="false" ht="15" hidden="false" customHeight="true" outlineLevel="0" collapsed="false">
      <c r="B31" s="1" t="s">
        <v>154</v>
      </c>
    </row>
    <row r="32" customFormat="false" ht="15" hidden="false" customHeight="true" outlineLevel="0" collapsed="false">
      <c r="A32" s="1" t="s">
        <v>164</v>
      </c>
      <c r="B32" s="28" t="n">
        <v>3.5</v>
      </c>
      <c r="C32" s="28" t="n">
        <v>4</v>
      </c>
      <c r="D32" s="28" t="n">
        <v>4.5</v>
      </c>
      <c r="E32" s="28" t="n">
        <v>5</v>
      </c>
      <c r="F32" s="28" t="n">
        <v>5.5</v>
      </c>
    </row>
    <row r="33" customFormat="false" ht="15" hidden="false" customHeight="true" outlineLevel="0" collapsed="false">
      <c r="A33" s="24" t="n">
        <v>0.07</v>
      </c>
      <c r="B33" s="23" t="n">
        <f aca="false">('DCF Model'!C22/(1+0.07)^0.5+'DCF Model'!D22/(1+0.07)^1.5+'DCF Model'!E22/(1+0.07)^2.5+'DCF Model'!F22/(1+0.07)^3.5+'DCF Model'!G22/(1+0.07)^4.5+('DCF Model'!G7*3.5)/(1+0.07)^4.5+Assumptions!B40)/Assumptions!B39</f>
        <v>12.5661340579569</v>
      </c>
      <c r="C33" s="23" t="n">
        <f aca="false">('DCF Model'!C22/(1+0.07)^0.5+'DCF Model'!D22/(1+0.07)^1.5+'DCF Model'!E22/(1+0.07)^2.5+'DCF Model'!F22/(1+0.07)^3.5+'DCF Model'!G22/(1+0.07)^4.5+('DCF Model'!G7*4)/(1+0.07)^4.5+Assumptions!B40)/Assumptions!B39</f>
        <v>13.8389380279442</v>
      </c>
      <c r="D33" s="23" t="n">
        <f aca="false">('DCF Model'!C22/(1+0.07)^0.5+'DCF Model'!D22/(1+0.07)^1.5+'DCF Model'!E22/(1+0.07)^2.5+'DCF Model'!F22/(1+0.07)^3.5+'DCF Model'!G22/(1+0.07)^4.5+('DCF Model'!G7*4.5)/(1+0.07)^4.5+Assumptions!B40)/Assumptions!B39</f>
        <v>15.1117419979315</v>
      </c>
      <c r="E33" s="23" t="n">
        <f aca="false">('DCF Model'!C22/(1+0.07)^0.5+'DCF Model'!D22/(1+0.07)^1.5+'DCF Model'!E22/(1+0.07)^2.5+'DCF Model'!F22/(1+0.07)^3.5+'DCF Model'!G22/(1+0.07)^4.5+('DCF Model'!G7*5)/(1+0.07)^4.5+Assumptions!B40)/Assumptions!B39</f>
        <v>16.3845459679188</v>
      </c>
      <c r="F33" s="23" t="n">
        <f aca="false">('DCF Model'!C22/(1+0.07)^0.5+'DCF Model'!D22/(1+0.07)^1.5+'DCF Model'!E22/(1+0.07)^2.5+'DCF Model'!F22/(1+0.07)^3.5+'DCF Model'!G22/(1+0.07)^4.5+('DCF Model'!G7*5.5)/(1+0.07)^4.5+Assumptions!B40)/Assumptions!B39</f>
        <v>17.6573499379061</v>
      </c>
    </row>
    <row r="34" customFormat="false" ht="15" hidden="false" customHeight="true" outlineLevel="0" collapsed="false">
      <c r="A34" s="24" t="n">
        <v>0.08</v>
      </c>
      <c r="B34" s="23" t="n">
        <f aca="false">('DCF Model'!C22/(1+0.08)^0.5+'DCF Model'!D22/(1+0.08)^1.5+'DCF Model'!E22/(1+0.08)^2.5+'DCF Model'!F22/(1+0.08)^3.5+'DCF Model'!G22/(1+0.08)^4.5+('DCF Model'!G7*3.5)/(1+0.08)^4.5+Assumptions!B40)/Assumptions!B39</f>
        <v>12.1481455467272</v>
      </c>
      <c r="C34" s="23" t="n">
        <f aca="false">('DCF Model'!C22/(1+0.08)^0.5+'DCF Model'!D22/(1+0.08)^1.5+'DCF Model'!E22/(1+0.08)^2.5+'DCF Model'!F22/(1+0.08)^3.5+'DCF Model'!G22/(1+0.08)^4.5+('DCF Model'!G7*4)/(1+0.08)^4.5+Assumptions!B40)/Assumptions!B39</f>
        <v>13.3687687493641</v>
      </c>
      <c r="D34" s="23" t="n">
        <f aca="false">('DCF Model'!C22/(1+0.08)^0.5+'DCF Model'!D22/(1+0.08)^1.5+'DCF Model'!E22/(1+0.08)^2.5+'DCF Model'!F22/(1+0.08)^3.5+'DCF Model'!G22/(1+0.08)^4.5+('DCF Model'!G7*4.5)/(1+0.08)^4.5+Assumptions!B40)/Assumptions!B39</f>
        <v>14.5893919520011</v>
      </c>
      <c r="E34" s="23" t="n">
        <f aca="false">('DCF Model'!C22/(1+0.08)^0.5+'DCF Model'!D22/(1+0.08)^1.5+'DCF Model'!E22/(1+0.08)^2.5+'DCF Model'!F22/(1+0.08)^3.5+'DCF Model'!G22/(1+0.08)^4.5+('DCF Model'!G7*5)/(1+0.08)^4.5+Assumptions!B40)/Assumptions!B39</f>
        <v>15.810015154638</v>
      </c>
      <c r="F34" s="23" t="n">
        <f aca="false">('DCF Model'!C22/(1+0.08)^0.5+'DCF Model'!D22/(1+0.08)^1.5+'DCF Model'!E22/(1+0.08)^2.5+'DCF Model'!F22/(1+0.08)^3.5+'DCF Model'!G22/(1+0.08)^4.5+('DCF Model'!G7*5.5)/(1+0.08)^4.5+Assumptions!B40)/Assumptions!B39</f>
        <v>17.030638357275</v>
      </c>
    </row>
    <row r="35" customFormat="false" ht="15" hidden="false" customHeight="true" outlineLevel="0" collapsed="false">
      <c r="A35" s="24" t="n">
        <v>0.087</v>
      </c>
      <c r="B35" s="23" t="n">
        <f aca="false">('DCF Model'!C22/(1+0.087)^0.5+'DCF Model'!D22/(1+0.087)^1.5+'DCF Model'!E22/(1+0.087)^2.5+'DCF Model'!F22/(1+0.087)^3.5+'DCF Model'!G22/(1+0.087)^4.5+('DCF Model'!G7*3.5)/(1+0.087)^4.5+Assumptions!B40)/Assumptions!B39</f>
        <v>11.8676216511045</v>
      </c>
      <c r="C35" s="23" t="n">
        <f aca="false">('DCF Model'!C22/(1+0.087)^0.5+'DCF Model'!D22/(1+0.087)^1.5+'DCF Model'!E22/(1+0.087)^2.5+'DCF Model'!F22/(1+0.087)^3.5+'DCF Model'!G22/(1+0.087)^4.5+('DCF Model'!G7*4)/(1+0.087)^4.5+Assumptions!B40)/Assumptions!B39</f>
        <v>13.0532691034186</v>
      </c>
      <c r="D35" s="27" t="n">
        <f aca="false">('DCF Model'!C22/(1+0.087)^0.5+'DCF Model'!D22/(1+0.087)^1.5+'DCF Model'!E22/(1+0.087)^2.5+'DCF Model'!F22/(1+0.087)^3.5+'DCF Model'!G22/(1+0.087)^4.5+('DCF Model'!G7*4.5)/(1+0.087)^4.5+Assumptions!B40)/Assumptions!B39</f>
        <v>14.2389165557327</v>
      </c>
      <c r="E35" s="23" t="n">
        <f aca="false">('DCF Model'!C22/(1+0.087)^0.5+'DCF Model'!D22/(1+0.087)^1.5+'DCF Model'!E22/(1+0.087)^2.5+'DCF Model'!F22/(1+0.087)^3.5+'DCF Model'!G22/(1+0.087)^4.5+('DCF Model'!G7*5)/(1+0.087)^4.5+Assumptions!B40)/Assumptions!B39</f>
        <v>15.4245640080468</v>
      </c>
      <c r="F35" s="23" t="n">
        <f aca="false">('DCF Model'!C22/(1+0.087)^0.5+'DCF Model'!D22/(1+0.087)^1.5+'DCF Model'!E22/(1+0.087)^2.5+'DCF Model'!F22/(1+0.087)^3.5+'DCF Model'!G22/(1+0.087)^4.5+('DCF Model'!G7*5.5)/(1+0.087)^4.5+Assumptions!B40)/Assumptions!B39</f>
        <v>16.6102114603609</v>
      </c>
    </row>
    <row r="36" customFormat="false" ht="15" hidden="false" customHeight="true" outlineLevel="0" collapsed="false">
      <c r="A36" s="24" t="n">
        <v>0.09</v>
      </c>
      <c r="B36" s="23" t="n">
        <f aca="false">('DCF Model'!C22/(1+0.09)^0.5+'DCF Model'!D22/(1+0.09)^1.5+'DCF Model'!E22/(1+0.09)^2.5+'DCF Model'!F22/(1+0.09)^3.5+'DCF Model'!G22/(1+0.09)^4.5+('DCF Model'!G7*3.5)/(1+0.09)^4.5+Assumptions!B40)/Assumptions!B39</f>
        <v>11.7503213267183</v>
      </c>
      <c r="C36" s="23" t="n">
        <f aca="false">('DCF Model'!C22/(1+0.09)^0.5+'DCF Model'!D22/(1+0.09)^1.5+'DCF Model'!E22/(1+0.09)^2.5+'DCF Model'!F22/(1+0.09)^3.5+'DCF Model'!G22/(1+0.09)^4.5+('DCF Model'!G7*4)/(1+0.09)^4.5+Assumptions!B40)/Assumptions!B39</f>
        <v>12.9213547212641</v>
      </c>
      <c r="D36" s="23" t="n">
        <f aca="false">('DCF Model'!C22/(1+0.09)^0.5+'DCF Model'!D22/(1+0.09)^1.5+'DCF Model'!E22/(1+0.09)^2.5+'DCF Model'!F22/(1+0.09)^3.5+'DCF Model'!G22/(1+0.09)^4.5+('DCF Model'!G7*4.5)/(1+0.09)^4.5+Assumptions!B40)/Assumptions!B39</f>
        <v>14.09238811581</v>
      </c>
      <c r="E36" s="23" t="n">
        <f aca="false">('DCF Model'!C22/(1+0.09)^0.5+'DCF Model'!D22/(1+0.09)^1.5+'DCF Model'!E22/(1+0.09)^2.5+'DCF Model'!F22/(1+0.09)^3.5+'DCF Model'!G22/(1+0.09)^4.5+('DCF Model'!G7*5)/(1+0.09)^4.5+Assumptions!B40)/Assumptions!B39</f>
        <v>15.2634215103559</v>
      </c>
      <c r="F36" s="23" t="n">
        <f aca="false">('DCF Model'!C22/(1+0.09)^0.5+'DCF Model'!D22/(1+0.09)^1.5+'DCF Model'!E22/(1+0.09)^2.5+'DCF Model'!F22/(1+0.09)^3.5+'DCF Model'!G22/(1+0.09)^4.5+('DCF Model'!G7*5.5)/(1+0.09)^4.5+Assumptions!B40)/Assumptions!B39</f>
        <v>16.4344549049017</v>
      </c>
    </row>
    <row r="37" customFormat="false" ht="15" hidden="false" customHeight="true" outlineLevel="0" collapsed="false">
      <c r="A37" s="24" t="n">
        <v>0.1</v>
      </c>
      <c r="B37" s="23" t="n">
        <f aca="false">('DCF Model'!C22/(1+0.1)^0.5+'DCF Model'!D22/(1+0.1)^1.5+'DCF Model'!E22/(1+0.1)^2.5+'DCF Model'!F22/(1+0.1)^3.5+'DCF Model'!G22/(1+0.1)^4.5+('DCF Model'!G7*3.5)/(1+0.1)^4.5+Assumptions!B40)/Assumptions!B39</f>
        <v>11.3715053941846</v>
      </c>
      <c r="C37" s="23" t="n">
        <f aca="false">('DCF Model'!C22/(1+0.1)^0.5+'DCF Model'!D22/(1+0.1)^1.5+'DCF Model'!E22/(1+0.1)^2.5+'DCF Model'!F22/(1+0.1)^3.5+'DCF Model'!G22/(1+0.1)^4.5+('DCF Model'!G7*4)/(1+0.1)^4.5+Assumptions!B40)/Assumptions!B39</f>
        <v>12.4953892625194</v>
      </c>
      <c r="D37" s="23" t="n">
        <f aca="false">('DCF Model'!C22/(1+0.1)^0.5+'DCF Model'!D22/(1+0.1)^1.5+'DCF Model'!E22/(1+0.1)^2.5+'DCF Model'!F22/(1+0.1)^3.5+'DCF Model'!G22/(1+0.1)^4.5+('DCF Model'!G7*4.5)/(1+0.1)^4.5+Assumptions!B40)/Assumptions!B39</f>
        <v>13.6192731308542</v>
      </c>
      <c r="E37" s="23" t="n">
        <f aca="false">('DCF Model'!C22/(1+0.1)^0.5+'DCF Model'!D22/(1+0.1)^1.5+'DCF Model'!E22/(1+0.1)^2.5+'DCF Model'!F22/(1+0.1)^3.5+'DCF Model'!G22/(1+0.1)^4.5+('DCF Model'!G7*5)/(1+0.1)^4.5+Assumptions!B40)/Assumptions!B39</f>
        <v>14.743156999189</v>
      </c>
      <c r="F37" s="23" t="n">
        <f aca="false">('DCF Model'!C22/(1+0.1)^0.5+'DCF Model'!D22/(1+0.1)^1.5+'DCF Model'!E22/(1+0.1)^2.5+'DCF Model'!F22/(1+0.1)^3.5+'DCF Model'!G22/(1+0.1)^4.5+('DCF Model'!G7*5.5)/(1+0.1)^4.5+Assumptions!B40)/Assumptions!B39</f>
        <v>15.8670408675238</v>
      </c>
    </row>
    <row r="39" customFormat="false" ht="15" hidden="false" customHeight="true" outlineLevel="0" collapsed="false">
      <c r="A39" s="1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9.5" hidden="false" customHeight="true" outlineLevel="0" collapsed="false">
      <c r="A1" s="2" t="s">
        <v>166</v>
      </c>
    </row>
    <row r="3" customFormat="false" ht="15" hidden="false" customHeight="true" outlineLevel="0" collapsed="false">
      <c r="A3" s="3" t="s">
        <v>167</v>
      </c>
      <c r="B3" s="3"/>
      <c r="C3" s="3"/>
    </row>
    <row r="4" customFormat="false" ht="17.25" hidden="false" customHeight="true" outlineLevel="0" collapsed="false">
      <c r="A4" s="1" t="s">
        <v>159</v>
      </c>
      <c r="B4" s="29" t="n">
        <f aca="false">'DCF Model'!B43</f>
        <v>10.0197431610913</v>
      </c>
    </row>
    <row r="5" customFormat="false" ht="15" hidden="false" customHeight="true" outlineLevel="0" collapsed="false">
      <c r="A5" s="1" t="s">
        <v>168</v>
      </c>
      <c r="B5" s="23" t="n">
        <f aca="false">'DCF Model'!B44</f>
        <v>8.74</v>
      </c>
    </row>
    <row r="6" customFormat="false" ht="15" hidden="false" customHeight="true" outlineLevel="0" collapsed="false">
      <c r="A6" s="1" t="s">
        <v>144</v>
      </c>
      <c r="B6" s="24" t="n">
        <f aca="false">'DCF Model'!B45</f>
        <v>0.146423702642021</v>
      </c>
    </row>
    <row r="8" customFormat="false" ht="15" hidden="false" customHeight="true" outlineLevel="0" collapsed="false">
      <c r="A8" s="3" t="s">
        <v>169</v>
      </c>
      <c r="B8" s="3"/>
      <c r="C8" s="3"/>
    </row>
    <row r="9" customFormat="false" ht="15" hidden="false" customHeight="true" outlineLevel="0" collapsed="false">
      <c r="A9" s="1" t="s">
        <v>139</v>
      </c>
      <c r="B9" s="30" t="n">
        <f aca="false">'DCF Model'!B39</f>
        <v>8939.23674011855</v>
      </c>
    </row>
    <row r="10" customFormat="false" ht="15" hidden="false" customHeight="true" outlineLevel="0" collapsed="false">
      <c r="A10" s="1" t="s">
        <v>141</v>
      </c>
      <c r="B10" s="30" t="n">
        <f aca="false">'DCF Model'!B41</f>
        <v>10270.2367401186</v>
      </c>
    </row>
    <row r="11" customFormat="false" ht="15" hidden="false" customHeight="true" outlineLevel="0" collapsed="false">
      <c r="A11" s="1" t="s">
        <v>170</v>
      </c>
      <c r="B11" s="9" t="n">
        <f aca="false">'DCF Model'!B39/Historical!E6</f>
        <v>4.94919540478272</v>
      </c>
    </row>
    <row r="12" customFormat="false" ht="15" hidden="false" customHeight="true" outlineLevel="0" collapsed="false">
      <c r="A12" s="1" t="s">
        <v>171</v>
      </c>
      <c r="B12" s="9" t="n">
        <f aca="false">'DCF Model'!B39/Historical!E10</f>
        <v>16.0258815706679</v>
      </c>
    </row>
    <row r="14" customFormat="false" ht="15" hidden="false" customHeight="true" outlineLevel="0" collapsed="false">
      <c r="A14" s="3" t="s">
        <v>172</v>
      </c>
      <c r="B14" s="3"/>
      <c r="C14" s="3"/>
    </row>
    <row r="15" customFormat="false" ht="15" hidden="false" customHeight="true" outlineLevel="0" collapsed="false">
      <c r="A15" s="1" t="s">
        <v>28</v>
      </c>
      <c r="B15" s="16" t="n">
        <f aca="false">Assumptions!B21</f>
        <v>0.086745618</v>
      </c>
    </row>
    <row r="16" customFormat="false" ht="15" hidden="false" customHeight="true" outlineLevel="0" collapsed="false">
      <c r="A16" s="1" t="s">
        <v>40</v>
      </c>
      <c r="B16" s="16" t="n">
        <f aca="false">Assumptions!B29</f>
        <v>0.025</v>
      </c>
    </row>
    <row r="17" customFormat="false" ht="15" hidden="false" customHeight="true" outlineLevel="0" collapsed="false">
      <c r="A17" s="1" t="s">
        <v>173</v>
      </c>
      <c r="B17" s="16" t="n">
        <f aca="false">('DCF Model'!G7/'DCF Model'!B7)^(1/5)-1</f>
        <v>0.143919092956387</v>
      </c>
    </row>
    <row r="19" customFormat="false" ht="15" hidden="false" customHeight="true" outlineLevel="0" collapsed="false">
      <c r="A19" s="3" t="s">
        <v>174</v>
      </c>
      <c r="B19" s="3"/>
      <c r="C19" s="3"/>
    </row>
    <row r="20" customFormat="false" ht="15" hidden="false" customHeight="true" outlineLevel="0" collapsed="false">
      <c r="A20" s="1" t="s">
        <v>175</v>
      </c>
    </row>
    <row r="21" customFormat="false" ht="15" hidden="false" customHeight="true" outlineLevel="0" collapsed="false">
      <c r="A21" s="1" t="s">
        <v>176</v>
      </c>
    </row>
    <row r="22" customFormat="false" ht="15" hidden="false" customHeight="true" outlineLevel="0" collapsed="false">
      <c r="A22" s="1" t="s">
        <v>177</v>
      </c>
    </row>
    <row r="23" customFormat="false" ht="15" hidden="false" customHeight="true" outlineLevel="0" collapsed="false">
      <c r="A23" s="1" t="s">
        <v>178</v>
      </c>
    </row>
    <row r="24" customFormat="false" ht="15" hidden="false" customHeight="true" outlineLevel="0" collapsed="false">
      <c r="A24" s="1" t="s">
        <v>179</v>
      </c>
    </row>
    <row r="26" customFormat="false" ht="15" hidden="false" customHeight="true" outlineLevel="0" collapsed="false">
      <c r="A26" s="1" t="s">
        <v>180</v>
      </c>
    </row>
    <row r="27" customFormat="false" ht="15" hidden="false" customHeight="true" outlineLevel="0" collapsed="false">
      <c r="A27" s="1" t="s">
        <v>181</v>
      </c>
    </row>
    <row r="28" customFormat="false" ht="15" hidden="false" customHeight="true" outlineLevel="0" collapsed="false">
      <c r="A28" s="1" t="s">
        <v>182</v>
      </c>
    </row>
    <row r="29" customFormat="false" ht="15" hidden="false" customHeight="true" outlineLevel="0" collapsed="false">
      <c r="A29" s="1" t="s">
        <v>183</v>
      </c>
    </row>
    <row r="30" customFormat="false" ht="15" hidden="false" customHeight="true" outlineLevel="0" collapsed="false">
      <c r="A30" s="1" t="s">
        <v>184</v>
      </c>
    </row>
    <row r="32" customFormat="false" ht="15" hidden="false" customHeight="true" outlineLevel="0" collapsed="false">
      <c r="A32" s="3" t="s">
        <v>185</v>
      </c>
      <c r="B32" s="3"/>
      <c r="C32" s="3"/>
    </row>
    <row r="33" customFormat="false" ht="15" hidden="false" customHeight="true" outlineLevel="0" collapsed="false">
      <c r="A33" s="7" t="s">
        <v>186</v>
      </c>
      <c r="B33" s="7" t="s">
        <v>187</v>
      </c>
      <c r="C33" s="7" t="s">
        <v>188</v>
      </c>
    </row>
    <row r="34" customFormat="false" ht="15" hidden="false" customHeight="true" outlineLevel="0" collapsed="false">
      <c r="A34" s="1" t="s">
        <v>189</v>
      </c>
      <c r="B34" s="23" t="n">
        <f aca="false">'DCF Model'!B43</f>
        <v>10.0197431610913</v>
      </c>
      <c r="C34" s="16" t="n">
        <f aca="false">'DCF Model'!B45</f>
        <v>0.146423702642021</v>
      </c>
    </row>
    <row r="35" customFormat="false" ht="15" hidden="false" customHeight="true" outlineLevel="0" collapsed="false">
      <c r="A35" s="1" t="s">
        <v>190</v>
      </c>
      <c r="B35" s="23" t="n">
        <f aca="false">'DCF Model'!B59</f>
        <v>18.9990288054193</v>
      </c>
      <c r="C35" s="16" t="n">
        <f aca="false">'DCF Model'!B61</f>
        <v>1.17380192281685</v>
      </c>
    </row>
    <row r="36" customFormat="false" ht="15" hidden="false" customHeight="true" outlineLevel="0" collapsed="false">
      <c r="A36" s="1" t="s">
        <v>191</v>
      </c>
      <c r="B36" s="31" t="n">
        <f aca="false">(B34+B35)/2</f>
        <v>14.5093859832553</v>
      </c>
      <c r="C36" s="24" t="n">
        <f aca="false">(C34+C35)/2</f>
        <v>0.660112812729437</v>
      </c>
    </row>
    <row r="38" customFormat="false" ht="15" hidden="false" customHeight="true" outlineLevel="0" collapsed="false">
      <c r="A38" s="3" t="s">
        <v>192</v>
      </c>
      <c r="B38" s="3"/>
      <c r="C38" s="3"/>
    </row>
    <row r="39" customFormat="false" ht="15" hidden="false" customHeight="true" outlineLevel="0" collapsed="false">
      <c r="A39" s="1" t="s">
        <v>193</v>
      </c>
      <c r="B39" s="23" t="n">
        <f aca="false">Scenarios!B21</f>
        <v>8.82169606003752</v>
      </c>
      <c r="C39" s="16" t="n">
        <f aca="false">Scenarios!B22</f>
        <v>0.00934737529033458</v>
      </c>
    </row>
    <row r="40" customFormat="false" ht="15" hidden="false" customHeight="true" outlineLevel="0" collapsed="false">
      <c r="A40" s="1" t="s">
        <v>194</v>
      </c>
      <c r="B40" s="23" t="n">
        <f aca="false">Scenarios!C21</f>
        <v>16.6857311885484</v>
      </c>
      <c r="C40" s="16" t="n">
        <f aca="false">Scenarios!C22</f>
        <v>0.90912256161881</v>
      </c>
    </row>
    <row r="41" customFormat="false" ht="15" hidden="false" customHeight="true" outlineLevel="0" collapsed="false">
      <c r="A41" s="1" t="s">
        <v>195</v>
      </c>
      <c r="B41" s="23" t="n">
        <f aca="false">Scenarios!D21</f>
        <v>25.53637353906</v>
      </c>
      <c r="C41" s="16" t="n">
        <f aca="false">Scenarios!D22</f>
        <v>1.92178186945766</v>
      </c>
    </row>
    <row r="42" customFormat="false" ht="15" hidden="false" customHeight="true" outlineLevel="0" collapsed="false">
      <c r="A42" s="1" t="s">
        <v>196</v>
      </c>
      <c r="B42" s="31" t="n">
        <f aca="false">Scenarios!B25</f>
        <v>17.7681168679997</v>
      </c>
      <c r="C42" s="24" t="n">
        <f aca="false">Scenarios!B27</f>
        <v>1.03296531670477</v>
      </c>
    </row>
  </sheetData>
  <mergeCells count="6">
    <mergeCell ref="A3:C3"/>
    <mergeCell ref="A8:C8"/>
    <mergeCell ref="A14:C14"/>
    <mergeCell ref="A19:C19"/>
    <mergeCell ref="A32:C32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11" t="s">
        <v>197</v>
      </c>
    </row>
    <row r="2" customFormat="false" ht="15" hidden="false" customHeight="true" outlineLevel="0" collapsed="false">
      <c r="A2" s="1" t="s">
        <v>198</v>
      </c>
    </row>
    <row r="4" customFormat="false" ht="15" hidden="false" customHeight="true" outlineLevel="0" collapsed="false">
      <c r="A4" s="3" t="s">
        <v>199</v>
      </c>
      <c r="B4" s="3"/>
      <c r="C4" s="3"/>
      <c r="D4" s="3"/>
      <c r="E4" s="3"/>
    </row>
    <row r="5" customFormat="false" ht="15" hidden="false" customHeight="true" outlineLevel="0" collapsed="false">
      <c r="A5" s="32" t="s">
        <v>200</v>
      </c>
      <c r="B5" s="33" t="s">
        <v>201</v>
      </c>
      <c r="C5" s="34" t="s">
        <v>108</v>
      </c>
      <c r="D5" s="35" t="s">
        <v>202</v>
      </c>
      <c r="E5" s="32" t="s">
        <v>203</v>
      </c>
    </row>
    <row r="6" customFormat="false" ht="15" hidden="false" customHeight="true" outlineLevel="0" collapsed="false">
      <c r="A6" s="1" t="s">
        <v>204</v>
      </c>
      <c r="B6" s="36" t="n">
        <v>0.2</v>
      </c>
      <c r="C6" s="36" t="n">
        <v>0.5</v>
      </c>
      <c r="D6" s="36" t="n">
        <v>0.3</v>
      </c>
      <c r="E6" s="1" t="s">
        <v>205</v>
      </c>
    </row>
    <row r="7" customFormat="false" ht="15" hidden="false" customHeight="true" outlineLevel="0" collapsed="false">
      <c r="A7" s="1" t="s">
        <v>206</v>
      </c>
      <c r="B7" s="4" t="n">
        <v>0.1</v>
      </c>
      <c r="C7" s="4" t="n">
        <v>0.15</v>
      </c>
      <c r="D7" s="4" t="n">
        <v>0.18</v>
      </c>
      <c r="E7" s="1" t="s">
        <v>207</v>
      </c>
    </row>
    <row r="8" customFormat="false" ht="15" hidden="false" customHeight="true" outlineLevel="0" collapsed="false">
      <c r="A8" s="1" t="s">
        <v>208</v>
      </c>
      <c r="B8" s="4" t="n">
        <v>0.2</v>
      </c>
      <c r="C8" s="4" t="n">
        <v>0.25</v>
      </c>
      <c r="D8" s="4" t="n">
        <v>0.3</v>
      </c>
      <c r="E8" s="1" t="s">
        <v>209</v>
      </c>
    </row>
    <row r="9" customFormat="false" ht="15" hidden="false" customHeight="true" outlineLevel="0" collapsed="false">
      <c r="A9" s="1" t="s">
        <v>59</v>
      </c>
      <c r="B9" s="8" t="n">
        <v>3.5</v>
      </c>
      <c r="C9" s="8" t="n">
        <v>5.5</v>
      </c>
      <c r="D9" s="8" t="n">
        <v>7.5</v>
      </c>
      <c r="E9" s="1" t="s">
        <v>210</v>
      </c>
    </row>
    <row r="10" customFormat="false" ht="15" hidden="false" customHeight="true" outlineLevel="0" collapsed="false">
      <c r="A10" s="1" t="s">
        <v>28</v>
      </c>
      <c r="B10" s="4" t="n">
        <v>0.1</v>
      </c>
      <c r="C10" s="4" t="n">
        <v>0.087</v>
      </c>
      <c r="D10" s="4" t="n">
        <v>0.08</v>
      </c>
      <c r="E10" s="1" t="s">
        <v>211</v>
      </c>
    </row>
    <row r="12" customFormat="false" ht="15" hidden="false" customHeight="true" outlineLevel="0" collapsed="false">
      <c r="A12" s="3" t="s">
        <v>212</v>
      </c>
      <c r="B12" s="3"/>
      <c r="C12" s="3"/>
      <c r="D12" s="3"/>
      <c r="E12" s="3"/>
    </row>
    <row r="13" customFormat="false" ht="15" hidden="false" customHeight="true" outlineLevel="0" collapsed="false">
      <c r="A13" s="32" t="s">
        <v>213</v>
      </c>
      <c r="B13" s="33" t="s">
        <v>201</v>
      </c>
      <c r="C13" s="34" t="s">
        <v>108</v>
      </c>
      <c r="D13" s="35" t="s">
        <v>202</v>
      </c>
    </row>
    <row r="14" customFormat="false" ht="15" hidden="false" customHeight="true" outlineLevel="0" collapsed="false">
      <c r="A14" s="1" t="s">
        <v>214</v>
      </c>
      <c r="B14" s="21" t="n">
        <f aca="false">1806.2*(1+B7)^5</f>
        <v>2908.903162</v>
      </c>
      <c r="C14" s="21" t="n">
        <f aca="false">1806.2*(1+C7)^5</f>
        <v>3632.9133520625</v>
      </c>
      <c r="D14" s="21" t="n">
        <f aca="false">1806.2*(1+D7)^5</f>
        <v>4132.14806033216</v>
      </c>
    </row>
    <row r="15" customFormat="false" ht="15" hidden="false" customHeight="true" outlineLevel="0" collapsed="false">
      <c r="A15" s="1" t="s">
        <v>215</v>
      </c>
      <c r="B15" s="21" t="n">
        <f aca="false">B14*B8</f>
        <v>581.7806324</v>
      </c>
      <c r="C15" s="21" t="n">
        <f aca="false">C14*C8</f>
        <v>908.228338015625</v>
      </c>
      <c r="D15" s="21" t="n">
        <f aca="false">D14*D8</f>
        <v>1239.64441809965</v>
      </c>
    </row>
    <row r="16" customFormat="false" ht="15" hidden="false" customHeight="true" outlineLevel="0" collapsed="false">
      <c r="A16" s="1" t="s">
        <v>216</v>
      </c>
      <c r="B16" s="21" t="n">
        <f aca="false">B14*B9</f>
        <v>10181.161067</v>
      </c>
      <c r="C16" s="21" t="n">
        <f aca="false">C14*C9</f>
        <v>19981.0234363437</v>
      </c>
      <c r="D16" s="21" t="n">
        <f aca="false">D14*D9</f>
        <v>30991.1104524912</v>
      </c>
    </row>
    <row r="17" customFormat="false" ht="15" hidden="false" customHeight="true" outlineLevel="0" collapsed="false">
      <c r="A17" s="1" t="s">
        <v>217</v>
      </c>
      <c r="B17" s="21" t="n">
        <f aca="false">B16/(1+B10)^5</f>
        <v>6321.7</v>
      </c>
      <c r="C17" s="21" t="n">
        <f aca="false">C16/(1+C10)^5</f>
        <v>13166.4898528775</v>
      </c>
      <c r="D17" s="21" t="n">
        <f aca="false">D16/(1+D10)^5</f>
        <v>21092.0290313826</v>
      </c>
    </row>
    <row r="18" customFormat="false" ht="15" hidden="false" customHeight="true" outlineLevel="0" collapsed="false">
      <c r="A18" s="1" t="s">
        <v>218</v>
      </c>
      <c r="B18" s="21" t="n">
        <f aca="false">2258*(B7/0.13)*(B8/0.25)</f>
        <v>1389.53846153846</v>
      </c>
      <c r="C18" s="21" t="n">
        <f aca="false">2258*(C7/0.13)*(C8/0.25)</f>
        <v>2605.38461538462</v>
      </c>
      <c r="D18" s="21" t="n">
        <f aca="false">2258*(D7/0.13)*(D8/0.25)</f>
        <v>3751.75384615385</v>
      </c>
    </row>
    <row r="19" customFormat="false" ht="15" hidden="false" customHeight="true" outlineLevel="0" collapsed="false">
      <c r="A19" s="1" t="s">
        <v>219</v>
      </c>
      <c r="B19" s="37" t="n">
        <f aca="false">B17+B18</f>
        <v>7711.23846153846</v>
      </c>
      <c r="C19" s="37" t="n">
        <f aca="false">C17+C18</f>
        <v>15771.8744682621</v>
      </c>
      <c r="D19" s="37" t="n">
        <f aca="false">D17+D18</f>
        <v>24843.7828775365</v>
      </c>
    </row>
    <row r="20" customFormat="false" ht="15" hidden="false" customHeight="true" outlineLevel="0" collapsed="false">
      <c r="A20" s="1" t="s">
        <v>220</v>
      </c>
      <c r="B20" s="37" t="n">
        <f aca="false">B19+Assumptions!B40</f>
        <v>9042.23846153846</v>
      </c>
      <c r="C20" s="37" t="n">
        <f aca="false">C19+Assumptions!B40</f>
        <v>17102.8744682621</v>
      </c>
      <c r="D20" s="37" t="n">
        <f aca="false">D19+Assumptions!B40</f>
        <v>26174.7828775365</v>
      </c>
    </row>
    <row r="21" customFormat="false" ht="15" hidden="false" customHeight="true" outlineLevel="0" collapsed="false">
      <c r="A21" s="1" t="s">
        <v>142</v>
      </c>
      <c r="B21" s="22" t="n">
        <f aca="false">B20/Assumptions!B39</f>
        <v>8.82169606003752</v>
      </c>
      <c r="C21" s="22" t="n">
        <f aca="false">C20/Assumptions!B39</f>
        <v>16.6857311885484</v>
      </c>
      <c r="D21" s="22" t="n">
        <f aca="false">D20/Assumptions!B39</f>
        <v>25.53637353906</v>
      </c>
    </row>
    <row r="22" customFormat="false" ht="15" hidden="false" customHeight="true" outlineLevel="0" collapsed="false">
      <c r="A22" s="1" t="s">
        <v>144</v>
      </c>
      <c r="B22" s="24" t="n">
        <f aca="false">B21/(Assumptions!B41/100)-1</f>
        <v>0.00934737529033458</v>
      </c>
      <c r="C22" s="24" t="n">
        <f aca="false">C21/(Assumptions!B41/100)-1</f>
        <v>0.90912256161881</v>
      </c>
      <c r="D22" s="24" t="n">
        <f aca="false">D21/(Assumptions!B41/100)-1</f>
        <v>1.92178186945766</v>
      </c>
    </row>
    <row r="24" customFormat="false" ht="15" hidden="false" customHeight="true" outlineLevel="0" collapsed="false">
      <c r="A24" s="3" t="s">
        <v>221</v>
      </c>
      <c r="B24" s="3"/>
      <c r="C24" s="3"/>
      <c r="D24" s="3"/>
      <c r="E24" s="3"/>
    </row>
    <row r="25" customFormat="false" ht="17.25" hidden="false" customHeight="true" outlineLevel="0" collapsed="false">
      <c r="A25" s="1" t="s">
        <v>222</v>
      </c>
      <c r="B25" s="29" t="n">
        <f aca="false">B21*B6+C21*C6+D21*D6</f>
        <v>17.7681168679997</v>
      </c>
    </row>
    <row r="26" customFormat="false" ht="15" hidden="false" customHeight="true" outlineLevel="0" collapsed="false">
      <c r="A26" s="1" t="s">
        <v>168</v>
      </c>
      <c r="B26" s="23" t="n">
        <f aca="false">Assumptions!B41/100</f>
        <v>8.74</v>
      </c>
    </row>
    <row r="27" customFormat="false" ht="17.25" hidden="false" customHeight="true" outlineLevel="0" collapsed="false">
      <c r="A27" s="1" t="s">
        <v>223</v>
      </c>
      <c r="B27" s="38" t="n">
        <f aca="false">B25/B26-1</f>
        <v>1.03296531670477</v>
      </c>
    </row>
    <row r="29" customFormat="false" ht="15" hidden="false" customHeight="true" outlineLevel="0" collapsed="false">
      <c r="A29" s="3" t="s">
        <v>224</v>
      </c>
      <c r="B29" s="3"/>
      <c r="C29" s="3"/>
      <c r="D29" s="3"/>
      <c r="E29" s="3"/>
    </row>
    <row r="30" customFormat="false" ht="15" hidden="false" customHeight="true" outlineLevel="0" collapsed="false">
      <c r="A30" s="1" t="s">
        <v>225</v>
      </c>
      <c r="B30" s="39" t="n">
        <f aca="false">B21</f>
        <v>8.82169606003752</v>
      </c>
      <c r="C30" s="40" t="n">
        <f aca="false">B22</f>
        <v>0.00934737529033458</v>
      </c>
    </row>
    <row r="31" customFormat="false" ht="15" hidden="false" customHeight="true" outlineLevel="0" collapsed="false">
      <c r="A31" s="1" t="s">
        <v>226</v>
      </c>
      <c r="B31" s="41" t="n">
        <f aca="false">C21</f>
        <v>16.6857311885484</v>
      </c>
      <c r="C31" s="42" t="n">
        <f aca="false">C22</f>
        <v>0.90912256161881</v>
      </c>
    </row>
    <row r="32" customFormat="false" ht="15" hidden="false" customHeight="true" outlineLevel="0" collapsed="false">
      <c r="A32" s="1" t="s">
        <v>227</v>
      </c>
      <c r="B32" s="43" t="n">
        <f aca="false">D21</f>
        <v>25.53637353906</v>
      </c>
      <c r="C32" s="44" t="n">
        <f aca="false">D22</f>
        <v>1.92178186945766</v>
      </c>
    </row>
    <row r="33" customFormat="false" ht="15" hidden="false" customHeight="true" outlineLevel="0" collapsed="false">
      <c r="A33" s="1" t="s">
        <v>228</v>
      </c>
      <c r="B33" s="45" t="n">
        <f aca="false">ABS(D21-Assumptions!B41/100)/ABS(Assumptions!B41/100-B21)</f>
        <v>205.595882241385</v>
      </c>
      <c r="C33" s="1" t="s">
        <v>229</v>
      </c>
    </row>
    <row r="35" customFormat="false" ht="15" hidden="false" customHeight="true" outlineLevel="0" collapsed="false">
      <c r="A35" s="3" t="s">
        <v>230</v>
      </c>
      <c r="B35" s="3"/>
      <c r="C35" s="3"/>
      <c r="D35" s="3"/>
      <c r="E35" s="3"/>
    </row>
    <row r="36" customFormat="false" ht="15" hidden="false" customHeight="true" outlineLevel="0" collapsed="false">
      <c r="A36" s="46" t="s">
        <v>231</v>
      </c>
    </row>
    <row r="37" customFormat="false" ht="15" hidden="false" customHeight="true" outlineLevel="0" collapsed="false">
      <c r="A37" s="1" t="s">
        <v>232</v>
      </c>
    </row>
    <row r="38" customFormat="false" ht="15" hidden="false" customHeight="true" outlineLevel="0" collapsed="false">
      <c r="A38" s="1" t="s">
        <v>233</v>
      </c>
    </row>
    <row r="39" customFormat="false" ht="15" hidden="false" customHeight="true" outlineLevel="0" collapsed="false">
      <c r="A39" s="1" t="s">
        <v>234</v>
      </c>
    </row>
    <row r="40" customFormat="false" ht="15" hidden="false" customHeight="true" outlineLevel="0" collapsed="false">
      <c r="A40" s="1" t="s">
        <v>235</v>
      </c>
    </row>
    <row r="41" customFormat="false" ht="15" hidden="false" customHeight="true" outlineLevel="0" collapsed="false">
      <c r="A41" s="1" t="s">
        <v>236</v>
      </c>
    </row>
    <row r="43" customFormat="false" ht="15" hidden="false" customHeight="true" outlineLevel="0" collapsed="false">
      <c r="A43" s="47" t="s">
        <v>237</v>
      </c>
    </row>
    <row r="44" customFormat="false" ht="15" hidden="false" customHeight="true" outlineLevel="0" collapsed="false">
      <c r="A44" s="1" t="s">
        <v>238</v>
      </c>
    </row>
    <row r="45" customFormat="false" ht="15" hidden="false" customHeight="true" outlineLevel="0" collapsed="false">
      <c r="A45" s="1" t="s">
        <v>239</v>
      </c>
    </row>
    <row r="46" customFormat="false" ht="15" hidden="false" customHeight="true" outlineLevel="0" collapsed="false">
      <c r="A46" s="1" t="s">
        <v>240</v>
      </c>
    </row>
    <row r="47" customFormat="false" ht="15" hidden="false" customHeight="true" outlineLevel="0" collapsed="false">
      <c r="A47" s="1" t="s">
        <v>241</v>
      </c>
    </row>
    <row r="48" customFormat="false" ht="15" hidden="false" customHeight="true" outlineLevel="0" collapsed="false">
      <c r="A48" s="1" t="s">
        <v>242</v>
      </c>
    </row>
  </sheetData>
  <mergeCells count="5">
    <mergeCell ref="A4:E4"/>
    <mergeCell ref="A12:E12"/>
    <mergeCell ref="A24:E24"/>
    <mergeCell ref="A29:E29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2025-11-28T02:05:09Z</dcterms:created>
  <dc:creator>openpyxl</dc:creator>
  <dc:description/>
  <dc:language>en-US</dc:language>
  <cp:lastModifiedBy/>
  <dcterms:modified xsi:type="dcterms:W3CDTF">2026-02-04T06:25:30Z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