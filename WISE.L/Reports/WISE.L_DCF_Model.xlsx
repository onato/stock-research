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Historic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rgb="FF80808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FF8C00"/>
    </font>
    <font>
      <b val="1"/>
    </font>
  </fonts>
  <fills count="5">
    <fill>
      <patternFill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0" fillId="2" borderId="2" pivotButton="0" quotePrefix="0" xfId="0"/>
    <xf numFmtId="164" fontId="0" fillId="0" borderId="2" pivotButton="0" quotePrefix="0" xfId="0"/>
    <xf numFmtId="165" fontId="0" fillId="2" borderId="2" pivotButton="0" quotePrefix="0" xfId="0"/>
    <xf numFmtId="0" fontId="4" fillId="3" borderId="2" pivotButton="0" quotePrefix="0" xfId="0"/>
    <xf numFmtId="0" fontId="5" fillId="0" borderId="0" pivotButton="0" quotePrefix="0" xfId="0"/>
    <xf numFmtId="166" fontId="4" fillId="4" borderId="2" pivotButton="0" quotePrefix="0" xfId="0"/>
    <xf numFmtId="165" fontId="0" fillId="0" borderId="2" pivotButton="0" quotePrefix="0" xfId="0"/>
    <xf numFmtId="165" fontId="4" fillId="3" borderId="0" pivotButton="0" quotePrefix="0" xfId="0"/>
    <xf numFmtId="166" fontId="0" fillId="0" borderId="2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tabSelected="1" workbookViewId="0">
      <selection activeCell="A1" sqref="A1"/>
    </sheetView>
  </sheetViews>
  <sheetFormatPr baseColWidth="8" defaultRowHeight="15"/>
  <cols>
    <col width="30.7109375" customWidth="1" min="1" max="1"/>
    <col width="14.7109375" customWidth="1" min="2" max="8"/>
  </cols>
  <sheetData>
    <row r="1">
      <c r="A1" s="1" t="inlineStr">
        <is>
          <t>WISE.L (Wise Group plc) DCF Valuation Model - Base Case</t>
        </is>
      </c>
    </row>
    <row r="2">
      <c r="A2" s="2" t="inlineStr">
        <is>
          <t>Gray cells are INPUTS - adjust to see valuation change. Model driven by NET REVENUE growth x FCF margin (not direct FCF growth).</t>
        </is>
      </c>
    </row>
    <row r="4">
      <c r="A4" s="3" t="inlineStr">
        <is>
          <t>KEY INPUTS</t>
        </is>
      </c>
    </row>
    <row r="5">
      <c r="A5" t="inlineStr">
        <is>
          <t>Current Stock Price (WSE, USD)</t>
        </is>
      </c>
      <c r="B5" s="4" t="n">
        <v>12.39</v>
      </c>
    </row>
    <row r="6">
      <c r="A6" t="inlineStr">
        <is>
          <t>Shares Outstanding (M, diluted)</t>
        </is>
      </c>
      <c r="B6" s="4" t="n">
        <v>1029.7</v>
      </c>
    </row>
    <row r="7">
      <c r="A7" t="inlineStr">
        <is>
          <t>Own (non-customer) Cash (M)</t>
        </is>
      </c>
      <c r="B7" s="4" t="n">
        <v>334.7</v>
      </c>
    </row>
    <row r="8">
      <c r="A8" t="inlineStr">
        <is>
          <t>Gross Corporate Debt (M)</t>
        </is>
      </c>
      <c r="B8" s="4" t="n">
        <v>334.7</v>
      </c>
    </row>
    <row r="9">
      <c r="A9" t="inlineStr">
        <is>
          <t>Net Debt (M)</t>
        </is>
      </c>
      <c r="B9" s="5">
        <f>B8-B7</f>
        <v/>
      </c>
    </row>
    <row r="10">
      <c r="A10" t="inlineStr">
        <is>
          <t>Base Year Net Revenue (M, FY2026)</t>
        </is>
      </c>
      <c r="B10" s="4" t="n">
        <v>2502.8</v>
      </c>
    </row>
    <row r="11">
      <c r="A11" t="inlineStr">
        <is>
          <t>Base Year FCF (M, FY2026, reference only)</t>
        </is>
      </c>
      <c r="B11" s="4" t="n">
        <v>532.8</v>
      </c>
    </row>
    <row r="13">
      <c r="A13" t="inlineStr">
        <is>
          <t>WACC</t>
        </is>
      </c>
      <c r="B13" s="6" t="n">
        <v>0.1</v>
      </c>
    </row>
    <row r="14">
      <c r="A14" t="inlineStr">
        <is>
          <t>Terminal Growth Rate</t>
        </is>
      </c>
      <c r="B14" s="6" t="n">
        <v>0.028</v>
      </c>
    </row>
    <row r="15">
      <c r="A15" t="inlineStr">
        <is>
          <t>FCF Margin (% of Net Revenue)</t>
        </is>
      </c>
      <c r="B15" s="6" t="n">
        <v>0.21</v>
      </c>
    </row>
    <row r="17">
      <c r="A17" s="3" t="inlineStr">
        <is>
          <t>NET REVENUE GROWTH ASSUMPTIONS</t>
        </is>
      </c>
      <c r="B17" s="7" t="inlineStr">
        <is>
          <t>Year 1 (FY27)</t>
        </is>
      </c>
      <c r="C17" s="7" t="inlineStr">
        <is>
          <t>Year 2 (FY28)</t>
        </is>
      </c>
      <c r="D17" s="7" t="inlineStr">
        <is>
          <t>Year 3 (FY29)</t>
        </is>
      </c>
      <c r="E17" s="7" t="inlineStr">
        <is>
          <t>Year 4 (FY30)</t>
        </is>
      </c>
      <c r="F17" s="7" t="inlineStr">
        <is>
          <t>Year 5 (FY31)</t>
        </is>
      </c>
    </row>
    <row r="18">
      <c r="A18" t="inlineStr">
        <is>
          <t>Net Revenue Growth Rate</t>
        </is>
      </c>
      <c r="B18" s="6" t="n">
        <v>0.165</v>
      </c>
      <c r="C18" s="6" t="n">
        <v>0.145</v>
      </c>
      <c r="D18" s="6" t="n">
        <v>0.13</v>
      </c>
      <c r="E18" s="6" t="n">
        <v>0.115</v>
      </c>
      <c r="F18" s="6" t="n">
        <v>0.1</v>
      </c>
    </row>
    <row r="20">
      <c r="A20" s="3" t="inlineStr">
        <is>
          <t>PROJECTIONS</t>
        </is>
      </c>
    </row>
    <row r="21">
      <c r="A21" s="7" t="n"/>
      <c r="B21" s="7" t="inlineStr">
        <is>
          <t>Year 1 (FY27)</t>
        </is>
      </c>
      <c r="C21" s="7" t="inlineStr">
        <is>
          <t>Year 2 (FY28)</t>
        </is>
      </c>
      <c r="D21" s="7" t="inlineStr">
        <is>
          <t>Year 3 (FY29)</t>
        </is>
      </c>
      <c r="E21" s="7" t="inlineStr">
        <is>
          <t>Year 4 (FY30)</t>
        </is>
      </c>
      <c r="F21" s="7" t="inlineStr">
        <is>
          <t>Year 5 (FY31)</t>
        </is>
      </c>
    </row>
    <row r="22">
      <c r="A22" t="inlineStr">
        <is>
          <t>Net Revenue</t>
        </is>
      </c>
      <c r="B22" s="5">
        <f>B10*(1+B18)</f>
        <v/>
      </c>
      <c r="C22" s="5">
        <f>B22*(1+C18)</f>
        <v/>
      </c>
      <c r="D22" s="5">
        <f>C22*(1+D18)</f>
        <v/>
      </c>
      <c r="E22" s="5">
        <f>D22*(1+E18)</f>
        <v/>
      </c>
      <c r="F22" s="5">
        <f>E22*(1+F18)</f>
        <v/>
      </c>
    </row>
    <row r="23">
      <c r="A23" t="inlineStr">
        <is>
          <t>Free Cash Flow (Net Rev x Margin)</t>
        </is>
      </c>
      <c r="B23" s="5">
        <f>B22*$B$15</f>
        <v/>
      </c>
      <c r="C23" s="5">
        <f>C22*$B$15</f>
        <v/>
      </c>
      <c r="D23" s="5">
        <f>D22*$B$15</f>
        <v/>
      </c>
      <c r="E23" s="5">
        <f>E22*$B$15</f>
        <v/>
      </c>
      <c r="F23" s="5">
        <f>F22*$B$15</f>
        <v/>
      </c>
    </row>
    <row r="24">
      <c r="A24" t="inlineStr">
        <is>
          <t>Discount Factor</t>
        </is>
      </c>
      <c r="B24" s="5">
        <f>1/(1+$B$13)^1</f>
        <v/>
      </c>
      <c r="C24" s="5">
        <f>1/(1+$B$13)^2</f>
        <v/>
      </c>
      <c r="D24" s="5">
        <f>1/(1+$B$13)^3</f>
        <v/>
      </c>
      <c r="E24" s="5">
        <f>1/(1+$B$13)^4</f>
        <v/>
      </c>
      <c r="F24" s="5">
        <f>1/(1+$B$13)^5</f>
        <v/>
      </c>
    </row>
    <row r="25">
      <c r="A25" t="inlineStr">
        <is>
          <t>PV of FCF</t>
        </is>
      </c>
      <c r="B25" s="5">
        <f>B23*B24</f>
        <v/>
      </c>
      <c r="C25" s="5">
        <f>C23*C24</f>
        <v/>
      </c>
      <c r="D25" s="5">
        <f>D23*D24</f>
        <v/>
      </c>
      <c r="E25" s="5">
        <f>E23*E24</f>
        <v/>
      </c>
      <c r="F25" s="5">
        <f>F23*F24</f>
        <v/>
      </c>
    </row>
    <row r="27">
      <c r="A27" s="3" t="inlineStr">
        <is>
          <t>VALUATION</t>
        </is>
      </c>
    </row>
    <row r="28">
      <c r="A28" t="inlineStr">
        <is>
          <t>Sum of PV of FCF</t>
        </is>
      </c>
      <c r="B28" s="5">
        <f>SUM(B25:F25)</f>
        <v/>
      </c>
    </row>
    <row r="29">
      <c r="A29" t="inlineStr">
        <is>
          <t>Terminal FCF (Year 5 x (1+g))</t>
        </is>
      </c>
      <c r="B29" s="5">
        <f>F23*(1+$B$14)</f>
        <v/>
      </c>
    </row>
    <row r="30">
      <c r="A30" t="inlineStr">
        <is>
          <t>Terminal Value</t>
        </is>
      </c>
      <c r="B30" s="5">
        <f>B29/($B$13-$B$14)</f>
        <v/>
      </c>
    </row>
    <row r="31">
      <c r="A31" t="inlineStr">
        <is>
          <t>PV of Terminal Value</t>
        </is>
      </c>
      <c r="B31" s="5">
        <f>B30*F24</f>
        <v/>
      </c>
    </row>
    <row r="32">
      <c r="A32" t="inlineStr">
        <is>
          <t>Enterprise Value</t>
        </is>
      </c>
      <c r="B32" s="5">
        <f>B28+B31</f>
        <v/>
      </c>
    </row>
    <row r="33">
      <c r="A33" t="inlineStr">
        <is>
          <t>Less: Net Debt</t>
        </is>
      </c>
      <c r="B33" s="5">
        <f>B9</f>
        <v/>
      </c>
    </row>
    <row r="34">
      <c r="A34" t="inlineStr">
        <is>
          <t>Equity Value</t>
        </is>
      </c>
      <c r="B34" s="5">
        <f>B32-B33</f>
        <v/>
      </c>
    </row>
    <row r="35">
      <c r="A35" s="8" t="inlineStr">
        <is>
          <t>INTRINSIC VALUE/SHARE</t>
        </is>
      </c>
      <c r="B35" s="9">
        <f>B34/B6</f>
        <v/>
      </c>
    </row>
    <row r="36">
      <c r="A36" t="inlineStr">
        <is>
          <t>Terminal Value as % of EV</t>
        </is>
      </c>
      <c r="B36" s="10">
        <f>B31/B32</f>
        <v/>
      </c>
    </row>
    <row r="37">
      <c r="A37" t="inlineStr">
        <is>
          <t>Implied Exit Multiple (TV/FCF Yr5)</t>
        </is>
      </c>
      <c r="B37" s="5">
        <f>B30/F23</f>
        <v/>
      </c>
    </row>
    <row r="39">
      <c r="A39" s="3" t="inlineStr">
        <is>
          <t>ENTRY PRICE (15% IRR Target) - CORRECTED METHOD</t>
        </is>
      </c>
    </row>
    <row r="40">
      <c r="A40" s="2" t="inlineStr">
        <is>
          <t>Includes PV of interim FCF + PV of terminal value, both at 15% hurdle, less net debt</t>
        </is>
      </c>
    </row>
    <row r="41">
      <c r="A41" t="inlineStr">
        <is>
          <t>PV of Yrs 1-5 FCF @15%</t>
        </is>
      </c>
      <c r="B41" s="5">
        <f>NPV(0.15,B23:F23)</f>
        <v/>
      </c>
    </row>
    <row r="42">
      <c r="A42" t="inlineStr">
        <is>
          <t>PV of Terminal Value @15%</t>
        </is>
      </c>
      <c r="B42" s="5">
        <f>B30/(1.15^5)</f>
        <v/>
      </c>
    </row>
    <row r="43">
      <c r="A43" t="inlineStr">
        <is>
          <t>Less: Net Debt</t>
        </is>
      </c>
      <c r="B43" s="5">
        <f>B9</f>
        <v/>
      </c>
    </row>
    <row r="44">
      <c r="A44" t="inlineStr">
        <is>
          <t>Entry Price (15% CAGR Hurdle)</t>
        </is>
      </c>
      <c r="B44" s="9">
        <f>(B41+B42-B43)/B6</f>
        <v/>
      </c>
    </row>
    <row r="46">
      <c r="A46" t="inlineStr">
        <is>
          <t>Upside to Intrinsic Value</t>
        </is>
      </c>
      <c r="B46" s="10">
        <f>(B35-B5)/B5</f>
        <v/>
      </c>
    </row>
    <row r="47">
      <c r="A47" t="inlineStr">
        <is>
          <t>Discount of Entry Price to Current</t>
        </is>
      </c>
      <c r="B47" s="10">
        <f>(B5-B44)/B5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7"/>
  </cols>
  <sheetData>
    <row r="1">
      <c r="A1" s="1" t="inlineStr">
        <is>
          <t>Sensitivity Analysis - Base Case Intrinsic Value</t>
        </is>
      </c>
    </row>
    <row r="2">
      <c r="A2" t="inlineStr">
        <is>
          <t>Intrinsic Value (USD/share) by WACC &amp; Terminal Growth</t>
        </is>
      </c>
    </row>
    <row r="4">
      <c r="A4" s="7" t="inlineStr">
        <is>
          <t>WACC \ Term G</t>
        </is>
      </c>
      <c r="B4" s="11" t="n">
        <v>0.018</v>
      </c>
      <c r="C4" s="11" t="n">
        <v>0.023</v>
      </c>
      <c r="D4" s="11" t="n">
        <v>0.028</v>
      </c>
      <c r="E4" s="11" t="n">
        <v>0.033</v>
      </c>
      <c r="F4" s="11" t="n">
        <v>0.038</v>
      </c>
    </row>
    <row r="5">
      <c r="A5" s="11" t="n">
        <v>0.08</v>
      </c>
      <c r="B5" s="12">
        <f>('DCF Model'!$B$10*(1+'DCF Model'!$B$18)*(1+'DCF Model'!$C$18)*(1+'DCF Model'!$D$18)*(1+'DCF Model'!$E$18)*(1+'DCF Model'!$F$18)*'DCF Model'!$B$15*(1+0.018000000000000002)/(0.08-0.018000000000000002))/(1+0.08)^5/'DCF Model'!$B$6</f>
        <v/>
      </c>
      <c r="C5" s="12">
        <f>('DCF Model'!$B$10*(1+'DCF Model'!$B$18)*(1+'DCF Model'!$C$18)*(1+'DCF Model'!$D$18)*(1+'DCF Model'!$E$18)*(1+'DCF Model'!$F$18)*'DCF Model'!$B$15*(1+0.023)/(0.08-0.023))/(1+0.08)^5/'DCF Model'!$B$6</f>
        <v/>
      </c>
      <c r="D5" s="12">
        <f>('DCF Model'!$B$10*(1+'DCF Model'!$B$18)*(1+'DCF Model'!$C$18)*(1+'DCF Model'!$D$18)*(1+'DCF Model'!$E$18)*(1+'DCF Model'!$F$18)*'DCF Model'!$B$15*(1+0.027999999999999997)/(0.08-0.027999999999999997))/(1+0.08)^5/'DCF Model'!$B$6</f>
        <v/>
      </c>
      <c r="E5" s="12">
        <f>('DCF Model'!$B$10*(1+'DCF Model'!$B$18)*(1+'DCF Model'!$C$18)*(1+'DCF Model'!$D$18)*(1+'DCF Model'!$E$18)*(1+'DCF Model'!$F$18)*'DCF Model'!$B$15*(1+0.033)/(0.08-0.033))/(1+0.08)^5/'DCF Model'!$B$6</f>
        <v/>
      </c>
      <c r="F5" s="12">
        <f>('DCF Model'!$B$10*(1+'DCF Model'!$B$18)*(1+'DCF Model'!$C$18)*(1+'DCF Model'!$D$18)*(1+'DCF Model'!$E$18)*(1+'DCF Model'!$F$18)*'DCF Model'!$B$15*(1+0.038)/(0.08-0.038))/(1+0.08)^5/'DCF Model'!$B$6</f>
        <v/>
      </c>
    </row>
    <row r="6">
      <c r="A6" s="11" t="n">
        <v>0.09</v>
      </c>
      <c r="B6" s="12">
        <f>('DCF Model'!$B$10*(1+'DCF Model'!$B$18)*(1+'DCF Model'!$C$18)*(1+'DCF Model'!$D$18)*(1+'DCF Model'!$E$18)*(1+'DCF Model'!$F$18)*'DCF Model'!$B$15*(1+0.018000000000000002)/(0.09-0.018000000000000002))/(1+0.09)^5/'DCF Model'!$B$6</f>
        <v/>
      </c>
      <c r="C6" s="12">
        <f>('DCF Model'!$B$10*(1+'DCF Model'!$B$18)*(1+'DCF Model'!$C$18)*(1+'DCF Model'!$D$18)*(1+'DCF Model'!$E$18)*(1+'DCF Model'!$F$18)*'DCF Model'!$B$15*(1+0.023)/(0.09-0.023))/(1+0.09)^5/'DCF Model'!$B$6</f>
        <v/>
      </c>
      <c r="D6" s="12">
        <f>('DCF Model'!$B$10*(1+'DCF Model'!$B$18)*(1+'DCF Model'!$C$18)*(1+'DCF Model'!$D$18)*(1+'DCF Model'!$E$18)*(1+'DCF Model'!$F$18)*'DCF Model'!$B$15*(1+0.027999999999999997)/(0.09-0.027999999999999997))/(1+0.09)^5/'DCF Model'!$B$6</f>
        <v/>
      </c>
      <c r="E6" s="12">
        <f>('DCF Model'!$B$10*(1+'DCF Model'!$B$18)*(1+'DCF Model'!$C$18)*(1+'DCF Model'!$D$18)*(1+'DCF Model'!$E$18)*(1+'DCF Model'!$F$18)*'DCF Model'!$B$15*(1+0.033)/(0.09-0.033))/(1+0.09)^5/'DCF Model'!$B$6</f>
        <v/>
      </c>
      <c r="F6" s="12">
        <f>('DCF Model'!$B$10*(1+'DCF Model'!$B$18)*(1+'DCF Model'!$C$18)*(1+'DCF Model'!$D$18)*(1+'DCF Model'!$E$18)*(1+'DCF Model'!$F$18)*'DCF Model'!$B$15*(1+0.038)/(0.09-0.038))/(1+0.09)^5/'DCF Model'!$B$6</f>
        <v/>
      </c>
    </row>
    <row r="7">
      <c r="A7" s="11" t="n">
        <v>0.1</v>
      </c>
      <c r="B7" s="12">
        <f>('DCF Model'!$B$10*(1+'DCF Model'!$B$18)*(1+'DCF Model'!$C$18)*(1+'DCF Model'!$D$18)*(1+'DCF Model'!$E$18)*(1+'DCF Model'!$F$18)*'DCF Model'!$B$15*(1+0.018000000000000002)/(0.1-0.018000000000000002))/(1+0.1)^5/'DCF Model'!$B$6</f>
        <v/>
      </c>
      <c r="C7" s="12">
        <f>('DCF Model'!$B$10*(1+'DCF Model'!$B$18)*(1+'DCF Model'!$C$18)*(1+'DCF Model'!$D$18)*(1+'DCF Model'!$E$18)*(1+'DCF Model'!$F$18)*'DCF Model'!$B$15*(1+0.023)/(0.1-0.023))/(1+0.1)^5/'DCF Model'!$B$6</f>
        <v/>
      </c>
      <c r="D7" s="12">
        <f>('DCF Model'!$B$10*(1+'DCF Model'!$B$18)*(1+'DCF Model'!$C$18)*(1+'DCF Model'!$D$18)*(1+'DCF Model'!$E$18)*(1+'DCF Model'!$F$18)*'DCF Model'!$B$15*(1+0.027999999999999997)/(0.1-0.027999999999999997))/(1+0.1)^5/'DCF Model'!$B$6</f>
        <v/>
      </c>
      <c r="E7" s="12">
        <f>('DCF Model'!$B$10*(1+'DCF Model'!$B$18)*(1+'DCF Model'!$C$18)*(1+'DCF Model'!$D$18)*(1+'DCF Model'!$E$18)*(1+'DCF Model'!$F$18)*'DCF Model'!$B$15*(1+0.033)/(0.1-0.033))/(1+0.1)^5/'DCF Model'!$B$6</f>
        <v/>
      </c>
      <c r="F7" s="12">
        <f>('DCF Model'!$B$10*(1+'DCF Model'!$B$18)*(1+'DCF Model'!$C$18)*(1+'DCF Model'!$D$18)*(1+'DCF Model'!$E$18)*(1+'DCF Model'!$F$18)*'DCF Model'!$B$15*(1+0.038)/(0.1-0.038))/(1+0.1)^5/'DCF Model'!$B$6</f>
        <v/>
      </c>
    </row>
    <row r="8">
      <c r="A8" s="11" t="n">
        <v>0.11</v>
      </c>
      <c r="B8" s="12">
        <f>('DCF Model'!$B$10*(1+'DCF Model'!$B$18)*(1+'DCF Model'!$C$18)*(1+'DCF Model'!$D$18)*(1+'DCF Model'!$E$18)*(1+'DCF Model'!$F$18)*'DCF Model'!$B$15*(1+0.018000000000000002)/(0.11-0.018000000000000002))/(1+0.11)^5/'DCF Model'!$B$6</f>
        <v/>
      </c>
      <c r="C8" s="12">
        <f>('DCF Model'!$B$10*(1+'DCF Model'!$B$18)*(1+'DCF Model'!$C$18)*(1+'DCF Model'!$D$18)*(1+'DCF Model'!$E$18)*(1+'DCF Model'!$F$18)*'DCF Model'!$B$15*(1+0.023)/(0.11-0.023))/(1+0.11)^5/'DCF Model'!$B$6</f>
        <v/>
      </c>
      <c r="D8" s="12">
        <f>('DCF Model'!$B$10*(1+'DCF Model'!$B$18)*(1+'DCF Model'!$C$18)*(1+'DCF Model'!$D$18)*(1+'DCF Model'!$E$18)*(1+'DCF Model'!$F$18)*'DCF Model'!$B$15*(1+0.027999999999999997)/(0.11-0.027999999999999997))/(1+0.11)^5/'DCF Model'!$B$6</f>
        <v/>
      </c>
      <c r="E8" s="12">
        <f>('DCF Model'!$B$10*(1+'DCF Model'!$B$18)*(1+'DCF Model'!$C$18)*(1+'DCF Model'!$D$18)*(1+'DCF Model'!$E$18)*(1+'DCF Model'!$F$18)*'DCF Model'!$B$15*(1+0.033)/(0.11-0.033))/(1+0.11)^5/'DCF Model'!$B$6</f>
        <v/>
      </c>
      <c r="F8" s="12">
        <f>('DCF Model'!$B$10*(1+'DCF Model'!$B$18)*(1+'DCF Model'!$C$18)*(1+'DCF Model'!$D$18)*(1+'DCF Model'!$E$18)*(1+'DCF Model'!$F$18)*'DCF Model'!$B$15*(1+0.038)/(0.11-0.038))/(1+0.11)^5/'DCF Model'!$B$6</f>
        <v/>
      </c>
    </row>
    <row r="9">
      <c r="A9" s="11" t="n">
        <v>0.12</v>
      </c>
      <c r="B9" s="12">
        <f>('DCF Model'!$B$10*(1+'DCF Model'!$B$18)*(1+'DCF Model'!$C$18)*(1+'DCF Model'!$D$18)*(1+'DCF Model'!$E$18)*(1+'DCF Model'!$F$18)*'DCF Model'!$B$15*(1+0.018000000000000002)/(0.12-0.018000000000000002))/(1+0.12)^5/'DCF Model'!$B$6</f>
        <v/>
      </c>
      <c r="C9" s="12">
        <f>('DCF Model'!$B$10*(1+'DCF Model'!$B$18)*(1+'DCF Model'!$C$18)*(1+'DCF Model'!$D$18)*(1+'DCF Model'!$E$18)*(1+'DCF Model'!$F$18)*'DCF Model'!$B$15*(1+0.023)/(0.12-0.023))/(1+0.12)^5/'DCF Model'!$B$6</f>
        <v/>
      </c>
      <c r="D9" s="12">
        <f>('DCF Model'!$B$10*(1+'DCF Model'!$B$18)*(1+'DCF Model'!$C$18)*(1+'DCF Model'!$D$18)*(1+'DCF Model'!$E$18)*(1+'DCF Model'!$F$18)*'DCF Model'!$B$15*(1+0.027999999999999997)/(0.12-0.027999999999999997))/(1+0.12)^5/'DCF Model'!$B$6</f>
        <v/>
      </c>
      <c r="E9" s="12">
        <f>('DCF Model'!$B$10*(1+'DCF Model'!$B$18)*(1+'DCF Model'!$C$18)*(1+'DCF Model'!$D$18)*(1+'DCF Model'!$E$18)*(1+'DCF Model'!$F$18)*'DCF Model'!$B$15*(1+0.033)/(0.12-0.033))/(1+0.12)^5/'DCF Model'!$B$6</f>
        <v/>
      </c>
      <c r="F9" s="12">
        <f>('DCF Model'!$B$10*(1+'DCF Model'!$B$18)*(1+'DCF Model'!$C$18)*(1+'DCF Model'!$D$18)*(1+'DCF Model'!$E$18)*(1+'DCF Model'!$F$18)*'DCF Model'!$B$15*(1+0.038)/(0.12-0.038))/(1+0.12)^5/'DCF Model'!$B$6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.7109375" customWidth="1" min="1" max="1"/>
    <col width="14.7109375" customWidth="1" min="2" max="4"/>
  </cols>
  <sheetData>
    <row r="1">
      <c r="A1" s="1" t="inlineStr">
        <is>
          <t>Scenario Comparison (Reference)</t>
        </is>
      </c>
    </row>
    <row r="3">
      <c r="A3" s="7" t="inlineStr">
        <is>
          <t>Metric</t>
        </is>
      </c>
      <c r="B3" s="7" t="inlineStr">
        <is>
          <t>Bear</t>
        </is>
      </c>
      <c r="C3" s="7" t="inlineStr">
        <is>
          <t>Base</t>
        </is>
      </c>
      <c r="D3" s="7" t="inlineStr">
        <is>
          <t>Bull</t>
        </is>
      </c>
    </row>
    <row r="4">
      <c r="A4" t="inlineStr">
        <is>
          <t>Net Revenue Growth Y1</t>
        </is>
      </c>
      <c r="B4" s="10" t="n">
        <v>0.11</v>
      </c>
      <c r="C4" s="10" t="n">
        <v>0.165</v>
      </c>
      <c r="D4" s="10" t="n">
        <v>0.21</v>
      </c>
    </row>
    <row r="5">
      <c r="A5" t="inlineStr">
        <is>
          <t>Net Revenue Growth Y5</t>
        </is>
      </c>
      <c r="B5" s="10" t="n">
        <v>0.06</v>
      </c>
      <c r="C5" s="10" t="n">
        <v>0.1</v>
      </c>
      <c r="D5" s="10" t="n">
        <v>0.14</v>
      </c>
    </row>
    <row r="6">
      <c r="A6" t="inlineStr">
        <is>
          <t>FCF Margin</t>
        </is>
      </c>
      <c r="B6" s="10" t="n">
        <v>0.19</v>
      </c>
      <c r="C6" s="10" t="n">
        <v>0.21</v>
      </c>
      <c r="D6" s="10" t="n">
        <v>0.23</v>
      </c>
    </row>
    <row r="7">
      <c r="A7" t="inlineStr">
        <is>
          <t>WACC</t>
        </is>
      </c>
      <c r="B7" s="10" t="n">
        <v>0.105</v>
      </c>
      <c r="C7" s="10" t="n">
        <v>0.1</v>
      </c>
      <c r="D7" s="10" t="n">
        <v>0.095</v>
      </c>
    </row>
    <row r="8">
      <c r="A8" t="inlineStr">
        <is>
          <t>Terminal Growth</t>
        </is>
      </c>
      <c r="B8" s="10" t="n">
        <v>0.025</v>
      </c>
      <c r="C8" s="10" t="n">
        <v>0.028</v>
      </c>
      <c r="D8" s="10" t="n">
        <v>0.03</v>
      </c>
    </row>
    <row r="9">
      <c r="A9" t="inlineStr">
        <is>
          <t>Intrinsic Value/Share</t>
        </is>
      </c>
      <c r="B9" s="12" t="n">
        <v>7.7</v>
      </c>
      <c r="C9" s="12" t="n">
        <v>11.22</v>
      </c>
      <c r="D9" s="12" t="n">
        <v>16.03</v>
      </c>
    </row>
    <row r="10">
      <c r="A10" t="inlineStr">
        <is>
          <t>Upside/Downside</t>
        </is>
      </c>
      <c r="B10" s="10" t="n">
        <v>-0.379</v>
      </c>
      <c r="C10" s="10" t="n">
        <v>-0.094</v>
      </c>
      <c r="D10" s="10" t="n">
        <v>0.294</v>
      </c>
    </row>
    <row r="11">
      <c r="A11" t="inlineStr">
        <is>
          <t>Terminal % of EV</t>
        </is>
      </c>
      <c r="B11" s="10" t="n">
        <v>0.708</v>
      </c>
      <c r="C11" s="10" t="n">
        <v>0.746</v>
      </c>
      <c r="D11" s="10" t="n">
        <v>0.778</v>
      </c>
    </row>
    <row r="12">
      <c r="A12" t="inlineStr">
        <is>
          <t>Implied Exit Multiple</t>
        </is>
      </c>
      <c r="B12" s="5" t="n">
        <v>12.8</v>
      </c>
      <c r="C12" s="5" t="n">
        <v>14.3</v>
      </c>
      <c r="D12" s="5" t="n">
        <v>15.8</v>
      </c>
    </row>
    <row r="13">
      <c r="A13" s="8" t="inlineStr">
        <is>
          <t>Probability-Weighted IV</t>
        </is>
      </c>
      <c r="B13" s="12" t="n">
        <v>11.54</v>
      </c>
    </row>
    <row r="14">
      <c r="A14" t="inlineStr">
        <is>
          <t>Weights (Bull/Base/Bear)</t>
        </is>
      </c>
      <c r="B14" t="inlineStr">
        <is>
          <t>25% / 50% / 25%</t>
        </is>
      </c>
    </row>
    <row r="16">
      <c r="A16" s="8" t="inlineStr">
        <is>
          <t>Entry Price (15% IRR, corrected)</t>
        </is>
      </c>
      <c r="B16" s="12" t="n">
        <v>9.199999999999999</v>
      </c>
    </row>
    <row r="17">
      <c r="A17" t="inlineStr">
        <is>
          <t>Entry Discount from Current</t>
        </is>
      </c>
      <c r="B17" s="10" t="n">
        <v>-0.257</v>
      </c>
    </row>
    <row r="19">
      <c r="A19" s="13" t="inlineStr">
        <is>
          <t>NOTE 2026-07-24 — OCC CHARTER DENIAL</t>
        </is>
      </c>
    </row>
    <row r="20" ht="90" customHeight="1">
      <c r="A20" s="14" t="inlineStr">
        <is>
          <t>OCC denied Wise US national trust bank charter (decision communicated Jul 23, letter published Jul 24, 2026). OCC cited the July-2025 Multi-State Consent Order (AML/BSA); Wise also notes the application became non-viable after the Fed's May-2026 pause on master-account access for uninsured trust banks and the GENIUS Act. Wise intends to reapply under a GENIUS Act framework. No impact on current operations (48-state MTLs + 80+ global licenses). Market reaction: WISE.L -10.8% to 825.4p (~$11.10 equiv.); WSE prior close $12.08. All values above predate this (current-price basis $12.62, valuation date 2026-07-21).</t>
        </is>
      </c>
    </row>
    <row r="22">
      <c r="A22" s="15" t="inlineStr">
        <is>
          <t>Evidence flags per parameter (research completed 2026-07-24; inputs NOT changed — probabilities/cells await user instruction):</t>
        </is>
      </c>
    </row>
    <row r="23" ht="60" customHeight="1">
      <c r="A23" s="15" t="inlineStr">
        <is>
          <t>B7:D7 WACC</t>
        </is>
      </c>
      <c r="B23" s="14" t="inlineStr">
        <is>
          <t>EVIDENCE ADVERSE: OCC CD#1381 is an AML-ADEQUACY denial (5 of 6 operative findings; "continuing noncompliance", "persistent inability to manage ML/TF risk"), not charter-scope — reads across to Belgian criminal probe (same TM/SAR/repeat-findings themes in all three actions). Bears on bear/base WACC via regulatory tail premium.</t>
        </is>
      </c>
    </row>
    <row r="24" ht="60" customHeight="1">
      <c r="A24" s="15" t="inlineStr">
        <is>
          <t>B6:D6 FCF Margin</t>
        </is>
      </c>
      <c r="B24" s="14" t="inlineStr">
        <is>
          <t>EVIDENCE ADVERSE-TO-NEUTRAL: compliance opex is a PERMANENT level-reset, not 3-yr drag — Servicing+G&amp;A 23.2%→26.7%→31.1% of net rev FY24-26, plateauing ~30%; FY27 guide (IBT top of 20-25%) is below FY26 26.4%. Bears on all three FCF-margin cells; 23% bull margin looks rich.</t>
        </is>
      </c>
    </row>
    <row r="25" ht="60" customHeight="1">
      <c r="A25" s="15" t="inlineStr">
        <is>
          <t>B4:D5 Revenue Growth</t>
        </is>
      </c>
      <c r="B25" s="14" t="inlineStr">
        <is>
          <t>EVIDENCE MILDLY ADVERSE TO BULL TIMING: charter optionality delayed not destroyed — realistic refile H2-2027 (after consent-order tail ends Jul-9-2027 + monitor validation), approval earliest H2-2028, operational 2029. Charter economics ~$50-150M/yr pre-tax at maturity. Bears mainly on bull Y3-Y5 growth.</t>
        </is>
      </c>
    </row>
    <row r="26" ht="60" customHeight="1">
      <c r="A26" s="15" t="inlineStr">
        <is>
          <t>B14 Scenario Weights</t>
        </is>
      </c>
      <c r="B26" s="14" t="inlineStr">
        <is>
          <t>EVIDENCE ADVERSE: AML-adequacy classification + live Belgian direct summons + unprovisioned tail argue for bear-weight review. Cap-loss math: -$1.35-1.4bn move vs ~$0.2-0.4bn charter-delay NPV → market repriced the AML tail ~$1bn. USER TO SET.</t>
        </is>
      </c>
    </row>
    <row r="27" ht="60" customHeight="1">
      <c r="A27" s="15" t="inlineStr">
        <is>
          <t>Current price basis</t>
        </is>
      </c>
      <c r="B27" s="14" t="inlineStr">
        <is>
          <t>STALE: $12.62 basis → WISE.L 825.4p (~$11.10) / WSE $12.08 on 2026-07-24. Refresh before re-reading upside rows 10/17.</t>
        </is>
      </c>
    </row>
  </sheetData>
  <mergeCells count="6">
    <mergeCell ref="B23:D23"/>
    <mergeCell ref="A20:D20"/>
    <mergeCell ref="B26:D26"/>
    <mergeCell ref="B27:D27"/>
    <mergeCell ref="B25:D25"/>
    <mergeCell ref="B24:D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.7109375" customWidth="1" min="1" max="1"/>
    <col width="15.7109375" customWidth="1" min="2" max="3"/>
  </cols>
  <sheetData>
    <row r="1">
      <c r="A1" s="1" t="inlineStr">
        <is>
          <t>Historical Growth Rates</t>
        </is>
      </c>
    </row>
    <row r="3">
      <c r="A3" s="7" t="inlineStr">
        <is>
          <t>Metric</t>
        </is>
      </c>
      <c r="B3" s="7" t="inlineStr">
        <is>
          <t>3-4yr CAGR</t>
        </is>
      </c>
      <c r="C3" s="7" t="inlineStr">
        <is>
          <t>Most Recent YoY</t>
        </is>
      </c>
    </row>
    <row r="4">
      <c r="A4" t="inlineStr">
        <is>
          <t>Net Revenue (4yr)</t>
        </is>
      </c>
      <c r="B4" s="10" t="n">
        <v>0.348</v>
      </c>
      <c r="C4" s="10" t="n">
        <v>0.25</v>
      </c>
    </row>
    <row r="5">
      <c r="A5" t="inlineStr">
        <is>
          <t>EPS (4yr)</t>
        </is>
      </c>
      <c r="B5" s="10" t="n">
        <v>0.83</v>
      </c>
    </row>
    <row r="6">
      <c r="A6" t="inlineStr">
        <is>
          <t>FCF (2yr)</t>
        </is>
      </c>
      <c r="B6" s="10" t="n">
        <v>0.046</v>
      </c>
    </row>
    <row r="8">
      <c r="A8" s="8" t="inlineStr">
        <is>
          <t>Chosen Growth Driver:</t>
        </is>
      </c>
      <c r="B8" t="inlineStr">
        <is>
          <t>net_revenue_growth</t>
        </is>
      </c>
    </row>
    <row r="9">
      <c r="A9" s="8" t="inlineStr">
        <is>
          <t>FCF Margin FY24/25/26:</t>
        </is>
      </c>
      <c r="B9" s="10" t="n">
        <v>0.274</v>
      </c>
      <c r="C9" s="10" t="n">
        <v>0.213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2026-07-21T07:53:46Z</dcterms:created>
  <dcterms:modified xmlns:dcterms="http://purl.org/dc/terms/" xmlns:xsi="http://www.w3.org/2001/XMLSchema-instance" xsi:type="dcterms:W3CDTF">2026-07-24T08:36:17Z</dcterms:modified>
</cp:coreProperties>
</file>