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 Analysis" sheetId="2" r:id="rId2"/>
    <sheet name="Sensitivity Analysis" sheetId="3" r:id="rId3"/>
    <sheet name="Historical Data" sheetId="4" r:id="rId4"/>
    <sheet name="Investment Thesis" sheetId="5" r:id="rId5"/>
  </sheets>
  <calcPr calcId="124519" fullCalcOnLoad="1"/>
</workbook>
</file>

<file path=xl/sharedStrings.xml><?xml version="1.0" encoding="utf-8"?>
<sst xmlns="http://schemas.openxmlformats.org/spreadsheetml/2006/main" count="120" uniqueCount="109">
  <si>
    <t>DCBO - Docebo Inc. DCF Valuation Model</t>
  </si>
  <si>
    <t>Blue cells are INPUTS - Adjust assumptions to see valuation change in real-time</t>
  </si>
  <si>
    <t>Valuation Date:</t>
  </si>
  <si>
    <t>2026-01-23</t>
  </si>
  <si>
    <t>Current Stock Price:</t>
  </si>
  <si>
    <t>Currency:</t>
  </si>
  <si>
    <t>USD millions</t>
  </si>
  <si>
    <t>KEY INPUTS</t>
  </si>
  <si>
    <t>Shares Outstanding (M)</t>
  </si>
  <si>
    <t>Cash &amp; Equivalents (M)</t>
  </si>
  <si>
    <t>Total Debt (M)</t>
  </si>
  <si>
    <t>Net Debt (M)</t>
  </si>
  <si>
    <t>Base Year FCF (M)</t>
  </si>
  <si>
    <t>FY2024</t>
  </si>
  <si>
    <t>DCF ASSUMPTIONS</t>
  </si>
  <si>
    <t>WACC (Discount Rate)</t>
  </si>
  <si>
    <t>Terminal Growth Rate</t>
  </si>
  <si>
    <t>FCF GROWTH PROJECTIONS</t>
  </si>
  <si>
    <t>Base Year</t>
  </si>
  <si>
    <t>Year 1</t>
  </si>
  <si>
    <t>Year 2</t>
  </si>
  <si>
    <t>Year 3</t>
  </si>
  <si>
    <t>Year 4</t>
  </si>
  <si>
    <t>Year 5</t>
  </si>
  <si>
    <t>FCF Growth Rate</t>
  </si>
  <si>
    <t>Free Cash Flow ($M)</t>
  </si>
  <si>
    <t>Discount Factor</t>
  </si>
  <si>
    <t>PV of FCF ($M)</t>
  </si>
  <si>
    <t>VALUATION</t>
  </si>
  <si>
    <t>Sum of PV of FCF (5 years)</t>
  </si>
  <si>
    <t>Terminal FCF (Year 5 × (1+g))</t>
  </si>
  <si>
    <t>Terminal Value</t>
  </si>
  <si>
    <t>PV of Terminal Value</t>
  </si>
  <si>
    <t>Enterprise Value</t>
  </si>
  <si>
    <t>Less: Net Debt</t>
  </si>
  <si>
    <t>Equity Value</t>
  </si>
  <si>
    <t>INTRINSIC VALUE PER SHARE</t>
  </si>
  <si>
    <t>Current Stock Price</t>
  </si>
  <si>
    <t>Upside / (Downside)</t>
  </si>
  <si>
    <t>ENTRY PRICE FOR 15% IRR</t>
  </si>
  <si>
    <t>Terminal Value per Share</t>
  </si>
  <si>
    <t>Target IRR (15% CAGR)</t>
  </si>
  <si>
    <t>Years to Terminal Value</t>
  </si>
  <si>
    <t>ENTRY PRICE</t>
  </si>
  <si>
    <t>Discount from Current Price</t>
  </si>
  <si>
    <t>SCENARIO ANALYSIS</t>
  </si>
  <si>
    <t>Bull, Base, and Bear Case Valuations</t>
  </si>
  <si>
    <t>METRIC</t>
  </si>
  <si>
    <t>BULL CASE</t>
  </si>
  <si>
    <t>BASE CASE</t>
  </si>
  <si>
    <t>BEAR CASE</t>
  </si>
  <si>
    <t>KEY ASSUMPTIONS</t>
  </si>
  <si>
    <t>WACC</t>
  </si>
  <si>
    <t>Terminal Growth</t>
  </si>
  <si>
    <t>FCF GROWTH RATES</t>
  </si>
  <si>
    <t>VALUATION RESULTS</t>
  </si>
  <si>
    <t>Intrinsic Value per Share</t>
  </si>
  <si>
    <t>Entry Price (15% IRR)</t>
  </si>
  <si>
    <t>PROBABILITY-WEIGHTED VALUATION</t>
  </si>
  <si>
    <t>Probability Weights</t>
  </si>
  <si>
    <t>Weighted Intrinsic Value</t>
  </si>
  <si>
    <t>Weighted Upside</t>
  </si>
  <si>
    <t>SENSITIVITY ANALYSIS</t>
  </si>
  <si>
    <t>Intrinsic Value by WACC and Terminal Growth Rate (Base Case)</t>
  </si>
  <si>
    <t>WACC \ Term G</t>
  </si>
  <si>
    <t>Current Price:</t>
  </si>
  <si>
    <t>Green = &gt;10% upside | Yellow = +/-10% of current | Red = &gt;10% downside</t>
  </si>
  <si>
    <t>HISTORICAL GROWTH ANALYSIS</t>
  </si>
  <si>
    <t>GROWTH RATE</t>
  </si>
  <si>
    <t>PERIOD</t>
  </si>
  <si>
    <t>Revenue CAGR</t>
  </si>
  <si>
    <t>2-Year (2022-2024)</t>
  </si>
  <si>
    <t>Revenue Growth</t>
  </si>
  <si>
    <t>1-Year (2023-2024)</t>
  </si>
  <si>
    <t>EPS CAGR</t>
  </si>
  <si>
    <t>FCF CAGR</t>
  </si>
  <si>
    <t>FCF Growth</t>
  </si>
  <si>
    <t>Equity Growth</t>
  </si>
  <si>
    <t>Selected FCF Growth Rate:</t>
  </si>
  <si>
    <t>Rationale:</t>
  </si>
  <si>
    <t>Blend of revenue deceleration (10-11%) and margin expansion to 18% FCF margin</t>
  </si>
  <si>
    <t>Warning:</t>
  </si>
  <si>
    <t>FCF inflection point - transitioning from growth to profitability. Historical FCF CAGR not sustainable but margin expansion supports FCF growth above revenue growth.</t>
  </si>
  <si>
    <t>RECOMMENDATION:</t>
  </si>
  <si>
    <t>HOLD / WATCH - Wait for better entry</t>
  </si>
  <si>
    <t>Target Price:</t>
  </si>
  <si>
    <t>$24.99</t>
  </si>
  <si>
    <t>Risk/Reward:</t>
  </si>
  <si>
    <t>10% upside vs 60% downside</t>
  </si>
  <si>
    <t>Valuation Assessment:</t>
  </si>
  <si>
    <t>Current valuation implies market is pricing in continued deceleration. At $40, trading at 35.9x NTM FCF and ~0.9x PEG ratio (9% growth / 10.5% discount rate). Fair value in base case around $31-35 suggests limited upside at current levels. Better entry point would be $28-32 range for asymmetric risk/reward.</t>
  </si>
  <si>
    <t>BULL CASE TRIGGERS:</t>
  </si>
  <si>
    <t xml:space="preserve">  • FedRAMP government contract wins demonstrating TAM expansion (H2 2026)</t>
  </si>
  <si>
    <t xml:space="preserve">  • AI product adoption showing measurable ROI and pricing power</t>
  </si>
  <si>
    <t xml:space="preserve">  • Stabilization or re-acceleration of ARR growth above 12%</t>
  </si>
  <si>
    <t xml:space="preserve">  • International expansion success in APAC/Europe</t>
  </si>
  <si>
    <t xml:space="preserve">  • ACV growth sustaining at 8-10% annually</t>
  </si>
  <si>
    <t>BEAR CASE TRIGGERS:</t>
  </si>
  <si>
    <t xml:space="preserve">  • Revenue growth decelerates below 8% (below market growth)</t>
  </si>
  <si>
    <t xml:space="preserve">  • Additional large customer churn events (&gt;$5M ARR impact)</t>
  </si>
  <si>
    <t xml:space="preserve">  • Microsoft/Google gain significant LMS market share through bundling</t>
  </si>
  <si>
    <t xml:space="preserve">  • Management transition leads to strategic missteps</t>
  </si>
  <si>
    <t xml:space="preserve">  • Macro-driven SMB/mid-market budget cuts accelerate</t>
  </si>
  <si>
    <t>KEY METRICS TO MONITOR:</t>
  </si>
  <si>
    <t xml:space="preserve">  • ARR growth rate (currently 10.1%, need to stabilize &gt;12%)</t>
  </si>
  <si>
    <t xml:space="preserve">  • Net Dollar Retention rate (not disclosed, critical for SaaS health)</t>
  </si>
  <si>
    <t xml:space="preserve">  • Average Contract Value growth (currently $56.4K, +7.4% YoY)</t>
  </si>
  <si>
    <t xml:space="preserve">  • Adjusted EBITDA margin expansion toward 17-18% target</t>
  </si>
  <si>
    <t xml:space="preserve">  • FCF conversion and margin improvement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</si>
</sst>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%"/>
    <numFmt numFmtId="166" formatCode="&quot;$&quot;#,##0.00"/>
  </numFmts>
  <fonts count="8">
    <font>
      <sz val="11"/>
      <color theme="1"/>
      <name val="Calibri"/>
      <family val="2"/>
      <scheme val="minor"/>
    </font>
    <font>
      <b/>
      <sz val="14"/>
      <color rgb="FF1F4E78"/>
      <name val="Calibri"/>
      <family val="2"/>
      <scheme val="minor"/>
    </font>
    <font>
      <i/>
      <sz val="9"/>
      <color rgb="FF66666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164" fontId="0" fillId="2" borderId="1" xfId="0" applyNumberFormat="1" applyFill="1" applyBorder="1"/>
    <xf numFmtId="0" fontId="3" fillId="3" borderId="1" xfId="0" applyFont="1" applyFill="1" applyBorder="1"/>
    <xf numFmtId="164" fontId="0" fillId="0" borderId="1" xfId="0" applyNumberFormat="1" applyBorder="1"/>
    <xf numFmtId="165" fontId="0" fillId="2" borderId="1" xfId="0" applyNumberFormat="1" applyFill="1" applyBorder="1"/>
    <xf numFmtId="0" fontId="4" fillId="4" borderId="1" xfId="0" applyFont="1" applyFill="1" applyBorder="1" applyAlignment="1">
      <alignment horizontal="center"/>
    </xf>
    <xf numFmtId="166" fontId="5" fillId="5" borderId="2" xfId="0" applyNumberFormat="1" applyFont="1" applyFill="1" applyBorder="1"/>
    <xf numFmtId="166" fontId="0" fillId="0" borderId="1" xfId="0" applyNumberFormat="1" applyBorder="1"/>
    <xf numFmtId="165" fontId="0" fillId="0" borderId="1" xfId="0" applyNumberFormat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0" fontId="0" fillId="0" borderId="1" xfId="0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4"/>
  <sheetViews>
    <sheetView tabSelected="1" workbookViewId="0"/>
  </sheetViews>
  <sheetFormatPr defaultRowHeight="15"/>
  <cols>
    <col min="1" max="1" width="28.7109375" customWidth="1"/>
    <col min="2" max="8" width="13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3" t="s">
        <v>2</v>
      </c>
      <c r="B4" t="s">
        <v>3</v>
      </c>
    </row>
    <row r="5" spans="1:8">
      <c r="A5" s="3" t="s">
        <v>4</v>
      </c>
      <c r="B5" s="4">
        <v>40</v>
      </c>
    </row>
    <row r="6" spans="1:8">
      <c r="A6" s="3" t="s">
        <v>5</v>
      </c>
      <c r="B6" t="s">
        <v>6</v>
      </c>
    </row>
    <row r="8" spans="1:8">
      <c r="A8" s="5" t="s">
        <v>7</v>
      </c>
      <c r="B8" s="5"/>
      <c r="C8" s="5"/>
      <c r="D8" s="5"/>
      <c r="E8" s="5"/>
      <c r="F8" s="5"/>
      <c r="G8" s="5"/>
      <c r="H8" s="5"/>
    </row>
    <row r="9" spans="1:8">
      <c r="A9" t="s">
        <v>8</v>
      </c>
      <c r="B9" s="4">
        <v>30.263</v>
      </c>
    </row>
    <row r="10" spans="1:8">
      <c r="A10" t="s">
        <v>9</v>
      </c>
      <c r="B10" s="4">
        <v>91.90000000000001</v>
      </c>
    </row>
    <row r="11" spans="1:8">
      <c r="A11" t="s">
        <v>10</v>
      </c>
      <c r="B11" s="4">
        <v>0</v>
      </c>
    </row>
    <row r="12" spans="1:8">
      <c r="A12" t="s">
        <v>11</v>
      </c>
      <c r="B12" s="6">
        <f>B10-B9</f>
        <v>0</v>
      </c>
    </row>
    <row r="13" spans="1:8">
      <c r="A13" t="s">
        <v>12</v>
      </c>
      <c r="B13" s="4">
        <v>31.2</v>
      </c>
      <c r="C13" t="s">
        <v>13</v>
      </c>
    </row>
    <row r="15" spans="1:8">
      <c r="A15" s="5" t="s">
        <v>14</v>
      </c>
      <c r="B15" s="5"/>
      <c r="C15" s="5"/>
      <c r="D15" s="5"/>
      <c r="E15" s="5"/>
      <c r="F15" s="5"/>
      <c r="G15" s="5"/>
      <c r="H15" s="5"/>
    </row>
    <row r="16" spans="1:8">
      <c r="A16" t="s">
        <v>15</v>
      </c>
      <c r="B16" s="7">
        <v>0.105</v>
      </c>
    </row>
    <row r="17" spans="1:8">
      <c r="A17" t="s">
        <v>16</v>
      </c>
      <c r="B17" s="7">
        <v>0.025</v>
      </c>
    </row>
    <row r="19" spans="1:8">
      <c r="A19" s="5" t="s">
        <v>17</v>
      </c>
      <c r="B19" s="5"/>
      <c r="C19" s="5"/>
      <c r="D19" s="5"/>
      <c r="E19" s="5"/>
      <c r="F19" s="5"/>
      <c r="G19" s="5"/>
      <c r="H19" s="5"/>
    </row>
    <row r="20" spans="1:8">
      <c r="A20" s="8"/>
      <c r="B20" s="8" t="s">
        <v>18</v>
      </c>
      <c r="C20" s="8" t="s">
        <v>19</v>
      </c>
      <c r="D20" s="8" t="s">
        <v>20</v>
      </c>
      <c r="E20" s="8" t="s">
        <v>21</v>
      </c>
      <c r="F20" s="8" t="s">
        <v>22</v>
      </c>
      <c r="G20" s="8" t="s">
        <v>23</v>
      </c>
    </row>
    <row r="21" spans="1:8">
      <c r="A21" t="s">
        <v>24</v>
      </c>
      <c r="B21" s="7"/>
      <c r="C21" s="7">
        <v>0.18</v>
      </c>
      <c r="D21" s="7">
        <v>0.16</v>
      </c>
      <c r="E21" s="7">
        <v>0.14</v>
      </c>
      <c r="F21" s="7">
        <v>0.12</v>
      </c>
      <c r="G21" s="7">
        <v>0.1</v>
      </c>
    </row>
    <row r="22" spans="1:8">
      <c r="A22" t="s">
        <v>25</v>
      </c>
      <c r="B22" s="6">
        <f>B12</f>
        <v>0</v>
      </c>
      <c r="C22" s="6">
        <f>B21*(1+C20)</f>
        <v>0</v>
      </c>
      <c r="D22" s="6">
        <f>C21*(1+D20)</f>
        <v>0</v>
      </c>
      <c r="E22" s="6">
        <f>D21*(1+E20)</f>
        <v>0</v>
      </c>
      <c r="F22" s="6">
        <f>E21*(1+F20)</f>
        <v>0</v>
      </c>
      <c r="G22" s="6">
        <f>F21*(1+G20)</f>
        <v>0</v>
      </c>
    </row>
    <row r="23" spans="1:8">
      <c r="A23" t="s">
        <v>26</v>
      </c>
      <c r="B23" s="6">
        <v>1</v>
      </c>
      <c r="C23" s="6">
        <f>1/((1+$B$15)^1)</f>
        <v>0</v>
      </c>
      <c r="D23" s="6">
        <f>1/((1+$B$15)^2)</f>
        <v>0</v>
      </c>
      <c r="E23" s="6">
        <f>1/((1+$B$15)^3)</f>
        <v>0</v>
      </c>
      <c r="F23" s="6">
        <f>1/((1+$B$15)^4)</f>
        <v>0</v>
      </c>
      <c r="G23" s="6">
        <f>1/((1+$B$15)^5)</f>
        <v>0</v>
      </c>
    </row>
    <row r="24" spans="1:8">
      <c r="A24" t="s">
        <v>27</v>
      </c>
      <c r="B24" s="6"/>
      <c r="C24" s="6">
        <f>C22*C23</f>
        <v>0</v>
      </c>
      <c r="D24" s="6">
        <f>D22*D23</f>
        <v>0</v>
      </c>
      <c r="E24" s="6">
        <f>E22*E23</f>
        <v>0</v>
      </c>
      <c r="F24" s="6">
        <f>F22*F23</f>
        <v>0</v>
      </c>
      <c r="G24" s="6">
        <f>G22*G23</f>
        <v>0</v>
      </c>
    </row>
    <row r="26" spans="1:8">
      <c r="A26" s="5" t="s">
        <v>28</v>
      </c>
      <c r="B26" s="5"/>
      <c r="C26" s="5"/>
      <c r="D26" s="5"/>
      <c r="E26" s="5"/>
      <c r="F26" s="5"/>
      <c r="G26" s="5"/>
      <c r="H26" s="5"/>
    </row>
    <row r="27" spans="1:8">
      <c r="A27" t="s">
        <v>29</v>
      </c>
      <c r="B27" s="6">
        <f>SUM(C24:G24)</f>
        <v>0</v>
      </c>
    </row>
    <row r="28" spans="1:8">
      <c r="A28" t="s">
        <v>30</v>
      </c>
      <c r="B28" s="6">
        <f>G22*(1+$B$16)</f>
        <v>0</v>
      </c>
    </row>
    <row r="29" spans="1:8">
      <c r="A29" t="s">
        <v>31</v>
      </c>
      <c r="B29" s="6">
        <f>B28/($B$15-$B$16)</f>
        <v>0</v>
      </c>
    </row>
    <row r="30" spans="1:8">
      <c r="A30" t="s">
        <v>32</v>
      </c>
      <c r="B30" s="6">
        <f>B29*G23</f>
        <v>0</v>
      </c>
    </row>
    <row r="31" spans="1:8">
      <c r="A31" t="s">
        <v>33</v>
      </c>
      <c r="B31" s="6">
        <f>B27+B30</f>
        <v>0</v>
      </c>
    </row>
    <row r="32" spans="1:8">
      <c r="A32" t="s">
        <v>34</v>
      </c>
      <c r="B32" s="6">
        <f>B11</f>
        <v>0</v>
      </c>
    </row>
    <row r="33" spans="1:8">
      <c r="A33" t="s">
        <v>35</v>
      </c>
      <c r="B33" s="6">
        <f>B31-B32</f>
        <v>0</v>
      </c>
    </row>
    <row r="35" spans="1:8">
      <c r="A35" s="3" t="s">
        <v>36</v>
      </c>
      <c r="B35" s="9">
        <f>B33/B8</f>
        <v>0</v>
      </c>
    </row>
    <row r="36" spans="1:8">
      <c r="A36" t="s">
        <v>37</v>
      </c>
      <c r="B36" s="10">
        <f>B4</f>
        <v>0</v>
      </c>
    </row>
    <row r="37" spans="1:8">
      <c r="A37" t="s">
        <v>38</v>
      </c>
      <c r="B37" s="11">
        <f>(B35-B36)/B36</f>
        <v>0</v>
      </c>
    </row>
    <row r="39" spans="1:8">
      <c r="A39" s="5" t="s">
        <v>39</v>
      </c>
      <c r="B39" s="5"/>
      <c r="C39" s="5"/>
      <c r="D39" s="5"/>
      <c r="E39" s="5"/>
      <c r="F39" s="5"/>
      <c r="G39" s="5"/>
      <c r="H39" s="5"/>
    </row>
    <row r="40" spans="1:8">
      <c r="A40" t="s">
        <v>40</v>
      </c>
      <c r="B40" s="10">
        <f>B29/B8</f>
        <v>0</v>
      </c>
    </row>
    <row r="41" spans="1:8">
      <c r="A41" t="s">
        <v>41</v>
      </c>
      <c r="B41" s="7">
        <v>0.15</v>
      </c>
    </row>
    <row r="42" spans="1:8">
      <c r="A42" t="s">
        <v>42</v>
      </c>
      <c r="B42" s="4">
        <v>5</v>
      </c>
    </row>
    <row r="43" spans="1:8">
      <c r="A43" s="3" t="s">
        <v>43</v>
      </c>
      <c r="B43" s="9">
        <f>B40/((1+B41)^B42)</f>
        <v>0</v>
      </c>
    </row>
    <row r="44" spans="1:8">
      <c r="A44" t="s">
        <v>44</v>
      </c>
      <c r="B44" s="11">
        <f>(B43-B4)/B4</f>
        <v>0</v>
      </c>
    </row>
  </sheetData>
  <mergeCells count="7">
    <mergeCell ref="A1:H1"/>
    <mergeCell ref="A2:H2"/>
    <mergeCell ref="A8:H8"/>
    <mergeCell ref="A15:H15"/>
    <mergeCell ref="A19:H19"/>
    <mergeCell ref="A26:H26"/>
    <mergeCell ref="A39:H3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25.7109375" customWidth="1"/>
    <col min="2" max="4" width="16.7109375" customWidth="1"/>
  </cols>
  <sheetData>
    <row r="1" spans="1:4">
      <c r="A1" s="1" t="s">
        <v>45</v>
      </c>
      <c r="B1" s="1"/>
      <c r="C1" s="1"/>
      <c r="D1" s="1"/>
    </row>
    <row r="2" spans="1:4">
      <c r="A2" s="2" t="s">
        <v>46</v>
      </c>
      <c r="B2" s="2"/>
      <c r="C2" s="2"/>
      <c r="D2" s="2"/>
    </row>
    <row r="4" spans="1:4">
      <c r="A4" s="8" t="s">
        <v>47</v>
      </c>
      <c r="B4" s="8" t="s">
        <v>48</v>
      </c>
      <c r="C4" s="8" t="s">
        <v>49</v>
      </c>
      <c r="D4" s="8" t="s">
        <v>50</v>
      </c>
    </row>
    <row r="5" spans="1:4">
      <c r="A5" s="5" t="s">
        <v>51</v>
      </c>
      <c r="B5" s="5"/>
      <c r="C5" s="5"/>
      <c r="D5" s="5"/>
    </row>
    <row r="6" spans="1:4">
      <c r="A6" t="s">
        <v>52</v>
      </c>
      <c r="B6" s="11">
        <v>0.095</v>
      </c>
      <c r="C6" s="11">
        <v>0.105</v>
      </c>
      <c r="D6" s="11">
        <v>0.12</v>
      </c>
    </row>
    <row r="7" spans="1:4">
      <c r="A7" t="s">
        <v>53</v>
      </c>
      <c r="B7" s="11">
        <v>0.03</v>
      </c>
      <c r="C7" s="11">
        <v>0.025</v>
      </c>
      <c r="D7" s="11">
        <v>0.02</v>
      </c>
    </row>
    <row r="9" spans="1:4">
      <c r="A9" s="5" t="s">
        <v>54</v>
      </c>
      <c r="B9" s="5"/>
      <c r="C9" s="5"/>
      <c r="D9" s="5"/>
    </row>
    <row r="10" spans="1:4">
      <c r="A10" t="s">
        <v>19</v>
      </c>
      <c r="B10" s="11">
        <v>0.25</v>
      </c>
      <c r="C10" s="11">
        <v>0.18</v>
      </c>
      <c r="D10" s="11">
        <v>0.1</v>
      </c>
    </row>
    <row r="11" spans="1:4">
      <c r="A11" t="s">
        <v>20</v>
      </c>
      <c r="B11" s="11">
        <v>0.22</v>
      </c>
      <c r="C11" s="11">
        <v>0.16</v>
      </c>
      <c r="D11" s="11">
        <v>0.08</v>
      </c>
    </row>
    <row r="12" spans="1:4">
      <c r="A12" t="s">
        <v>21</v>
      </c>
      <c r="B12" s="11">
        <v>0.2</v>
      </c>
      <c r="C12" s="11">
        <v>0.14</v>
      </c>
      <c r="D12" s="11">
        <v>0.07000000000000001</v>
      </c>
    </row>
    <row r="13" spans="1:4">
      <c r="A13" t="s">
        <v>22</v>
      </c>
      <c r="B13" s="11">
        <v>0.18</v>
      </c>
      <c r="C13" s="11">
        <v>0.12</v>
      </c>
      <c r="D13" s="11">
        <v>0.06</v>
      </c>
    </row>
    <row r="14" spans="1:4">
      <c r="A14" t="s">
        <v>23</v>
      </c>
      <c r="B14" s="11">
        <v>0.15</v>
      </c>
      <c r="C14" s="11">
        <v>0.1</v>
      </c>
      <c r="D14" s="11">
        <v>0.05</v>
      </c>
    </row>
    <row r="16" spans="1:4">
      <c r="A16" s="5" t="s">
        <v>55</v>
      </c>
      <c r="B16" s="5"/>
      <c r="C16" s="5"/>
      <c r="D16" s="5"/>
    </row>
    <row r="17" spans="1:4">
      <c r="A17" t="s">
        <v>56</v>
      </c>
      <c r="B17" s="9">
        <v>35.91</v>
      </c>
      <c r="C17" s="9">
        <v>24.31</v>
      </c>
      <c r="D17" s="9">
        <v>16.11</v>
      </c>
    </row>
    <row r="18" spans="1:4">
      <c r="A18" t="s">
        <v>38</v>
      </c>
      <c r="B18" s="11">
        <v>-0.102</v>
      </c>
      <c r="C18" s="11">
        <v>-0.392</v>
      </c>
      <c r="D18" s="11">
        <v>-0.597</v>
      </c>
    </row>
    <row r="20" spans="1:4">
      <c r="A20" t="s">
        <v>57</v>
      </c>
      <c r="B20" s="10">
        <v>20.17</v>
      </c>
      <c r="C20" s="10">
        <v>12.63</v>
      </c>
      <c r="D20" s="10">
        <v>7.4</v>
      </c>
    </row>
    <row r="22" spans="1:4">
      <c r="A22" s="5" t="s">
        <v>58</v>
      </c>
      <c r="B22" s="5"/>
      <c r="C22" s="5"/>
      <c r="D22" s="5"/>
    </row>
    <row r="23" spans="1:4">
      <c r="A23" t="s">
        <v>59</v>
      </c>
      <c r="B23" s="11">
        <v>0.2</v>
      </c>
      <c r="C23" s="11">
        <v>0.6</v>
      </c>
      <c r="D23" s="11">
        <v>0.2</v>
      </c>
    </row>
    <row r="24" spans="1:4">
      <c r="A24" t="s">
        <v>60</v>
      </c>
      <c r="B24" s="9">
        <v>24.99</v>
      </c>
      <c r="C24" s="9"/>
    </row>
    <row r="25" spans="1:4">
      <c r="A25" t="s">
        <v>61</v>
      </c>
      <c r="B25" s="11">
        <v>-0.375</v>
      </c>
      <c r="C25" s="11"/>
    </row>
  </sheetData>
  <mergeCells count="8">
    <mergeCell ref="A1:D1"/>
    <mergeCell ref="A2:D2"/>
    <mergeCell ref="A5:D5"/>
    <mergeCell ref="A9:D9"/>
    <mergeCell ref="A16:D16"/>
    <mergeCell ref="A22:D22"/>
    <mergeCell ref="B24:C24"/>
    <mergeCell ref="B25:C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12.7109375" customWidth="1"/>
    <col min="2" max="7" width="11.7109375" customWidth="1"/>
  </cols>
  <sheetData>
    <row r="1" spans="1:7">
      <c r="A1" s="1" t="s">
        <v>62</v>
      </c>
      <c r="B1" s="1"/>
      <c r="C1" s="1"/>
      <c r="D1" s="1"/>
      <c r="E1" s="1"/>
      <c r="F1" s="1"/>
      <c r="G1" s="1"/>
    </row>
    <row r="2" spans="1:7">
      <c r="A2" s="2" t="s">
        <v>63</v>
      </c>
      <c r="B2" s="2"/>
      <c r="C2" s="2"/>
      <c r="D2" s="2"/>
      <c r="E2" s="2"/>
      <c r="F2" s="2"/>
      <c r="G2" s="2"/>
    </row>
    <row r="4" spans="1:7">
      <c r="A4" s="8" t="s">
        <v>64</v>
      </c>
      <c r="B4" s="8">
        <v>0.015</v>
      </c>
      <c r="C4" s="8">
        <v>0.02</v>
      </c>
      <c r="D4" s="8">
        <v>0.025</v>
      </c>
      <c r="E4" s="8">
        <v>0.03</v>
      </c>
      <c r="F4" s="8">
        <v>0.035</v>
      </c>
    </row>
    <row r="5" spans="1:7">
      <c r="A5" s="8">
        <v>0.08</v>
      </c>
      <c r="B5" s="12">
        <v>30.39</v>
      </c>
      <c r="C5" s="12">
        <v>32.25</v>
      </c>
      <c r="D5" s="12">
        <v>34.46</v>
      </c>
      <c r="E5" s="13">
        <v>37.11</v>
      </c>
      <c r="F5" s="13">
        <v>40.35</v>
      </c>
    </row>
    <row r="6" spans="1:7">
      <c r="A6" s="8">
        <v>0.09</v>
      </c>
      <c r="B6" s="12">
        <v>26.58</v>
      </c>
      <c r="C6" s="12">
        <v>27.92</v>
      </c>
      <c r="D6" s="12">
        <v>29.46</v>
      </c>
      <c r="E6" s="12">
        <v>31.26</v>
      </c>
      <c r="F6" s="12">
        <v>33.39</v>
      </c>
    </row>
    <row r="7" spans="1:7">
      <c r="A7" s="8">
        <v>0.1</v>
      </c>
      <c r="B7" s="12">
        <v>23.67</v>
      </c>
      <c r="C7" s="12">
        <v>24.67</v>
      </c>
      <c r="D7" s="12">
        <v>25.8</v>
      </c>
      <c r="E7" s="12">
        <v>27.09</v>
      </c>
      <c r="F7" s="12">
        <v>28.57</v>
      </c>
    </row>
    <row r="8" spans="1:7">
      <c r="A8" s="8">
        <v>0.105</v>
      </c>
      <c r="B8" s="12">
        <v>22.47</v>
      </c>
      <c r="C8" s="12">
        <v>23.33</v>
      </c>
      <c r="D8" s="12">
        <v>24.31</v>
      </c>
      <c r="E8" s="12">
        <v>25.42</v>
      </c>
      <c r="F8" s="12">
        <v>26.69</v>
      </c>
    </row>
    <row r="9" spans="1:7">
      <c r="A9" s="8">
        <v>0.11</v>
      </c>
      <c r="B9" s="12">
        <v>21.38</v>
      </c>
      <c r="C9" s="12">
        <v>22.15</v>
      </c>
      <c r="D9" s="12">
        <v>23</v>
      </c>
      <c r="E9" s="12">
        <v>23.96</v>
      </c>
      <c r="F9" s="12">
        <v>25.05</v>
      </c>
    </row>
    <row r="10" spans="1:7">
      <c r="A10" s="8">
        <v>0.12</v>
      </c>
      <c r="B10" s="12">
        <v>19.53</v>
      </c>
      <c r="C10" s="12">
        <v>20.13</v>
      </c>
      <c r="D10" s="12">
        <v>20.8</v>
      </c>
      <c r="E10" s="12">
        <v>21.53</v>
      </c>
      <c r="F10" s="12">
        <v>22.36</v>
      </c>
    </row>
    <row r="11" spans="1:7">
      <c r="A11" s="8">
        <v>0.13</v>
      </c>
      <c r="B11" s="12">
        <v>18.01</v>
      </c>
      <c r="C11" s="12">
        <v>18.49</v>
      </c>
      <c r="D11" s="12">
        <v>19.02</v>
      </c>
      <c r="E11" s="12">
        <v>19.59</v>
      </c>
      <c r="F11" s="12">
        <v>20.23</v>
      </c>
    </row>
    <row r="12" spans="1:7">
      <c r="A12" s="8">
        <v>0.14</v>
      </c>
      <c r="B12" s="12">
        <v>16.73</v>
      </c>
      <c r="C12" s="12">
        <v>17.12</v>
      </c>
      <c r="D12" s="12">
        <v>17.55</v>
      </c>
      <c r="E12" s="12">
        <v>18.01</v>
      </c>
      <c r="F12" s="12">
        <v>18.52</v>
      </c>
    </row>
    <row r="15" spans="1:7">
      <c r="A15" s="3" t="s">
        <v>65</v>
      </c>
      <c r="B15" s="10">
        <v>40</v>
      </c>
    </row>
    <row r="16" spans="1:7">
      <c r="A16" s="2" t="s">
        <v>66</v>
      </c>
      <c r="B16" s="2"/>
      <c r="C16" s="2"/>
      <c r="D16" s="2"/>
      <c r="E16" s="2"/>
      <c r="F16" s="2"/>
      <c r="G16" s="2"/>
    </row>
  </sheetData>
  <mergeCells count="3">
    <mergeCell ref="A1:G1"/>
    <mergeCell ref="A2:G2"/>
    <mergeCell ref="A16:G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8"/>
  <sheetViews>
    <sheetView workbookViewId="0"/>
  </sheetViews>
  <sheetFormatPr defaultRowHeight="15"/>
  <cols>
    <col min="1" max="1" width="25.7109375" customWidth="1"/>
    <col min="2" max="3" width="15.7109375" customWidth="1"/>
  </cols>
  <sheetData>
    <row r="1" spans="1:3">
      <c r="A1" s="1" t="s">
        <v>67</v>
      </c>
      <c r="B1" s="1"/>
      <c r="C1" s="1"/>
    </row>
    <row r="3" spans="1:3">
      <c r="A3" s="8" t="s">
        <v>47</v>
      </c>
      <c r="B3" s="8" t="s">
        <v>68</v>
      </c>
      <c r="C3" s="8" t="s">
        <v>69</v>
      </c>
    </row>
    <row r="4" spans="1:3">
      <c r="A4" t="s">
        <v>70</v>
      </c>
      <c r="B4" s="11">
        <v>0.197</v>
      </c>
      <c r="C4" t="s">
        <v>71</v>
      </c>
    </row>
    <row r="5" spans="1:3">
      <c r="A5" t="s">
        <v>72</v>
      </c>
      <c r="B5" s="11">
        <v>0.197</v>
      </c>
      <c r="C5" t="s">
        <v>73</v>
      </c>
    </row>
    <row r="6" spans="1:3">
      <c r="A6" t="s">
        <v>74</v>
      </c>
      <c r="B6" s="11">
        <v>3</v>
      </c>
      <c r="C6" t="s">
        <v>71</v>
      </c>
    </row>
    <row r="7" spans="1:3">
      <c r="A7" t="s">
        <v>75</v>
      </c>
      <c r="B7" s="11">
        <v>5.245</v>
      </c>
      <c r="C7" t="s">
        <v>71</v>
      </c>
    </row>
    <row r="8" spans="1:3">
      <c r="A8" t="s">
        <v>76</v>
      </c>
      <c r="B8" s="11">
        <v>1.197</v>
      </c>
      <c r="C8" t="s">
        <v>73</v>
      </c>
    </row>
    <row r="9" spans="1:3">
      <c r="A9" t="s">
        <v>77</v>
      </c>
      <c r="B9" s="11">
        <v>0.034</v>
      </c>
      <c r="C9" t="s">
        <v>73</v>
      </c>
    </row>
    <row r="12" spans="1:3">
      <c r="A12" s="3" t="s">
        <v>78</v>
      </c>
      <c r="B12" s="11">
        <v>0.15</v>
      </c>
    </row>
    <row r="13" spans="1:3">
      <c r="A13" t="s">
        <v>79</v>
      </c>
      <c r="B13" s="14" t="s">
        <v>80</v>
      </c>
      <c r="C13" s="14"/>
    </row>
    <row r="14" spans="1:3">
      <c r="B14" s="14"/>
      <c r="C14" s="14"/>
    </row>
    <row r="15" spans="1:3">
      <c r="B15" s="14"/>
      <c r="C15" s="14"/>
    </row>
    <row r="16" spans="1:3">
      <c r="A16" t="s">
        <v>81</v>
      </c>
      <c r="B16" s="15" t="s">
        <v>82</v>
      </c>
      <c r="C16" s="15"/>
    </row>
    <row r="17" spans="2:3">
      <c r="B17" s="15"/>
      <c r="C17" s="15"/>
    </row>
    <row r="18" spans="2:3">
      <c r="B18" s="15"/>
      <c r="C18" s="15"/>
    </row>
  </sheetData>
  <mergeCells count="3">
    <mergeCell ref="A1:C1"/>
    <mergeCell ref="B13:C15"/>
    <mergeCell ref="B16:C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3:A35"/>
  <sheetViews>
    <sheetView workbookViewId="0"/>
  </sheetViews>
  <sheetFormatPr defaultRowHeight="15"/>
  <cols>
    <col min="1" max="1" width="100.7109375" customWidth="1"/>
  </cols>
  <sheetData>
    <row r="3" spans="1:1">
      <c r="A3" s="3" t="s">
        <v>83</v>
      </c>
    </row>
    <row r="4" spans="1:1">
      <c r="A4" s="16" t="s">
        <v>84</v>
      </c>
    </row>
    <row r="6" spans="1:1">
      <c r="A6" s="3" t="s">
        <v>85</v>
      </c>
    </row>
    <row r="7" spans="1:1">
      <c r="A7" s="17" t="s">
        <v>86</v>
      </c>
    </row>
    <row r="9" spans="1:1">
      <c r="A9" s="3" t="s">
        <v>87</v>
      </c>
    </row>
    <row r="10" spans="1:1">
      <c r="A10" t="s">
        <v>88</v>
      </c>
    </row>
    <row r="12" spans="1:1">
      <c r="A12" s="3" t="s">
        <v>89</v>
      </c>
    </row>
    <row r="13" spans="1:1">
      <c r="A13" s="18" t="s">
        <v>90</v>
      </c>
    </row>
    <row r="16" spans="1:1">
      <c r="A16" s="5" t="s">
        <v>91</v>
      </c>
    </row>
    <row r="17" spans="1:1">
      <c r="A17" s="18" t="s">
        <v>92</v>
      </c>
    </row>
    <row r="18" spans="1:1">
      <c r="A18" s="18" t="s">
        <v>93</v>
      </c>
    </row>
    <row r="19" spans="1:1">
      <c r="A19" s="18" t="s">
        <v>94</v>
      </c>
    </row>
    <row r="20" spans="1:1">
      <c r="A20" s="18" t="s">
        <v>95</v>
      </c>
    </row>
    <row r="21" spans="1:1">
      <c r="A21" s="18" t="s">
        <v>96</v>
      </c>
    </row>
    <row r="23" spans="1:1">
      <c r="A23" s="5" t="s">
        <v>97</v>
      </c>
    </row>
    <row r="24" spans="1:1">
      <c r="A24" s="18" t="s">
        <v>98</v>
      </c>
    </row>
    <row r="25" spans="1:1">
      <c r="A25" s="18" t="s">
        <v>99</v>
      </c>
    </row>
    <row r="26" spans="1:1">
      <c r="A26" s="18" t="s">
        <v>100</v>
      </c>
    </row>
    <row r="27" spans="1:1">
      <c r="A27" s="18" t="s">
        <v>101</v>
      </c>
    </row>
    <row r="28" spans="1:1">
      <c r="A28" s="18" t="s">
        <v>102</v>
      </c>
    </row>
    <row r="30" spans="1:1">
      <c r="A30" s="5" t="s">
        <v>103</v>
      </c>
    </row>
    <row r="31" spans="1:1">
      <c r="A31" s="18" t="s">
        <v>104</v>
      </c>
    </row>
    <row r="32" spans="1:1">
      <c r="A32" s="18" t="s">
        <v>105</v>
      </c>
    </row>
    <row r="33" spans="1:1">
      <c r="A33" s="18" t="s">
        <v>106</v>
      </c>
    </row>
    <row r="34" spans="1:1">
      <c r="A34" s="18" t="s">
        <v>107</v>
      </c>
    </row>
    <row r="35" spans="1:1">
      <c r="A35" s="18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Scenario Analysis</vt:lpstr>
      <vt:lpstr>Sensitivity Analysis</vt:lpstr>
      <vt:lpstr>Historical Data</vt:lpstr>
      <vt:lpstr>Investment Thesis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2026-01-22T22:42:59Z</dcterms:created>
  <dcterms:modified xsi:type="dcterms:W3CDTF">2026-01-22T22:42:59Z</dcterms:modified>
</cp:coreProperties>
</file>