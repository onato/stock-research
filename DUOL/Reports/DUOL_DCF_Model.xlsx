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s" sheetId="2" r:id="rId2"/>
    <sheet name="Sensitivity" sheetId="3" r:id="rId3"/>
    <sheet name="Historical" sheetId="4" r:id="rId4"/>
  </sheets>
  <calcPr calcId="124519" fullCalcOnLoad="1"/>
</workbook>
</file>

<file path=xl/sharedStrings.xml><?xml version="1.0" encoding="utf-8"?>
<sst xmlns="http://schemas.openxmlformats.org/spreadsheetml/2006/main" count="119" uniqueCount="106">
  <si>
    <t>DUOL DCF Valuation Model</t>
  </si>
  <si>
    <t>Gray cells are INPUTS - adjust to see valuation change</t>
  </si>
  <si>
    <t>KEY INPUTS</t>
  </si>
  <si>
    <t>Current Stock Price</t>
  </si>
  <si>
    <t>Shares Outstanding (M)</t>
  </si>
  <si>
    <t>Cash &amp; Equivalents (M)</t>
  </si>
  <si>
    <t>Total Debt (M)</t>
  </si>
  <si>
    <t>Net Debt (M)</t>
  </si>
  <si>
    <t>Base Year FCF (M)</t>
  </si>
  <si>
    <t>WACC</t>
  </si>
  <si>
    <t>Terminal Growth Rate</t>
  </si>
  <si>
    <t>GROWTH ASSUMPTIONS</t>
  </si>
  <si>
    <t>FCF Growth Rate</t>
  </si>
  <si>
    <t>Year 1</t>
  </si>
  <si>
    <t>Year 2</t>
  </si>
  <si>
    <t>Year 3</t>
  </si>
  <si>
    <t>Year 4</t>
  </si>
  <si>
    <t>Year 5</t>
  </si>
  <si>
    <t>PROJECTIONS</t>
  </si>
  <si>
    <t>Base</t>
  </si>
  <si>
    <t>Free Cash Flow</t>
  </si>
  <si>
    <t>Discount Factor</t>
  </si>
  <si>
    <t>PV of FCF</t>
  </si>
  <si>
    <t>VALUATION</t>
  </si>
  <si>
    <t>Sum of PV of FCF</t>
  </si>
  <si>
    <t>Terminal FCF (Year 5 * (1+g))</t>
  </si>
  <si>
    <t>Terminal Value</t>
  </si>
  <si>
    <t>PV of Terminal Value</t>
  </si>
  <si>
    <t>Enterprise Value</t>
  </si>
  <si>
    <t>Less: Net Debt</t>
  </si>
  <si>
    <t>Equity Value</t>
  </si>
  <si>
    <t>INTRINSIC VALUE/SHARE</t>
  </si>
  <si>
    <t>ENTRY PRICE (15% CAGR Target)</t>
  </si>
  <si>
    <t>Terminal Value per Share</t>
  </si>
  <si>
    <t>Entry Price (15% CAGR)</t>
  </si>
  <si>
    <t>Upside to IV</t>
  </si>
  <si>
    <t>Discount to Entry Price</t>
  </si>
  <si>
    <t>Scenario Comparison</t>
  </si>
  <si>
    <t>Valuation Date: 2026-01-28</t>
  </si>
  <si>
    <t>Metric</t>
  </si>
  <si>
    <t>Base Case</t>
  </si>
  <si>
    <t>Bull Case</t>
  </si>
  <si>
    <t>Bear Case</t>
  </si>
  <si>
    <t>ASSUMPTIONS</t>
  </si>
  <si>
    <t>Year 1 Growth</t>
  </si>
  <si>
    <t>Year 5 Growth</t>
  </si>
  <si>
    <t>FCF Margin</t>
  </si>
  <si>
    <t>Terminal Growth</t>
  </si>
  <si>
    <t>VALUATION RESULTS</t>
  </si>
  <si>
    <t>Sum of PV FCF</t>
  </si>
  <si>
    <t>PV Terminal Value</t>
  </si>
  <si>
    <t>Intrinsic Value/Share</t>
  </si>
  <si>
    <t>Current Price</t>
  </si>
  <si>
    <t>Upside/(Downside)</t>
  </si>
  <si>
    <t>ENTRY PRICES (15% CAGR)</t>
  </si>
  <si>
    <t>Terminal Value/Share</t>
  </si>
  <si>
    <t>Entry Price</t>
  </si>
  <si>
    <t>Discount from Current</t>
  </si>
  <si>
    <t>PROBABILITY-WEIGHTED IV</t>
  </si>
  <si>
    <t>Weights</t>
  </si>
  <si>
    <t>Weighted IV</t>
  </si>
  <si>
    <t>SCENARIO RATIONALE</t>
  </si>
  <si>
    <t>Base Case:</t>
  </si>
  <si>
    <t>Base case assumes deceleration from 42% revenue CAGR toward mature growth. Reflects AI-powered engagement, subscription mix shift to Max, and international expansion. FCF margin improves from 29% (TTM) to 30%+ as scale efficiencies offset AI costs. DAU growth moderates to 20-25% by Year 5.</t>
  </si>
  <si>
    <t>Bull Case:</t>
  </si>
  <si>
    <t>Bull case: Video Call and Max tier drive ARPU acceleration (10%+ vs 6-7% base). AI-powered content creation unlocks new subjects/languages faster. Subscriber penetration expands from 8.8% to 12%+ as gamification hooks deepen. Operating leverage drives margin expansion to 32%+. DAU growth sustains 30%+ through 2027.</t>
  </si>
  <si>
    <t>Bear Case:</t>
  </si>
  <si>
    <t>Bear case: AI disintermediation accelerates (ChatGPT, Claude steal conversational practice use cases). DAU growth continues decelerating (30% → 20% → 15%). Subscriber penetration stalls at 9% reflecting weak value proposition. AI compute costs compress margins. Competition from AI-native apps (Speak) intensifies.</t>
  </si>
  <si>
    <t>Sensitivity Analysis</t>
  </si>
  <si>
    <t>Intrinsic Value by WACC &amp; Terminal Growth</t>
  </si>
  <si>
    <t>WACC \ Term Growth</t>
  </si>
  <si>
    <t>Current Assumptions:</t>
  </si>
  <si>
    <t>WACC: 10.0%</t>
  </si>
  <si>
    <t>Terminal Growth: 3.0%</t>
  </si>
  <si>
    <t>Intrinsic Value: $219.37</t>
  </si>
  <si>
    <t>Current Price: $152.64</t>
  </si>
  <si>
    <t>Historical Growth Rates</t>
  </si>
  <si>
    <t>3-Year CAGR</t>
  </si>
  <si>
    <t>5-Year CAGR</t>
  </si>
  <si>
    <t>Revenue</t>
  </si>
  <si>
    <t>N/A</t>
  </si>
  <si>
    <t>EPS</t>
  </si>
  <si>
    <t>Equity</t>
  </si>
  <si>
    <t>FCF</t>
  </si>
  <si>
    <t>Selected Growth Rate:</t>
  </si>
  <si>
    <t>Source:</t>
  </si>
  <si>
    <t>revenue_3yr_cagr</t>
  </si>
  <si>
    <t>Growth Rate Warning:</t>
  </si>
  <si>
    <t>High-growth company transitioning to profitability. Equity CAGR (53.6%) reflects strong earnings inflection. Revenue CAGR (42%) used as more stable baseline given volatile EPS history (negative in FY2022). FCF growth exceptional (72.3%) but not sustainable long-term.</t>
  </si>
  <si>
    <t>KEY ANALYSIS NOTES</t>
  </si>
  <si>
    <t>Current Price Estimate:</t>
  </si>
  <si>
    <t>DUOL trading at $152.64 as of January 28, 2026. Stock declined ~72% from May 2025 high of ~$541. 52-week range: $142.10-$544.93.</t>
  </si>
  <si>
    <t>Fcf Calculation:</t>
  </si>
  <si>
    <t>Trailing 12-month FCF (Q4 2024 + Q1-Q3 2025) = $87.8M + $53.9M + $70.5M + $77.4M = $289.6M. This represents ~38.7% FCF margin on $748M FY2024 revenue, though Q4 2024 had exceptionally strong cash generation ($87.8M on $209.6M revenue).</t>
  </si>
  <si>
    <t>One Time Items:</t>
  </si>
  <si>
    <t>Q3 2025 net income of $292.2M includes $222.7M one-time tax benefit. Normalized net income would be ~$69.5M. This does not materially impact FCF analysis.</t>
  </si>
  <si>
    <t>Equity Growth Rationale:</t>
  </si>
  <si>
    <t>Shareholders' equity grew from $584.8M (Q4 2023) to $1,258.0M (Q3 2025), representing 53.6% CAGR over ~1.75 years. This rapid growth reflects strong profitability inflection as company scales. However, using revenue CAGR (42%) as primary growth input given equity can be volatile for high-growth companies.</t>
  </si>
  <si>
    <t>Growth Deceleration:</t>
  </si>
  <si>
    <t>DAU growth decelerated from 40% YoY (Q2 2025) to 36% (Q3) to ~30% (Q4 prelim). QoQ growth slowed from 15% (Q1) to 4% (Q4). This deceleration is reflected in conservative base case growth assumptions.</t>
  </si>
  <si>
    <t>Ai Impact:</t>
  </si>
  <si>
    <t>Video Call (GPT-4 powered) and Max tier represent key bull case drivers but also introduce margin pressure from variable AI costs. Management noted gross margin pressure despite favorable revenue mix shift.</t>
  </si>
  <si>
    <t>Competitive Risks:</t>
  </si>
  <si>
    <t>Bear case weighted toward AI disintermediation risk from ChatGPT/Claude/Gemini and AI-native competitors like Speak. Low 8.8% subscriber penetration suggests potential value proposition weakness.</t>
  </si>
  <si>
    <t>Valuation Context:</t>
  </si>
  <si>
    <t>Base case intrinsic value of $219 implies ~44% upside from $152.64 current price. Bull case of $361 implies 136% upside. Even bear case IV of $126 is only 18% below current price. Probability-weighted IV of $222 implies ~45% upside. Stock appears significantly undervalued at current levels. Entry price of $124 (base case) is only 19% below current price.</t>
  </si>
</sst>
</file>

<file path=xl/styles.xml><?xml version="1.0" encoding="utf-8"?>
<styleSheet xmlns="http://schemas.openxmlformats.org/spreadsheetml/2006/main">
  <numFmts count="3">
    <numFmt numFmtId="164" formatCode="&quot;$&quot;#,##0.00"/>
    <numFmt numFmtId="165" formatCode="#,##0.0"/>
    <numFmt numFmtId="166" formatCode="0.0%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/>
    <xf numFmtId="164" fontId="0" fillId="2" borderId="2" xfId="0" applyNumberFormat="1" applyFill="1" applyBorder="1"/>
    <xf numFmtId="165" fontId="0" fillId="2" borderId="2" xfId="0" applyNumberFormat="1" applyFill="1" applyBorder="1"/>
    <xf numFmtId="165" fontId="0" fillId="0" borderId="2" xfId="0" applyNumberFormat="1" applyBorder="1"/>
    <xf numFmtId="166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4" fontId="4" fillId="4" borderId="2" xfId="0" applyNumberFormat="1" applyFont="1" applyFill="1" applyBorder="1"/>
    <xf numFmtId="164" fontId="0" fillId="0" borderId="2" xfId="0" applyNumberFormat="1" applyBorder="1"/>
    <xf numFmtId="166" fontId="0" fillId="0" borderId="2" xfId="0" applyNumberFormat="1" applyBorder="1"/>
    <xf numFmtId="166" fontId="4" fillId="3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28.7109375" customWidth="1"/>
    <col min="2" max="8" width="14.7109375" customWidth="1"/>
  </cols>
  <sheetData>
    <row r="1" spans="1:6">
      <c r="A1" s="1" t="s">
        <v>0</v>
      </c>
    </row>
    <row r="2" spans="1:6">
      <c r="A2" s="2" t="s">
        <v>1</v>
      </c>
    </row>
    <row r="4" spans="1:6">
      <c r="A4" s="3" t="s">
        <v>2</v>
      </c>
    </row>
    <row r="5" spans="1:6">
      <c r="A5" t="s">
        <v>3</v>
      </c>
      <c r="B5" s="4">
        <v>152.64</v>
      </c>
    </row>
    <row r="6" spans="1:6">
      <c r="A6" t="s">
        <v>4</v>
      </c>
      <c r="B6" s="5">
        <v>49.1</v>
      </c>
    </row>
    <row r="7" spans="1:6">
      <c r="A7" t="s">
        <v>5</v>
      </c>
      <c r="B7" s="5">
        <v>959.5</v>
      </c>
    </row>
    <row r="8" spans="1:6">
      <c r="A8" t="s">
        <v>6</v>
      </c>
      <c r="B8" s="5">
        <v>0</v>
      </c>
    </row>
    <row r="9" spans="1:6">
      <c r="A9" t="s">
        <v>7</v>
      </c>
      <c r="B9" s="6">
        <f>B8-B7</f>
        <v>0</v>
      </c>
    </row>
    <row r="10" spans="1:6">
      <c r="A10" t="s">
        <v>8</v>
      </c>
      <c r="B10" s="5">
        <v>289.6</v>
      </c>
    </row>
    <row r="12" spans="1:6">
      <c r="A12" t="s">
        <v>9</v>
      </c>
      <c r="B12" s="7">
        <v>0.1</v>
      </c>
    </row>
    <row r="13" spans="1:6">
      <c r="A13" t="s">
        <v>10</v>
      </c>
      <c r="B13" s="7">
        <v>0.03</v>
      </c>
    </row>
    <row r="15" spans="1:6">
      <c r="A15" s="3" t="s">
        <v>11</v>
      </c>
      <c r="B15" s="8" t="s">
        <v>13</v>
      </c>
      <c r="C15" s="8" t="s">
        <v>14</v>
      </c>
      <c r="D15" s="8" t="s">
        <v>15</v>
      </c>
      <c r="E15" s="8" t="s">
        <v>16</v>
      </c>
      <c r="F15" s="8" t="s">
        <v>17</v>
      </c>
    </row>
    <row r="16" spans="1:6">
      <c r="A16" t="s">
        <v>12</v>
      </c>
      <c r="B16" s="7">
        <v>0.35</v>
      </c>
      <c r="C16" s="7">
        <v>0.28</v>
      </c>
      <c r="D16" s="7">
        <v>0.22</v>
      </c>
      <c r="E16" s="7">
        <v>0.18</v>
      </c>
      <c r="F16" s="7">
        <v>0.15</v>
      </c>
    </row>
    <row r="18" spans="1:7">
      <c r="A18" s="3" t="s">
        <v>18</v>
      </c>
    </row>
    <row r="19" spans="1:7">
      <c r="A19" s="8"/>
      <c r="B19" s="8" t="s">
        <v>19</v>
      </c>
      <c r="C19" s="8" t="s">
        <v>13</v>
      </c>
      <c r="D19" s="8" t="s">
        <v>14</v>
      </c>
      <c r="E19" s="8" t="s">
        <v>15</v>
      </c>
      <c r="F19" s="8" t="s">
        <v>16</v>
      </c>
      <c r="G19" s="8" t="s">
        <v>17</v>
      </c>
    </row>
    <row r="20" spans="1:7">
      <c r="A20" t="s">
        <v>20</v>
      </c>
      <c r="B20" s="6">
        <f>B10</f>
        <v>0</v>
      </c>
      <c r="C20" s="6">
        <f>B20*(1+B16)</f>
        <v>0</v>
      </c>
      <c r="D20" s="6">
        <f>C20*(1+C16)</f>
        <v>0</v>
      </c>
      <c r="E20" s="6">
        <f>D20*(1+D16)</f>
        <v>0</v>
      </c>
      <c r="F20" s="6">
        <f>E20*(1+E16)</f>
        <v>0</v>
      </c>
      <c r="G20" s="6">
        <f>F20*(1+F16)</f>
        <v>0</v>
      </c>
    </row>
    <row r="21" spans="1:7">
      <c r="A21" t="s">
        <v>21</v>
      </c>
      <c r="C21" s="6">
        <f>1/(1+$B$12)^1</f>
        <v>0</v>
      </c>
      <c r="D21" s="6">
        <f>1/(1+$B$12)^2</f>
        <v>0</v>
      </c>
      <c r="E21" s="6">
        <f>1/(1+$B$12)^3</f>
        <v>0</v>
      </c>
      <c r="F21" s="6">
        <f>1/(1+$B$12)^4</f>
        <v>0</v>
      </c>
      <c r="G21" s="6">
        <f>1/(1+$B$12)^5</f>
        <v>0</v>
      </c>
    </row>
    <row r="22" spans="1:7">
      <c r="A22" t="s">
        <v>22</v>
      </c>
      <c r="C22" s="6">
        <f>C20*C21</f>
        <v>0</v>
      </c>
      <c r="D22" s="6">
        <f>D20*D21</f>
        <v>0</v>
      </c>
      <c r="E22" s="6">
        <f>E20*E21</f>
        <v>0</v>
      </c>
      <c r="F22" s="6">
        <f>F20*F21</f>
        <v>0</v>
      </c>
      <c r="G22" s="6">
        <f>G20*G21</f>
        <v>0</v>
      </c>
    </row>
    <row r="24" spans="1:7">
      <c r="A24" s="3" t="s">
        <v>23</v>
      </c>
    </row>
    <row r="25" spans="1:7">
      <c r="A25" t="s">
        <v>24</v>
      </c>
      <c r="B25" s="6">
        <f>SUM(C22:G22)</f>
        <v>0</v>
      </c>
    </row>
    <row r="26" spans="1:7">
      <c r="A26" t="s">
        <v>25</v>
      </c>
      <c r="B26" s="6">
        <f>G20*(1+$B$13)</f>
        <v>0</v>
      </c>
    </row>
    <row r="27" spans="1:7">
      <c r="A27" t="s">
        <v>26</v>
      </c>
      <c r="B27" s="6">
        <f>B26/($B$12-$B$13)</f>
        <v>0</v>
      </c>
    </row>
    <row r="28" spans="1:7">
      <c r="A28" t="s">
        <v>27</v>
      </c>
      <c r="B28" s="6">
        <f>B27*G21</f>
        <v>0</v>
      </c>
    </row>
    <row r="29" spans="1:7">
      <c r="A29" t="s">
        <v>28</v>
      </c>
      <c r="B29" s="6">
        <f>B25+B28</f>
        <v>0</v>
      </c>
    </row>
    <row r="30" spans="1:7">
      <c r="A30" t="s">
        <v>29</v>
      </c>
      <c r="B30" s="6">
        <f>B9</f>
        <v>0</v>
      </c>
    </row>
    <row r="31" spans="1:7">
      <c r="A31" t="s">
        <v>30</v>
      </c>
      <c r="B31" s="6">
        <f>B29-B30</f>
        <v>0</v>
      </c>
    </row>
    <row r="32" spans="1:7">
      <c r="A32" s="9" t="s">
        <v>31</v>
      </c>
      <c r="B32" s="10">
        <f>B31/B6</f>
        <v>0</v>
      </c>
    </row>
    <row r="34" spans="1:2">
      <c r="A34" s="3" t="s">
        <v>32</v>
      </c>
    </row>
    <row r="35" spans="1:2">
      <c r="A35" t="s">
        <v>33</v>
      </c>
      <c r="B35" s="11">
        <f>B27/B6</f>
        <v>0</v>
      </c>
    </row>
    <row r="36" spans="1:2">
      <c r="A36" t="s">
        <v>34</v>
      </c>
      <c r="B36" s="10">
        <f>B35/(1.15^5)</f>
        <v>0</v>
      </c>
    </row>
    <row r="38" spans="1:2">
      <c r="A38" t="s">
        <v>35</v>
      </c>
      <c r="B38" s="12">
        <f>(B32-B5)/B5</f>
        <v>0</v>
      </c>
    </row>
    <row r="39" spans="1:2">
      <c r="A39" t="s">
        <v>36</v>
      </c>
      <c r="B39" s="12">
        <f>(B5-B36)/B36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5"/>
  <sheetViews>
    <sheetView workbookViewId="0"/>
  </sheetViews>
  <sheetFormatPr defaultRowHeight="15"/>
  <cols>
    <col min="1" max="4" width="30.7109375" customWidth="1"/>
  </cols>
  <sheetData>
    <row r="1" spans="1:4">
      <c r="A1" s="1" t="s">
        <v>37</v>
      </c>
    </row>
    <row r="2" spans="1:4">
      <c r="A2" t="s">
        <v>38</v>
      </c>
    </row>
    <row r="4" spans="1:4">
      <c r="A4" s="8" t="s">
        <v>39</v>
      </c>
      <c r="B4" s="8" t="s">
        <v>40</v>
      </c>
      <c r="C4" s="8" t="s">
        <v>41</v>
      </c>
      <c r="D4" s="8" t="s">
        <v>42</v>
      </c>
    </row>
    <row r="5" spans="1:4">
      <c r="A5" s="3" t="s">
        <v>43</v>
      </c>
    </row>
    <row r="6" spans="1:4">
      <c r="A6" t="s">
        <v>44</v>
      </c>
      <c r="B6" s="12">
        <v>0.35</v>
      </c>
      <c r="C6" s="12">
        <v>0.45</v>
      </c>
      <c r="D6" s="12">
        <v>0.25</v>
      </c>
    </row>
    <row r="7" spans="1:4">
      <c r="A7" t="s">
        <v>45</v>
      </c>
      <c r="B7" s="12">
        <v>0.15</v>
      </c>
      <c r="C7" s="12">
        <v>0.2</v>
      </c>
      <c r="D7" s="12">
        <v>0.06</v>
      </c>
    </row>
    <row r="9" spans="1:4">
      <c r="A9" t="s">
        <v>46</v>
      </c>
      <c r="B9" s="12">
        <v>0.3</v>
      </c>
      <c r="C9" s="12">
        <v>0.32</v>
      </c>
      <c r="D9" s="12">
        <v>0.27</v>
      </c>
    </row>
    <row r="10" spans="1:4">
      <c r="A10" t="s">
        <v>9</v>
      </c>
      <c r="B10" s="12">
        <v>0.1</v>
      </c>
      <c r="C10" s="12">
        <v>0.09</v>
      </c>
      <c r="D10" s="12">
        <v>0.12</v>
      </c>
    </row>
    <row r="11" spans="1:4">
      <c r="A11" t="s">
        <v>47</v>
      </c>
      <c r="B11" s="12">
        <v>0.03</v>
      </c>
      <c r="C11" s="12">
        <v>0.035</v>
      </c>
      <c r="D11" s="12">
        <v>0.025</v>
      </c>
    </row>
    <row r="12" spans="1:4">
      <c r="A12" s="3" t="s">
        <v>48</v>
      </c>
    </row>
    <row r="13" spans="1:4">
      <c r="A13" t="s">
        <v>49</v>
      </c>
      <c r="B13" s="6">
        <v>2234</v>
      </c>
      <c r="C13" s="6">
        <v>2855</v>
      </c>
      <c r="D13" s="6">
        <v>1643.5</v>
      </c>
    </row>
    <row r="14" spans="1:4">
      <c r="A14" t="s">
        <v>50</v>
      </c>
      <c r="B14" s="6">
        <v>7577.3</v>
      </c>
      <c r="C14" s="6">
        <v>13889.1</v>
      </c>
      <c r="D14" s="6">
        <v>3567.1</v>
      </c>
    </row>
    <row r="15" spans="1:4">
      <c r="A15" t="s">
        <v>28</v>
      </c>
      <c r="B15" s="6">
        <v>9811.299999999999</v>
      </c>
      <c r="C15" s="6">
        <v>16744.1</v>
      </c>
      <c r="D15" s="6">
        <v>5210.6</v>
      </c>
    </row>
    <row r="16" spans="1:4">
      <c r="A16" t="s">
        <v>30</v>
      </c>
      <c r="B16" s="6">
        <v>10770.8</v>
      </c>
      <c r="C16" s="6">
        <v>17703.6</v>
      </c>
      <c r="D16" s="6">
        <v>6170.1</v>
      </c>
    </row>
    <row r="17" spans="1:4">
      <c r="A17" s="9" t="s">
        <v>51</v>
      </c>
      <c r="B17" s="10">
        <v>219.37</v>
      </c>
      <c r="C17" s="10">
        <v>360.57</v>
      </c>
      <c r="D17" s="10">
        <v>125.66</v>
      </c>
    </row>
    <row r="19" spans="1:4">
      <c r="A19" t="s">
        <v>52</v>
      </c>
      <c r="B19" s="11">
        <v>152.64</v>
      </c>
      <c r="C19" s="11">
        <v>152.64</v>
      </c>
      <c r="D19" s="11">
        <v>152.64</v>
      </c>
    </row>
    <row r="20" spans="1:4">
      <c r="A20" s="9" t="s">
        <v>53</v>
      </c>
      <c r="B20" s="12">
        <v>0.4370000000000001</v>
      </c>
      <c r="C20" s="12">
        <v>1.362</v>
      </c>
      <c r="D20" s="12">
        <v>-0.177</v>
      </c>
    </row>
    <row r="22" spans="1:4">
      <c r="A22" s="3" t="s">
        <v>54</v>
      </c>
    </row>
    <row r="23" spans="1:4">
      <c r="A23" t="s">
        <v>55</v>
      </c>
      <c r="B23" s="11">
        <v>248.5</v>
      </c>
      <c r="C23" s="11">
        <v>435.23</v>
      </c>
      <c r="D23" s="11">
        <v>128.14</v>
      </c>
    </row>
    <row r="24" spans="1:4">
      <c r="A24" s="9" t="s">
        <v>56</v>
      </c>
      <c r="B24" s="10">
        <v>123.57</v>
      </c>
      <c r="C24" s="10">
        <v>216.42</v>
      </c>
      <c r="D24" s="10">
        <v>63.73</v>
      </c>
    </row>
    <row r="25" spans="1:4">
      <c r="A25" t="s">
        <v>57</v>
      </c>
      <c r="B25" s="12">
        <v>-0.19</v>
      </c>
      <c r="C25" s="12">
        <v>0.418</v>
      </c>
      <c r="D25" s="12">
        <v>-0.583</v>
      </c>
    </row>
    <row r="27" spans="1:4">
      <c r="A27" s="3" t="s">
        <v>58</v>
      </c>
    </row>
    <row r="28" spans="1:4">
      <c r="A28" t="s">
        <v>59</v>
      </c>
      <c r="B28" s="12">
        <v>0.5</v>
      </c>
      <c r="C28" s="12">
        <v>0.25</v>
      </c>
      <c r="D28" s="12">
        <v>0.25</v>
      </c>
    </row>
    <row r="29" spans="1:4">
      <c r="A29" s="9" t="s">
        <v>60</v>
      </c>
      <c r="B29" s="10">
        <v>221.56</v>
      </c>
    </row>
    <row r="32" spans="1:4">
      <c r="A32" s="3" t="s">
        <v>61</v>
      </c>
    </row>
    <row r="33" spans="1:4" ht="60" customHeight="1">
      <c r="A33" s="9" t="s">
        <v>62</v>
      </c>
      <c r="B33" s="2" t="s">
        <v>63</v>
      </c>
      <c r="C33" s="2"/>
      <c r="D33" s="2"/>
    </row>
    <row r="34" spans="1:4" ht="60" customHeight="1">
      <c r="A34" s="9" t="s">
        <v>64</v>
      </c>
      <c r="B34" s="2" t="s">
        <v>65</v>
      </c>
      <c r="C34" s="2"/>
      <c r="D34" s="2"/>
    </row>
    <row r="35" spans="1:4" ht="60" customHeight="1">
      <c r="A35" s="9" t="s">
        <v>66</v>
      </c>
      <c r="B35" s="2" t="s">
        <v>67</v>
      </c>
      <c r="C35" s="2"/>
      <c r="D35" s="2"/>
    </row>
  </sheetData>
  <mergeCells count="3">
    <mergeCell ref="B33:D33"/>
    <mergeCell ref="B34:D34"/>
    <mergeCell ref="B35:D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5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68</v>
      </c>
    </row>
    <row r="2" spans="1:6">
      <c r="A2" t="s">
        <v>69</v>
      </c>
    </row>
    <row r="5" spans="1:6">
      <c r="A5" s="8" t="s">
        <v>70</v>
      </c>
      <c r="B5" s="13">
        <v>0.02</v>
      </c>
      <c r="C5" s="13">
        <v>0.025</v>
      </c>
      <c r="D5" s="13">
        <v>0.03</v>
      </c>
      <c r="E5" s="13">
        <v>0.035</v>
      </c>
      <c r="F5" s="13">
        <v>0.04</v>
      </c>
    </row>
    <row r="6" spans="1:6">
      <c r="A6" s="13">
        <v>0.08</v>
      </c>
      <c r="B6" s="11">
        <v>278.45</v>
      </c>
      <c r="C6" s="11">
        <v>297.38</v>
      </c>
      <c r="D6" s="11">
        <v>319.62</v>
      </c>
      <c r="E6" s="11">
        <v>346.12</v>
      </c>
      <c r="F6" s="11">
        <v>378.54</v>
      </c>
    </row>
    <row r="7" spans="1:6">
      <c r="A7" s="13">
        <v>0.09</v>
      </c>
      <c r="B7" s="11">
        <v>249.87</v>
      </c>
      <c r="C7" s="11">
        <v>264.91</v>
      </c>
      <c r="D7" s="11">
        <v>282.18</v>
      </c>
      <c r="E7" s="11">
        <v>302.29</v>
      </c>
      <c r="F7" s="11">
        <v>326.15</v>
      </c>
    </row>
    <row r="8" spans="1:6">
      <c r="A8" s="13">
        <v>0.1</v>
      </c>
      <c r="B8" s="11">
        <v>226.44</v>
      </c>
      <c r="C8" s="11">
        <v>238.49</v>
      </c>
      <c r="D8" s="11">
        <v>252.15</v>
      </c>
      <c r="E8" s="11">
        <v>268.02</v>
      </c>
      <c r="F8" s="11">
        <v>286.83</v>
      </c>
    </row>
    <row r="9" spans="1:6">
      <c r="A9" s="13">
        <v>0.11</v>
      </c>
      <c r="B9" s="11">
        <v>207.12</v>
      </c>
      <c r="C9" s="11">
        <v>216.91</v>
      </c>
      <c r="D9" s="11">
        <v>227.88</v>
      </c>
      <c r="E9" s="11">
        <v>240.3</v>
      </c>
      <c r="F9" s="11">
        <v>254.54</v>
      </c>
    </row>
    <row r="10" spans="1:6">
      <c r="A10" s="13">
        <v>0.12</v>
      </c>
      <c r="B10" s="11">
        <v>190.78</v>
      </c>
      <c r="C10" s="11">
        <v>198.77</v>
      </c>
      <c r="D10" s="11">
        <v>207.63</v>
      </c>
      <c r="E10" s="11">
        <v>217.55</v>
      </c>
      <c r="F10" s="11">
        <v>228.78</v>
      </c>
    </row>
    <row r="12" spans="1:6">
      <c r="A12" s="9" t="s">
        <v>71</v>
      </c>
      <c r="B12" t="s">
        <v>72</v>
      </c>
    </row>
    <row r="13" spans="1:6">
      <c r="B13" t="s">
        <v>73</v>
      </c>
    </row>
    <row r="14" spans="1:6">
      <c r="B14" t="s">
        <v>74</v>
      </c>
    </row>
    <row r="15" spans="1:6">
      <c r="B15" t="s">
        <v>75</v>
      </c>
    </row>
  </sheetData>
  <conditionalFormatting sqref="B6:F10">
    <cfRule type="colorScale" priority="1">
      <colorScale>
        <cfvo type="min" val="0"/>
        <cfvo type="percentile" val="50"/>
        <cfvo type="max" val="0"/>
        <color rgb="FFF8D7DA"/>
        <color rgb="FFFFF3CD"/>
        <color rgb="FFD4EDDA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4"/>
  <sheetViews>
    <sheetView workbookViewId="0"/>
  </sheetViews>
  <sheetFormatPr defaultRowHeight="15"/>
  <cols>
    <col min="1" max="3" width="35.7109375" customWidth="1"/>
  </cols>
  <sheetData>
    <row r="1" spans="1:3">
      <c r="A1" s="1" t="s">
        <v>76</v>
      </c>
    </row>
    <row r="3" spans="1:3">
      <c r="A3" s="8" t="s">
        <v>39</v>
      </c>
      <c r="B3" s="8" t="s">
        <v>77</v>
      </c>
      <c r="C3" s="8" t="s">
        <v>78</v>
      </c>
    </row>
    <row r="4" spans="1:3">
      <c r="A4" t="s">
        <v>79</v>
      </c>
      <c r="B4" s="12">
        <v>0.42</v>
      </c>
      <c r="C4" t="s">
        <v>80</v>
      </c>
    </row>
    <row r="5" spans="1:3">
      <c r="A5" t="s">
        <v>81</v>
      </c>
      <c r="B5" t="s">
        <v>80</v>
      </c>
      <c r="C5" t="s">
        <v>80</v>
      </c>
    </row>
    <row r="6" spans="1:3">
      <c r="A6" t="s">
        <v>82</v>
      </c>
      <c r="B6" s="12">
        <v>0.536</v>
      </c>
      <c r="C6" t="s">
        <v>80</v>
      </c>
    </row>
    <row r="7" spans="1:3">
      <c r="A7" t="s">
        <v>83</v>
      </c>
      <c r="B7" s="12">
        <v>0.723</v>
      </c>
      <c r="C7" t="s">
        <v>80</v>
      </c>
    </row>
    <row r="9" spans="1:3">
      <c r="A9" s="9" t="s">
        <v>84</v>
      </c>
      <c r="B9" s="12">
        <v>0.42</v>
      </c>
    </row>
    <row r="10" spans="1:3">
      <c r="A10" s="9" t="s">
        <v>85</v>
      </c>
      <c r="B10" t="s">
        <v>86</v>
      </c>
    </row>
    <row r="12" spans="1:3">
      <c r="A12" s="9" t="s">
        <v>87</v>
      </c>
      <c r="B12" s="2" t="s">
        <v>88</v>
      </c>
      <c r="C12" s="2"/>
    </row>
    <row r="13" spans="1:3" ht="80" customHeight="1"/>
    <row r="15" spans="1:3">
      <c r="A15" s="3" t="s">
        <v>89</v>
      </c>
    </row>
    <row r="17" spans="1:3" ht="60" customHeight="1">
      <c r="A17" s="9" t="s">
        <v>90</v>
      </c>
      <c r="B17" s="2" t="s">
        <v>91</v>
      </c>
      <c r="C17" s="2"/>
    </row>
    <row r="18" spans="1:3" ht="60" customHeight="1">
      <c r="A18" s="9" t="s">
        <v>92</v>
      </c>
      <c r="B18" s="2" t="s">
        <v>93</v>
      </c>
      <c r="C18" s="2"/>
    </row>
    <row r="19" spans="1:3" ht="60" customHeight="1">
      <c r="A19" s="9" t="s">
        <v>94</v>
      </c>
      <c r="B19" s="2" t="s">
        <v>95</v>
      </c>
      <c r="C19" s="2"/>
    </row>
    <row r="20" spans="1:3" ht="60" customHeight="1">
      <c r="A20" s="9" t="s">
        <v>96</v>
      </c>
      <c r="B20" s="2" t="s">
        <v>97</v>
      </c>
      <c r="C20" s="2"/>
    </row>
    <row r="21" spans="1:3" ht="60" customHeight="1">
      <c r="A21" s="9" t="s">
        <v>98</v>
      </c>
      <c r="B21" s="2" t="s">
        <v>99</v>
      </c>
      <c r="C21" s="2"/>
    </row>
    <row r="22" spans="1:3" ht="60" customHeight="1">
      <c r="A22" s="9" t="s">
        <v>100</v>
      </c>
      <c r="B22" s="2" t="s">
        <v>101</v>
      </c>
      <c r="C22" s="2"/>
    </row>
    <row r="23" spans="1:3" ht="60" customHeight="1">
      <c r="A23" s="9" t="s">
        <v>102</v>
      </c>
      <c r="B23" s="2" t="s">
        <v>103</v>
      </c>
      <c r="C23" s="2"/>
    </row>
    <row r="24" spans="1:3" ht="60" customHeight="1">
      <c r="A24" s="9" t="s">
        <v>104</v>
      </c>
      <c r="B24" s="2" t="s">
        <v>105</v>
      </c>
      <c r="C24" s="2"/>
    </row>
  </sheetData>
  <mergeCells count="9">
    <mergeCell ref="B12:C12"/>
    <mergeCell ref="B17:C17"/>
    <mergeCell ref="B18:C18"/>
    <mergeCell ref="B19:C19"/>
    <mergeCell ref="B20:C20"/>
    <mergeCell ref="B21:C21"/>
    <mergeCell ref="B22:C22"/>
    <mergeCell ref="B23:C23"/>
    <mergeCell ref="B24:C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Scenarios</vt:lpstr>
      <vt:lpstr>Sensitivity</vt:lpstr>
      <vt:lpstr>Historical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2026-01-28T10:15:22Z</dcterms:created>
  <dcterms:modified xsi:type="dcterms:W3CDTF">2026-01-28T10:15:22Z</dcterms:modified>
</cp:coreProperties>
</file>