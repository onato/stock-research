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CF Model" sheetId="1" r:id="rId1"/>
    <sheet name="Scenarios" sheetId="2" r:id="rId2"/>
    <sheet name="Sensitivity" sheetId="3" r:id="rId3"/>
    <sheet name="Historical &amp; Sanity" sheetId="4" r:id="rId4"/>
  </sheets>
  <calcPr calcId="124519" fullCalcOnLoad="1"/>
</workbook>
</file>

<file path=xl/sharedStrings.xml><?xml version="1.0" encoding="utf-8"?>
<sst xmlns="http://schemas.openxmlformats.org/spreadsheetml/2006/main" count="199" uniqueCount="180">
  <si>
    <t>DUOL — Duolingo, Inc.  |  DCF Valuation Model</t>
  </si>
  <si>
    <t>Valuation Date: 2026-06-27  |  Current Price: $121.49  |  Gray cells are INPUTS — adjust to update all formulas</t>
  </si>
  <si>
    <t>KEY INPUTS</t>
  </si>
  <si>
    <t>Current Stock Price</t>
  </si>
  <si>
    <t>Shares Outstanding (M)</t>
  </si>
  <si>
    <t>Cash &amp; ST Investments (M)</t>
  </si>
  <si>
    <t>Total Debt (M)</t>
  </si>
  <si>
    <t>Net Debt (M)  [Debt - Cash]</t>
  </si>
  <si>
    <t>Base Year FCF (M)</t>
  </si>
  <si>
    <t>WACC</t>
  </si>
  <si>
    <t>Terminal Growth Rate</t>
  </si>
  <si>
    <t>FY2026 Guidance Revenue (M)</t>
  </si>
  <si>
    <t>FY2026 Guidance Adj.EBITDA (M)</t>
  </si>
  <si>
    <t>FY2026 Guidance FCF (M)</t>
  </si>
  <si>
    <t>BASE CASE — GROWTH ASSUMPTIONS  (gray = editable)</t>
  </si>
  <si>
    <t>FCF Growth Rate</t>
  </si>
  <si>
    <t>Year 1
(FY2026)</t>
  </si>
  <si>
    <t>Year 2
(FY2027)</t>
  </si>
  <si>
    <t>Year 3
(FY2028)</t>
  </si>
  <si>
    <t>Year 4
(FY2029)</t>
  </si>
  <si>
    <t>Year 5
(FY2030)</t>
  </si>
  <si>
    <t>BASE CASE — PROJECTIONS</t>
  </si>
  <si>
    <t>Free Cash Flow (M)</t>
  </si>
  <si>
    <t>Discount Factor</t>
  </si>
  <si>
    <t>PV of FCF (M)</t>
  </si>
  <si>
    <t>BASE CASE — VALUATION</t>
  </si>
  <si>
    <t>Sum of PV of FCF (M)</t>
  </si>
  <si>
    <t>Terminal FCF (Y5 * (1+g))</t>
  </si>
  <si>
    <t>Terminal Value (M)</t>
  </si>
  <si>
    <t>PV of Terminal Value (M)</t>
  </si>
  <si>
    <t>Enterprise Value (M)</t>
  </si>
  <si>
    <t>Less: Net Debt (M)</t>
  </si>
  <si>
    <t>Equity Value (M)</t>
  </si>
  <si>
    <t>INTRINSIC VALUE / SHARE</t>
  </si>
  <si>
    <t>Upside / (Downside) to Current Price</t>
  </si>
  <si>
    <t>ENTRY PRICE TO ACHIEVE 15% CAGR TARGET</t>
  </si>
  <si>
    <t>Terminal Value per Share ($)</t>
  </si>
  <si>
    <t>Entry Price (15% CAGR over 5 Years)</t>
  </si>
  <si>
    <t>Premium/(Discount) to Entry Price</t>
  </si>
  <si>
    <t>CURRENT MARKET MULTIPLES  (at live price in B5)</t>
  </si>
  <si>
    <t>Market Cap (M)</t>
  </si>
  <si>
    <t>EV / FY2026 Revenue</t>
  </si>
  <si>
    <t>EV / FY2026 Adj.EBITDA</t>
  </si>
  <si>
    <t>Market Cap / FY2026 FCF</t>
  </si>
  <si>
    <t>NOTES: (1) FCF margin 33% base reflects structural FCF &gt; EBITDA advantage from deferred subscription revenue and minimal capex (~2.6% of revenue). (2) FY2025 GAAP net income ($414M) includes $256.7M one-time non-cash deferred-tax release — excluded from FCF base. (3) Net cash of $1,138.6M (Q1 2026, zero debt) = $23.24/share floor. (4) WACC 10% = risk-free 4.3% + ERP 5% + beta adj.; zero debt so WACC = cost of equity.</t>
  </si>
  <si>
    <t>DUOL — Scenario Comparison  |  Base / Bull / Bear</t>
  </si>
  <si>
    <t>All dollar amounts in millions USD unless labelled per share</t>
  </si>
  <si>
    <t>Assumption / Output</t>
  </si>
  <si>
    <t>BASE CASE</t>
  </si>
  <si>
    <t>BULL CASE</t>
  </si>
  <si>
    <t>BEAR CASE</t>
  </si>
  <si>
    <t>── GROWTH RATES ──</t>
  </si>
  <si>
    <t>Year 1 Growth</t>
  </si>
  <si>
    <t>17%</t>
  </si>
  <si>
    <t>20%</t>
  </si>
  <si>
    <t>15%</t>
  </si>
  <si>
    <t>Year 2 Growth</t>
  </si>
  <si>
    <t>28%</t>
  </si>
  <si>
    <t>12%</t>
  </si>
  <si>
    <t>Year 3 Growth</t>
  </si>
  <si>
    <t>22%</t>
  </si>
  <si>
    <t>25%</t>
  </si>
  <si>
    <t>10%</t>
  </si>
  <si>
    <t>Year 4 Growth</t>
  </si>
  <si>
    <t>18%</t>
  </si>
  <si>
    <t>8%</t>
  </si>
  <si>
    <t>Year 5 Growth</t>
  </si>
  <si>
    <t>6%</t>
  </si>
  <si>
    <t>FCF Margin</t>
  </si>
  <si>
    <t>33%</t>
  </si>
  <si>
    <t>36%</t>
  </si>
  <si>
    <t>9%</t>
  </si>
  <si>
    <t>11.5%</t>
  </si>
  <si>
    <t>Terminal Growth</t>
  </si>
  <si>
    <t>3%</t>
  </si>
  <si>
    <t>4%</t>
  </si>
  <si>
    <t>2%</t>
  </si>
  <si>
    <t>── FCF PROJECTIONS (M) ──</t>
  </si>
  <si>
    <t>Year 1 FCF</t>
  </si>
  <si>
    <t>$421.7</t>
  </si>
  <si>
    <t>$432.5</t>
  </si>
  <si>
    <t>$414.5</t>
  </si>
  <si>
    <t>Year 2 FCF</t>
  </si>
  <si>
    <t>$506.0</t>
  </si>
  <si>
    <t>$553.6</t>
  </si>
  <si>
    <t>$464.2</t>
  </si>
  <si>
    <t>Year 3 FCF</t>
  </si>
  <si>
    <t>$617.3</t>
  </si>
  <si>
    <t>$692.0</t>
  </si>
  <si>
    <t>$510.6</t>
  </si>
  <si>
    <t>Year 4 FCF</t>
  </si>
  <si>
    <t>$728.4</t>
  </si>
  <si>
    <t>$844.2</t>
  </si>
  <si>
    <t>$551.5</t>
  </si>
  <si>
    <t>Year 5 FCF</t>
  </si>
  <si>
    <t>$837.7</t>
  </si>
  <si>
    <t>$996.2</t>
  </si>
  <si>
    <t>$584.6</t>
  </si>
  <si>
    <t>── VALUATION BRIDGE (M) ──</t>
  </si>
  <si>
    <t>Sum PV of FCF</t>
  </si>
  <si>
    <t>$2,283.1</t>
  </si>
  <si>
    <t>$2,642.7</t>
  </si>
  <si>
    <t>$1,809.4</t>
  </si>
  <si>
    <t>Terminal Value</t>
  </si>
  <si>
    <t>$12,325.7</t>
  </si>
  <si>
    <t>$20,720.9</t>
  </si>
  <si>
    <t>$6,276.3</t>
  </si>
  <si>
    <t>PV Terminal</t>
  </si>
  <si>
    <t>$7,653.4</t>
  </si>
  <si>
    <t>$13,467.2</t>
  </si>
  <si>
    <t>$3,642.1</t>
  </si>
  <si>
    <t>Enterprise Value</t>
  </si>
  <si>
    <t>$9,936.5</t>
  </si>
  <si>
    <t>$16,109.9</t>
  </si>
  <si>
    <t>$5,451.5</t>
  </si>
  <si>
    <t>Add: Net Cash</t>
  </si>
  <si>
    <t>$1,138.6</t>
  </si>
  <si>
    <t>Equity Value</t>
  </si>
  <si>
    <t>$11,075.1</t>
  </si>
  <si>
    <t>$17,248.5</t>
  </si>
  <si>
    <t>$6,590.1</t>
  </si>
  <si>
    <t>── PER-SHARE ──</t>
  </si>
  <si>
    <t>Intrinsic Value / Share</t>
  </si>
  <si>
    <t>$226.02</t>
  </si>
  <si>
    <t>$351.99</t>
  </si>
  <si>
    <t>$134.49</t>
  </si>
  <si>
    <t>Upside / (Downside)</t>
  </si>
  <si>
    <t>86.0%</t>
  </si>
  <si>
    <t>189.7%</t>
  </si>
  <si>
    <t>10.7%</t>
  </si>
  <si>
    <t>Entry Price (15% CAGR)</t>
  </si>
  <si>
    <t>$125.07</t>
  </si>
  <si>
    <t>$210.24</t>
  </si>
  <si>
    <t>$63.68</t>
  </si>
  <si>
    <t>PROBABILITY-WEIGHTED IV (25/50/25)</t>
  </si>
  <si>
    <t>$234.63</t>
  </si>
  <si>
    <t>Upside: 93.1%</t>
  </si>
  <si>
    <t>Weights: Bull 25% / Base 50% / Bear 25%</t>
  </si>
  <si>
    <t>DUOL — Sensitivity Analysis  |  Intrinsic Value per Share</t>
  </si>
  <si>
    <t>Base case growth rates [17%, 20%, 22%, 18%, 15%]  |  Varying WACC (rows) and Terminal Growth (columns)  |  All values in USD</t>
  </si>
  <si>
    <t>WACC  \  Terminal G</t>
  </si>
  <si>
    <t>2.0%</t>
  </si>
  <si>
    <t>2.5%</t>
  </si>
  <si>
    <t>3.0%</t>
  </si>
  <si>
    <t>3.5%</t>
  </si>
  <si>
    <t>4.0%</t>
  </si>
  <si>
    <t>COLOUR LEGEND</t>
  </si>
  <si>
    <t>Near or below current price ($121.49)  — limited upside (&lt;10%)</t>
  </si>
  <si>
    <t>Moderate upside (10-50% above current price)</t>
  </si>
  <si>
    <t>Material upside (50-100% above current price)</t>
  </si>
  <si>
    <t>Strong upside (&gt;100% above current price)</t>
  </si>
  <si>
    <t>NOTE: Current stock price = $121.49.  All cells above $133 imply upside.  Even the most conservative scenario (WACC 12%, terminal growth 2%) implies $166.23 — 36.8% upside.  Net cash per share = $23.24 provides partial downside floor.</t>
  </si>
  <si>
    <t>DUOL — Historical Growth Rates &amp; Sanity Check</t>
  </si>
  <si>
    <t>Source: DUOL_Metrics.csv (FY2022-FY2025 actuals + Q1 2026)  |  Analysis date: 2026-06-27</t>
  </si>
  <si>
    <t>HISTORICAL GROWTH RATES</t>
  </si>
  <si>
    <t>Metric</t>
  </si>
  <si>
    <t>2-Year CAGR</t>
  </si>
  <si>
    <t>3-Year CAGR</t>
  </si>
  <si>
    <t>Revenue</t>
  </si>
  <si>
    <t>Free Cash Flow</t>
  </si>
  <si>
    <t>Shareholders Equity</t>
  </si>
  <si>
    <t>N/A (3yr unavailable)</t>
  </si>
  <si>
    <t>Selected Growth Rate (Y1):</t>
  </si>
  <si>
    <t>Source:</t>
  </si>
  <si>
    <t>fy2026_guidance_midpoint</t>
  </si>
  <si>
    <t>WARNING: Historical CAGRs (Revenue 3yr: 41.1%, FCF 3yr: 70.4%) are not suitable as DCF base. These reflect the 2022-2025 hypergrowth phase. FY2026 guidance of +17% anchors Year 1.</t>
  </si>
  <si>
    <t>SANITY CHECK</t>
  </si>
  <si>
    <t>Status: PASSED</t>
  </si>
  <si>
    <t>The DCF base case implies 8.2x EV/Revenue, 32.1x EV/EBITDA, and 28.4x EV/FCF at intrinsic value — ALL below DUOL's historical trading range of 50-120x EV/EBITDA and 50-100x EV/FCF. The model is valuin...</t>
  </si>
  <si>
    <t>MULTIPLES AT BASE CASE IV ($226.02)</t>
  </si>
  <si>
    <t>At IV ($226)</t>
  </si>
  <si>
    <t>At Current ($121.49)</t>
  </si>
  <si>
    <t>Historical Range (Peak)</t>
  </si>
  <si>
    <t>10-25x</t>
  </si>
  <si>
    <t>60-120x</t>
  </si>
  <si>
    <t>EV / FY2026 FCF</t>
  </si>
  <si>
    <t>50-100x</t>
  </si>
  <si>
    <t>P / FY2026 Revenue</t>
  </si>
  <si>
    <t>12-30x</t>
  </si>
  <si>
    <t>CONCLUSION: DCF base IV of $226 implies 8.2x EV/Revenue, 32.1x EV/EBITDA, 28.4x EV/FCF — ALL below historical trading ranges. Model is conservative relative to DUOL's history. Current price ($121.49) at 4.0x EV/Rev and 15.5x EV/EBITDA is historically cheap.</t>
  </si>
</sst>
</file>

<file path=xl/styles.xml><?xml version="1.0" encoding="utf-8"?>
<styleSheet xmlns="http://schemas.openxmlformats.org/spreadsheetml/2006/main">
  <numFmts count="5">
    <numFmt numFmtId="164" formatCode="&quot;$&quot;#,##0.00"/>
    <numFmt numFmtId="165" formatCode="#,##0.0"/>
    <numFmt numFmtId="166" formatCode="0.0%"/>
    <numFmt numFmtId="167" formatCode="0%"/>
    <numFmt numFmtId="168" formatCode="0.0&quot;x&quot;"/>
  </numFmts>
  <fonts count="12">
    <font>
      <sz val="11"/>
      <color theme="1"/>
      <name val="Calibri"/>
      <family val="2"/>
      <scheme val="minor"/>
    </font>
    <font>
      <b/>
      <sz val="18"/>
      <color rgb="FF2D3436"/>
      <name val="Calibri"/>
      <family val="2"/>
      <scheme val="minor"/>
    </font>
    <font>
      <i/>
      <sz val="10"/>
      <color rgb="FF636E72"/>
      <name val="Calibri"/>
      <family val="2"/>
      <scheme val="minor"/>
    </font>
    <font>
      <b/>
      <sz val="12"/>
      <color rgb="FF2D3436"/>
      <name val="Calibri"/>
      <family val="2"/>
      <scheme val="minor"/>
    </font>
    <font>
      <b/>
      <sz val="11"/>
      <color rgb="FF2D3436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9"/>
      <color rgb="FF636E72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DFE6E9"/>
        <bgColor indexed="64"/>
      </patternFill>
    </fill>
    <fill>
      <patternFill patternType="solid">
        <fgColor rgb="FF1E272E"/>
        <bgColor indexed="64"/>
      </patternFill>
    </fill>
    <fill>
      <patternFill patternType="solid">
        <fgColor rgb="FF00B894"/>
        <bgColor indexed="64"/>
      </patternFill>
    </fill>
    <fill>
      <patternFill patternType="solid">
        <fgColor rgb="FF2D3436"/>
        <bgColor indexed="64"/>
      </patternFill>
    </fill>
    <fill>
      <patternFill patternType="solid">
        <fgColor rgb="FF0984E3"/>
        <bgColor indexed="64"/>
      </patternFill>
    </fill>
    <fill>
      <patternFill patternType="solid">
        <fgColor rgb="FFD63031"/>
        <bgColor indexed="64"/>
      </patternFill>
    </fill>
    <fill>
      <patternFill patternType="solid">
        <fgColor rgb="FFF5F6FA"/>
        <bgColor indexed="64"/>
      </patternFill>
    </fill>
    <fill>
      <patternFill patternType="solid">
        <fgColor rgb="FF55EFC4"/>
        <bgColor indexed="64"/>
      </patternFill>
    </fill>
    <fill>
      <patternFill patternType="solid">
        <fgColor rgb="FFFDCB6E"/>
        <bgColor indexed="64"/>
      </patternFill>
    </fill>
    <fill>
      <patternFill patternType="solid">
        <fgColor rgb="FFFAB1A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/>
    <xf numFmtId="0" fontId="4" fillId="0" borderId="0" xfId="0" applyFont="1"/>
    <xf numFmtId="164" fontId="0" fillId="2" borderId="2" xfId="0" applyNumberFormat="1" applyFill="1" applyBorder="1" applyAlignment="1">
      <alignment horizontal="right"/>
    </xf>
    <xf numFmtId="165" fontId="0" fillId="2" borderId="2" xfId="0" applyNumberFormat="1" applyFill="1" applyBorder="1" applyAlignment="1">
      <alignment horizontal="right"/>
    </xf>
    <xf numFmtId="165" fontId="0" fillId="0" borderId="2" xfId="0" applyNumberFormat="1" applyBorder="1" applyAlignment="1">
      <alignment horizontal="right"/>
    </xf>
    <xf numFmtId="166" fontId="0" fillId="2" borderId="2" xfId="0" applyNumberFormat="1" applyFill="1" applyBorder="1" applyAlignment="1">
      <alignment horizontal="right"/>
    </xf>
    <xf numFmtId="0" fontId="5" fillId="3" borderId="2" xfId="0" applyFont="1" applyFill="1" applyBorder="1" applyAlignment="1">
      <alignment horizontal="center" vertical="center"/>
    </xf>
    <xf numFmtId="0" fontId="6" fillId="0" borderId="0" xfId="0" applyFont="1"/>
    <xf numFmtId="164" fontId="5" fillId="4" borderId="2" xfId="0" applyNumberFormat="1" applyFont="1" applyFill="1" applyBorder="1" applyAlignment="1">
      <alignment horizontal="right"/>
    </xf>
    <xf numFmtId="166" fontId="5" fillId="4" borderId="2" xfId="0" applyNumberFormat="1" applyFont="1" applyFill="1" applyBorder="1" applyAlignment="1">
      <alignment horizontal="right"/>
    </xf>
    <xf numFmtId="164" fontId="0" fillId="0" borderId="2" xfId="0" applyNumberFormat="1" applyBorder="1" applyAlignment="1">
      <alignment horizontal="right"/>
    </xf>
    <xf numFmtId="166" fontId="0" fillId="0" borderId="2" xfId="0" applyNumberFormat="1" applyBorder="1" applyAlignment="1">
      <alignment horizontal="right"/>
    </xf>
    <xf numFmtId="0" fontId="7" fillId="0" borderId="0" xfId="0" applyFont="1" applyAlignment="1">
      <alignment wrapText="1"/>
    </xf>
    <xf numFmtId="0" fontId="5" fillId="5" borderId="2" xfId="0" applyFont="1" applyFill="1" applyBorder="1" applyAlignment="1">
      <alignment horizontal="center"/>
    </xf>
    <xf numFmtId="0" fontId="5" fillId="6" borderId="2" xfId="0" applyFont="1" applyFill="1" applyBorder="1" applyAlignment="1">
      <alignment horizontal="center"/>
    </xf>
    <xf numFmtId="0" fontId="5" fillId="7" borderId="2" xfId="0" applyFont="1" applyFill="1" applyBorder="1" applyAlignment="1">
      <alignment horizontal="center"/>
    </xf>
    <xf numFmtId="0" fontId="8" fillId="8" borderId="2" xfId="0" applyFont="1" applyFill="1" applyBorder="1"/>
    <xf numFmtId="0" fontId="0" fillId="0" borderId="2" xfId="0" applyBorder="1" applyAlignment="1">
      <alignment horizontal="center"/>
    </xf>
    <xf numFmtId="0" fontId="8" fillId="0" borderId="0" xfId="0" applyFont="1"/>
    <xf numFmtId="166" fontId="5" fillId="3" borderId="2" xfId="0" applyNumberFormat="1" applyFont="1" applyFill="1" applyBorder="1" applyAlignment="1">
      <alignment horizontal="center"/>
    </xf>
    <xf numFmtId="167" fontId="5" fillId="3" borderId="2" xfId="0" applyNumberFormat="1" applyFont="1" applyFill="1" applyBorder="1" applyAlignment="1">
      <alignment horizontal="center"/>
    </xf>
    <xf numFmtId="164" fontId="5" fillId="4" borderId="2" xfId="0" applyNumberFormat="1" applyFont="1" applyFill="1" applyBorder="1" applyAlignment="1">
      <alignment horizontal="center"/>
    </xf>
    <xf numFmtId="164" fontId="0" fillId="9" borderId="2" xfId="0" applyNumberFormat="1" applyFill="1" applyBorder="1" applyAlignment="1">
      <alignment horizontal="center"/>
    </xf>
    <xf numFmtId="164" fontId="0" fillId="10" borderId="2" xfId="0" applyNumberFormat="1" applyFill="1" applyBorder="1" applyAlignment="1">
      <alignment horizontal="center"/>
    </xf>
    <xf numFmtId="0" fontId="8" fillId="0" borderId="3" xfId="0" applyFont="1" applyBorder="1"/>
    <xf numFmtId="0" fontId="0" fillId="11" borderId="2" xfId="0" applyFill="1" applyBorder="1" applyAlignment="1">
      <alignment horizontal="center"/>
    </xf>
    <xf numFmtId="0" fontId="0" fillId="0" borderId="2" xfId="0" applyBorder="1"/>
    <xf numFmtId="0" fontId="0" fillId="10" borderId="2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4" fillId="10" borderId="2" xfId="0" applyFont="1" applyFill="1" applyBorder="1"/>
    <xf numFmtId="0" fontId="9" fillId="0" borderId="1" xfId="0" applyFont="1" applyBorder="1"/>
    <xf numFmtId="0" fontId="10" fillId="4" borderId="2" xfId="0" applyFont="1" applyFill="1" applyBorder="1"/>
    <xf numFmtId="168" fontId="0" fillId="0" borderId="2" xfId="0" applyNumberFormat="1" applyBorder="1" applyAlignment="1">
      <alignment horizontal="center"/>
    </xf>
    <xf numFmtId="0" fontId="11" fillId="0" borderId="2" xfId="0" applyFont="1" applyBorder="1" applyAlignment="1">
      <alignment horizontal="center"/>
    </xf>
    <xf numFmtId="0" fontId="8" fillId="9" borderId="2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G53"/>
  <sheetViews>
    <sheetView tabSelected="1" zoomScale="90" zoomScaleNormal="90" workbookViewId="0"/>
  </sheetViews>
  <sheetFormatPr defaultRowHeight="15"/>
  <cols>
    <col min="1" max="1" width="30.7109375" customWidth="1"/>
    <col min="2" max="2" width="16.7109375" customWidth="1"/>
    <col min="3" max="7" width="14.7109375" customWidth="1"/>
    <col min="8" max="8" width="2.7109375" customWidth="1"/>
  </cols>
  <sheetData>
    <row r="1" spans="1:7" ht="28" customHeight="1">
      <c r="A1" s="1" t="s">
        <v>0</v>
      </c>
      <c r="B1" s="1"/>
      <c r="C1" s="1"/>
      <c r="D1" s="1"/>
      <c r="E1" s="1"/>
      <c r="F1" s="1"/>
      <c r="G1" s="1"/>
    </row>
    <row r="2" spans="1:7" ht="16" customHeight="1">
      <c r="A2" s="2" t="s">
        <v>1</v>
      </c>
      <c r="B2" s="2"/>
      <c r="C2" s="2"/>
      <c r="D2" s="2"/>
      <c r="E2" s="2"/>
      <c r="F2" s="2"/>
      <c r="G2" s="2"/>
    </row>
    <row r="4" spans="1:7" ht="18" customHeight="1">
      <c r="A4" s="3" t="s">
        <v>2</v>
      </c>
      <c r="B4" s="3"/>
      <c r="C4" s="3"/>
      <c r="D4" s="3"/>
      <c r="E4" s="3"/>
      <c r="F4" s="3"/>
      <c r="G4" s="3"/>
    </row>
    <row r="5" spans="1:7">
      <c r="A5" s="4" t="s">
        <v>3</v>
      </c>
      <c r="B5" s="5">
        <v>121.49</v>
      </c>
    </row>
    <row r="6" spans="1:7">
      <c r="A6" s="4" t="s">
        <v>4</v>
      </c>
      <c r="B6" s="6">
        <v>49</v>
      </c>
    </row>
    <row r="7" spans="1:7">
      <c r="A7" s="4" t="s">
        <v>5</v>
      </c>
      <c r="B7" s="6">
        <v>1138.6</v>
      </c>
    </row>
    <row r="8" spans="1:7">
      <c r="A8" s="4" t="s">
        <v>6</v>
      </c>
      <c r="B8" s="6">
        <v>0</v>
      </c>
    </row>
    <row r="9" spans="1:7">
      <c r="A9" s="4" t="s">
        <v>7</v>
      </c>
      <c r="B9" s="7">
        <f>B8-B7</f>
        <v>0</v>
      </c>
    </row>
    <row r="10" spans="1:7">
      <c r="A10" s="4" t="s">
        <v>8</v>
      </c>
      <c r="B10" s="6">
        <v>360.4</v>
      </c>
    </row>
    <row r="11" spans="1:7">
      <c r="A11" s="4" t="s">
        <v>9</v>
      </c>
      <c r="B11" s="8">
        <v>0.1</v>
      </c>
    </row>
    <row r="12" spans="1:7">
      <c r="A12" s="4" t="s">
        <v>10</v>
      </c>
      <c r="B12" s="8">
        <v>0.03</v>
      </c>
    </row>
    <row r="13" spans="1:7">
      <c r="A13" s="4" t="s">
        <v>11</v>
      </c>
      <c r="B13" s="6">
        <v>1205</v>
      </c>
    </row>
    <row r="14" spans="1:7">
      <c r="A14" s="4" t="s">
        <v>12</v>
      </c>
      <c r="B14" s="6">
        <v>310</v>
      </c>
    </row>
    <row r="15" spans="1:7">
      <c r="A15" s="4" t="s">
        <v>13</v>
      </c>
      <c r="B15" s="6">
        <v>350</v>
      </c>
    </row>
    <row r="17" spans="1:7" ht="18" customHeight="1">
      <c r="A17" s="3" t="s">
        <v>14</v>
      </c>
      <c r="B17" s="3"/>
      <c r="C17" s="3"/>
      <c r="D17" s="3"/>
      <c r="E17" s="3"/>
      <c r="F17" s="3"/>
      <c r="G17" s="3"/>
    </row>
    <row r="18" spans="1:7" ht="30" customHeight="1">
      <c r="A18" s="4" t="s">
        <v>15</v>
      </c>
      <c r="B18" s="9" t="s">
        <v>16</v>
      </c>
      <c r="C18" s="9" t="s">
        <v>17</v>
      </c>
      <c r="D18" s="9" t="s">
        <v>18</v>
      </c>
      <c r="E18" s="9" t="s">
        <v>19</v>
      </c>
      <c r="F18" s="9" t="s">
        <v>20</v>
      </c>
    </row>
    <row r="19" spans="1:7">
      <c r="B19" s="8">
        <v>0.17</v>
      </c>
      <c r="C19" s="8">
        <v>0.2</v>
      </c>
      <c r="D19" s="8">
        <v>0.22</v>
      </c>
      <c r="E19" s="8">
        <v>0.18</v>
      </c>
      <c r="F19" s="8">
        <v>0.15</v>
      </c>
    </row>
    <row r="21" spans="1:7" ht="18" customHeight="1">
      <c r="A21" s="3" t="s">
        <v>21</v>
      </c>
      <c r="B21" s="3"/>
      <c r="C21" s="3"/>
      <c r="D21" s="3"/>
      <c r="E21" s="3"/>
      <c r="F21" s="3"/>
      <c r="G21" s="3"/>
    </row>
    <row r="22" spans="1:7" ht="30" customHeight="1">
      <c r="A22" s="9"/>
      <c r="B22" s="9" t="s">
        <v>16</v>
      </c>
      <c r="C22" s="9" t="s">
        <v>17</v>
      </c>
      <c r="D22" s="9" t="s">
        <v>18</v>
      </c>
      <c r="E22" s="9" t="s">
        <v>19</v>
      </c>
      <c r="F22" s="9" t="s">
        <v>20</v>
      </c>
    </row>
    <row r="23" spans="1:7">
      <c r="A23" s="4" t="s">
        <v>22</v>
      </c>
      <c r="C23" s="7">
        <f>$B$10*(1+C19)</f>
        <v>0</v>
      </c>
      <c r="D23" s="7">
        <f>C23*(1+D19)</f>
        <v>0</v>
      </c>
      <c r="E23" s="7">
        <f>D23*(1+E19)</f>
        <v>0</v>
      </c>
      <c r="F23" s="7">
        <f>E23*(1+F19)</f>
        <v>0</v>
      </c>
      <c r="G23" s="7">
        <f>F23*(1+G19)</f>
        <v>0</v>
      </c>
    </row>
    <row r="24" spans="1:7">
      <c r="A24" s="4" t="s">
        <v>23</v>
      </c>
      <c r="C24" s="7">
        <f>1/(1+$B$11)^1</f>
        <v>0</v>
      </c>
      <c r="D24" s="7">
        <f>1/(1+$B$11)^2</f>
        <v>0</v>
      </c>
      <c r="E24" s="7">
        <f>1/(1+$B$11)^3</f>
        <v>0</v>
      </c>
      <c r="F24" s="7">
        <f>1/(1+$B$11)^4</f>
        <v>0</v>
      </c>
      <c r="G24" s="7">
        <f>1/(1+$B$11)^5</f>
        <v>0</v>
      </c>
    </row>
    <row r="25" spans="1:7">
      <c r="A25" s="4" t="s">
        <v>24</v>
      </c>
      <c r="C25" s="7">
        <f>C23*C24</f>
        <v>0</v>
      </c>
      <c r="D25" s="7">
        <f>D23*D24</f>
        <v>0</v>
      </c>
      <c r="E25" s="7">
        <f>E23*E24</f>
        <v>0</v>
      </c>
      <c r="F25" s="7">
        <f>F23*F24</f>
        <v>0</v>
      </c>
      <c r="G25" s="7">
        <f>G23*G24</f>
        <v>0</v>
      </c>
    </row>
    <row r="27" spans="1:7" ht="18" customHeight="1">
      <c r="A27" s="3" t="s">
        <v>25</v>
      </c>
      <c r="B27" s="3"/>
      <c r="C27" s="3"/>
      <c r="D27" s="3"/>
      <c r="E27" s="3"/>
      <c r="F27" s="3"/>
      <c r="G27" s="3"/>
    </row>
    <row r="28" spans="1:7">
      <c r="A28" s="4" t="s">
        <v>26</v>
      </c>
      <c r="B28" s="7">
        <f>SUM(C25:G25)</f>
        <v>0</v>
      </c>
    </row>
    <row r="29" spans="1:7">
      <c r="A29" s="4" t="s">
        <v>27</v>
      </c>
      <c r="B29" s="7">
        <f>G23*(1+$B$12)</f>
        <v>0</v>
      </c>
    </row>
    <row r="30" spans="1:7">
      <c r="A30" s="4" t="s">
        <v>28</v>
      </c>
      <c r="B30" s="7">
        <f>B29/($B$11-$B$12)</f>
        <v>0</v>
      </c>
    </row>
    <row r="31" spans="1:7">
      <c r="A31" s="4" t="s">
        <v>29</v>
      </c>
      <c r="B31" s="7">
        <f>B30*G24</f>
        <v>0</v>
      </c>
    </row>
    <row r="32" spans="1:7">
      <c r="A32" s="4" t="s">
        <v>30</v>
      </c>
      <c r="B32" s="7">
        <f>B28+B31</f>
        <v>0</v>
      </c>
    </row>
    <row r="33" spans="1:7">
      <c r="A33" s="4" t="s">
        <v>31</v>
      </c>
      <c r="B33" s="7">
        <f>B9</f>
        <v>0</v>
      </c>
    </row>
    <row r="34" spans="1:7">
      <c r="A34" s="4" t="s">
        <v>32</v>
      </c>
      <c r="B34" s="7">
        <f>B32-B33</f>
        <v>0</v>
      </c>
    </row>
    <row r="36" spans="1:7" ht="20" customHeight="1">
      <c r="A36" s="10" t="s">
        <v>33</v>
      </c>
      <c r="B36" s="11">
        <f>B34/B6</f>
        <v>0</v>
      </c>
    </row>
    <row r="37" spans="1:7" ht="16" customHeight="1">
      <c r="A37" s="4" t="s">
        <v>34</v>
      </c>
      <c r="B37" s="12">
        <f>(B36-B5)/B5</f>
        <v>0</v>
      </c>
    </row>
    <row r="39" spans="1:7" ht="18" customHeight="1">
      <c r="A39" s="3" t="s">
        <v>35</v>
      </c>
      <c r="B39" s="3"/>
      <c r="C39" s="3"/>
      <c r="D39" s="3"/>
      <c r="E39" s="3"/>
      <c r="F39" s="3"/>
      <c r="G39" s="3"/>
    </row>
    <row r="40" spans="1:7">
      <c r="A40" s="4" t="s">
        <v>36</v>
      </c>
      <c r="B40" s="13">
        <f>B30/B6</f>
        <v>0</v>
      </c>
    </row>
    <row r="41" spans="1:7" ht="16" customHeight="1">
      <c r="A41" s="4" t="s">
        <v>37</v>
      </c>
      <c r="B41" s="11">
        <f>B40/(1.15^5)</f>
        <v>0</v>
      </c>
    </row>
    <row r="42" spans="1:7">
      <c r="A42" s="4" t="s">
        <v>38</v>
      </c>
      <c r="B42" s="14">
        <f>(B5-B41)/B41</f>
        <v>0</v>
      </c>
    </row>
    <row r="44" spans="1:7" ht="18" customHeight="1">
      <c r="A44" s="3" t="s">
        <v>39</v>
      </c>
      <c r="B44" s="3"/>
      <c r="C44" s="3"/>
      <c r="D44" s="3"/>
      <c r="E44" s="3"/>
      <c r="F44" s="3"/>
      <c r="G44" s="3"/>
    </row>
    <row r="45" spans="1:7">
      <c r="A45" s="4" t="s">
        <v>40</v>
      </c>
      <c r="B45" s="7">
        <f>B5*B6</f>
        <v>0</v>
      </c>
    </row>
    <row r="46" spans="1:7">
      <c r="A46" s="4" t="s">
        <v>30</v>
      </c>
      <c r="B46" s="7">
        <f>B45+B9</f>
        <v>0</v>
      </c>
    </row>
    <row r="47" spans="1:7">
      <c r="A47" s="4" t="s">
        <v>41</v>
      </c>
      <c r="B47" s="7">
        <f>B46/B13</f>
        <v>0</v>
      </c>
    </row>
    <row r="48" spans="1:7">
      <c r="A48" s="4" t="s">
        <v>42</v>
      </c>
      <c r="B48" s="7">
        <f>B46/B14</f>
        <v>0</v>
      </c>
    </row>
    <row r="49" spans="1:7">
      <c r="A49" s="4" t="s">
        <v>43</v>
      </c>
      <c r="B49" s="7">
        <f>B45/B15</f>
        <v>0</v>
      </c>
    </row>
    <row r="51" spans="1:7">
      <c r="A51" s="15" t="s">
        <v>44</v>
      </c>
      <c r="B51" s="15"/>
      <c r="C51" s="15"/>
      <c r="D51" s="15"/>
      <c r="E51" s="15"/>
      <c r="F51" s="15"/>
      <c r="G51" s="15"/>
    </row>
    <row r="52" spans="1:7">
      <c r="A52" s="15"/>
      <c r="B52" s="15"/>
      <c r="C52" s="15"/>
      <c r="D52" s="15"/>
      <c r="E52" s="15"/>
      <c r="F52" s="15"/>
      <c r="G52" s="15"/>
    </row>
    <row r="53" spans="1:7">
      <c r="A53" s="15"/>
      <c r="B53" s="15"/>
      <c r="C53" s="15"/>
      <c r="D53" s="15"/>
      <c r="E53" s="15"/>
      <c r="F53" s="15"/>
      <c r="G53" s="15"/>
    </row>
  </sheetData>
  <mergeCells count="9">
    <mergeCell ref="A1:G1"/>
    <mergeCell ref="A2:G2"/>
    <mergeCell ref="A4:G4"/>
    <mergeCell ref="A17:G17"/>
    <mergeCell ref="A21:G21"/>
    <mergeCell ref="A27:G27"/>
    <mergeCell ref="A39:G39"/>
    <mergeCell ref="A44:G44"/>
    <mergeCell ref="A51:G5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32"/>
  <sheetViews>
    <sheetView zoomScale="90" zoomScaleNormal="90" workbookViewId="0"/>
  </sheetViews>
  <sheetFormatPr defaultRowHeight="15"/>
  <cols>
    <col min="1" max="1" width="28.7109375" customWidth="1"/>
    <col min="2" max="4" width="18.7109375" customWidth="1"/>
  </cols>
  <sheetData>
    <row r="1" spans="1:4" ht="28" customHeight="1">
      <c r="A1" s="1" t="s">
        <v>45</v>
      </c>
      <c r="B1" s="1"/>
      <c r="C1" s="1"/>
      <c r="D1" s="1"/>
    </row>
    <row r="2" spans="1:4" ht="16" customHeight="1">
      <c r="A2" s="2" t="s">
        <v>46</v>
      </c>
      <c r="B2" s="2"/>
      <c r="C2" s="2"/>
      <c r="D2" s="2"/>
    </row>
    <row r="4" spans="1:4" ht="20" customHeight="1">
      <c r="A4" s="9" t="s">
        <v>47</v>
      </c>
      <c r="B4" s="16" t="s">
        <v>48</v>
      </c>
      <c r="C4" s="17" t="s">
        <v>49</v>
      </c>
      <c r="D4" s="18" t="s">
        <v>50</v>
      </c>
    </row>
    <row r="5" spans="1:4">
      <c r="A5" s="19" t="s">
        <v>51</v>
      </c>
      <c r="B5" s="19"/>
      <c r="C5" s="19"/>
      <c r="D5" s="19"/>
    </row>
    <row r="6" spans="1:4">
      <c r="A6" s="4" t="s">
        <v>52</v>
      </c>
      <c r="B6" s="20" t="s">
        <v>53</v>
      </c>
      <c r="C6" s="20" t="s">
        <v>54</v>
      </c>
      <c r="D6" s="20" t="s">
        <v>55</v>
      </c>
    </row>
    <row r="7" spans="1:4">
      <c r="A7" s="4" t="s">
        <v>56</v>
      </c>
      <c r="B7" s="20" t="s">
        <v>54</v>
      </c>
      <c r="C7" s="20" t="s">
        <v>57</v>
      </c>
      <c r="D7" s="20" t="s">
        <v>58</v>
      </c>
    </row>
    <row r="8" spans="1:4">
      <c r="A8" s="4" t="s">
        <v>59</v>
      </c>
      <c r="B8" s="20" t="s">
        <v>60</v>
      </c>
      <c r="C8" s="20" t="s">
        <v>61</v>
      </c>
      <c r="D8" s="20" t="s">
        <v>62</v>
      </c>
    </row>
    <row r="9" spans="1:4">
      <c r="A9" s="4" t="s">
        <v>63</v>
      </c>
      <c r="B9" s="20" t="s">
        <v>64</v>
      </c>
      <c r="C9" s="20" t="s">
        <v>60</v>
      </c>
      <c r="D9" s="20" t="s">
        <v>65</v>
      </c>
    </row>
    <row r="10" spans="1:4">
      <c r="A10" s="4" t="s">
        <v>66</v>
      </c>
      <c r="B10" s="20" t="s">
        <v>55</v>
      </c>
      <c r="C10" s="20" t="s">
        <v>64</v>
      </c>
      <c r="D10" s="20" t="s">
        <v>67</v>
      </c>
    </row>
    <row r="11" spans="1:4">
      <c r="A11" s="4" t="s">
        <v>68</v>
      </c>
      <c r="B11" s="20" t="s">
        <v>69</v>
      </c>
      <c r="C11" s="20" t="s">
        <v>70</v>
      </c>
      <c r="D11" s="20" t="s">
        <v>57</v>
      </c>
    </row>
    <row r="12" spans="1:4">
      <c r="A12" s="4" t="s">
        <v>9</v>
      </c>
      <c r="B12" s="20" t="s">
        <v>62</v>
      </c>
      <c r="C12" s="20" t="s">
        <v>71</v>
      </c>
      <c r="D12" s="20" t="s">
        <v>72</v>
      </c>
    </row>
    <row r="13" spans="1:4">
      <c r="A13" s="4" t="s">
        <v>73</v>
      </c>
      <c r="B13" s="20" t="s">
        <v>74</v>
      </c>
      <c r="C13" s="20" t="s">
        <v>75</v>
      </c>
      <c r="D13" s="20" t="s">
        <v>76</v>
      </c>
    </row>
    <row r="14" spans="1:4">
      <c r="A14" s="19" t="s">
        <v>77</v>
      </c>
      <c r="B14" s="19"/>
      <c r="C14" s="19"/>
      <c r="D14" s="19"/>
    </row>
    <row r="15" spans="1:4">
      <c r="A15" s="4" t="s">
        <v>78</v>
      </c>
      <c r="B15" s="20" t="s">
        <v>79</v>
      </c>
      <c r="C15" s="20" t="s">
        <v>80</v>
      </c>
      <c r="D15" s="20" t="s">
        <v>81</v>
      </c>
    </row>
    <row r="16" spans="1:4">
      <c r="A16" s="4" t="s">
        <v>82</v>
      </c>
      <c r="B16" s="20" t="s">
        <v>83</v>
      </c>
      <c r="C16" s="20" t="s">
        <v>84</v>
      </c>
      <c r="D16" s="20" t="s">
        <v>85</v>
      </c>
    </row>
    <row r="17" spans="1:4">
      <c r="A17" s="4" t="s">
        <v>86</v>
      </c>
      <c r="B17" s="20" t="s">
        <v>87</v>
      </c>
      <c r="C17" s="20" t="s">
        <v>88</v>
      </c>
      <c r="D17" s="20" t="s">
        <v>89</v>
      </c>
    </row>
    <row r="18" spans="1:4">
      <c r="A18" s="4" t="s">
        <v>90</v>
      </c>
      <c r="B18" s="20" t="s">
        <v>91</v>
      </c>
      <c r="C18" s="20" t="s">
        <v>92</v>
      </c>
      <c r="D18" s="20" t="s">
        <v>93</v>
      </c>
    </row>
    <row r="19" spans="1:4">
      <c r="A19" s="4" t="s">
        <v>94</v>
      </c>
      <c r="B19" s="20" t="s">
        <v>95</v>
      </c>
      <c r="C19" s="20" t="s">
        <v>96</v>
      </c>
      <c r="D19" s="20" t="s">
        <v>97</v>
      </c>
    </row>
    <row r="20" spans="1:4">
      <c r="A20" s="19" t="s">
        <v>98</v>
      </c>
      <c r="B20" s="19"/>
      <c r="C20" s="19"/>
      <c r="D20" s="19"/>
    </row>
    <row r="21" spans="1:4">
      <c r="A21" s="4" t="s">
        <v>99</v>
      </c>
      <c r="B21" s="20" t="s">
        <v>100</v>
      </c>
      <c r="C21" s="20" t="s">
        <v>101</v>
      </c>
      <c r="D21" s="20" t="s">
        <v>102</v>
      </c>
    </row>
    <row r="22" spans="1:4">
      <c r="A22" s="4" t="s">
        <v>103</v>
      </c>
      <c r="B22" s="20" t="s">
        <v>104</v>
      </c>
      <c r="C22" s="20" t="s">
        <v>105</v>
      </c>
      <c r="D22" s="20" t="s">
        <v>106</v>
      </c>
    </row>
    <row r="23" spans="1:4">
      <c r="A23" s="4" t="s">
        <v>107</v>
      </c>
      <c r="B23" s="20" t="s">
        <v>108</v>
      </c>
      <c r="C23" s="20" t="s">
        <v>109</v>
      </c>
      <c r="D23" s="20" t="s">
        <v>110</v>
      </c>
    </row>
    <row r="24" spans="1:4">
      <c r="A24" s="4" t="s">
        <v>111</v>
      </c>
      <c r="B24" s="20" t="s">
        <v>112</v>
      </c>
      <c r="C24" s="20" t="s">
        <v>113</v>
      </c>
      <c r="D24" s="20" t="s">
        <v>114</v>
      </c>
    </row>
    <row r="25" spans="1:4">
      <c r="A25" s="4" t="s">
        <v>115</v>
      </c>
      <c r="B25" s="20" t="s">
        <v>116</v>
      </c>
      <c r="C25" s="20" t="s">
        <v>116</v>
      </c>
      <c r="D25" s="20" t="s">
        <v>116</v>
      </c>
    </row>
    <row r="26" spans="1:4">
      <c r="A26" s="4" t="s">
        <v>117</v>
      </c>
      <c r="B26" s="20" t="s">
        <v>118</v>
      </c>
      <c r="C26" s="20" t="s">
        <v>119</v>
      </c>
      <c r="D26" s="20" t="s">
        <v>120</v>
      </c>
    </row>
    <row r="27" spans="1:4">
      <c r="A27" s="19" t="s">
        <v>121</v>
      </c>
      <c r="B27" s="19"/>
      <c r="C27" s="19"/>
      <c r="D27" s="19"/>
    </row>
    <row r="28" spans="1:4">
      <c r="A28" s="4" t="s">
        <v>122</v>
      </c>
      <c r="B28" s="20" t="s">
        <v>123</v>
      </c>
      <c r="C28" s="20" t="s">
        <v>124</v>
      </c>
      <c r="D28" s="20" t="s">
        <v>125</v>
      </c>
    </row>
    <row r="29" spans="1:4">
      <c r="A29" s="4" t="s">
        <v>126</v>
      </c>
      <c r="B29" s="20" t="s">
        <v>127</v>
      </c>
      <c r="C29" s="20" t="s">
        <v>128</v>
      </c>
      <c r="D29" s="20" t="s">
        <v>129</v>
      </c>
    </row>
    <row r="30" spans="1:4">
      <c r="A30" s="4" t="s">
        <v>130</v>
      </c>
      <c r="B30" s="20" t="s">
        <v>131</v>
      </c>
      <c r="C30" s="20" t="s">
        <v>132</v>
      </c>
      <c r="D30" s="20" t="s">
        <v>133</v>
      </c>
    </row>
    <row r="32" spans="1:4" ht="20" customHeight="1">
      <c r="A32" s="21" t="s">
        <v>134</v>
      </c>
      <c r="B32" s="11" t="s">
        <v>135</v>
      </c>
      <c r="C32" s="12" t="s">
        <v>136</v>
      </c>
      <c r="D32" s="20" t="s">
        <v>137</v>
      </c>
    </row>
  </sheetData>
  <mergeCells count="6">
    <mergeCell ref="A1:D1"/>
    <mergeCell ref="A2:D2"/>
    <mergeCell ref="A5:D5"/>
    <mergeCell ref="A14:D14"/>
    <mergeCell ref="A20:D20"/>
    <mergeCell ref="A27:D2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16"/>
  <sheetViews>
    <sheetView zoomScale="90" zoomScaleNormal="90" workbookViewId="0"/>
  </sheetViews>
  <sheetFormatPr defaultRowHeight="15"/>
  <cols>
    <col min="1" max="1" width="22.7109375" customWidth="1"/>
    <col min="2" max="6" width="15.7109375" customWidth="1"/>
  </cols>
  <sheetData>
    <row r="1" spans="1:6" ht="28" customHeight="1">
      <c r="A1" s="1" t="s">
        <v>138</v>
      </c>
      <c r="B1" s="1"/>
      <c r="C1" s="1"/>
      <c r="D1" s="1"/>
      <c r="E1" s="1"/>
      <c r="F1" s="1"/>
    </row>
    <row r="2" spans="1:6" ht="16" customHeight="1">
      <c r="A2" s="2" t="s">
        <v>139</v>
      </c>
      <c r="B2" s="2"/>
      <c r="C2" s="2"/>
      <c r="D2" s="2"/>
      <c r="E2" s="2"/>
      <c r="F2" s="2"/>
    </row>
    <row r="4" spans="1:6" ht="20" customHeight="1">
      <c r="A4" s="9" t="s">
        <v>140</v>
      </c>
      <c r="B4" s="22" t="s">
        <v>141</v>
      </c>
      <c r="C4" s="22" t="s">
        <v>142</v>
      </c>
      <c r="D4" s="22" t="s">
        <v>143</v>
      </c>
      <c r="E4" s="22" t="s">
        <v>144</v>
      </c>
      <c r="F4" s="22" t="s">
        <v>145</v>
      </c>
    </row>
    <row r="5" spans="1:6" ht="22" customHeight="1">
      <c r="A5" s="23">
        <v>0.08</v>
      </c>
      <c r="B5" s="24">
        <v>270.44</v>
      </c>
      <c r="C5" s="24">
        <v>289.52</v>
      </c>
      <c r="D5" s="24">
        <v>312.29</v>
      </c>
      <c r="E5" s="24">
        <v>340.2</v>
      </c>
      <c r="F5" s="24">
        <v>375.14</v>
      </c>
    </row>
    <row r="6" spans="1:6" ht="22" customHeight="1">
      <c r="A6" s="23">
        <v>0.09</v>
      </c>
      <c r="B6" s="25">
        <v>233.11</v>
      </c>
      <c r="C6" s="24">
        <v>246.41</v>
      </c>
      <c r="D6" s="24">
        <v>261.94</v>
      </c>
      <c r="E6" s="24">
        <v>280.27</v>
      </c>
      <c r="F6" s="24">
        <v>302.3</v>
      </c>
    </row>
    <row r="7" spans="1:6" ht="22" customHeight="1">
      <c r="A7" s="23">
        <v>0.1</v>
      </c>
      <c r="B7" s="25">
        <v>205.19</v>
      </c>
      <c r="C7" s="25">
        <v>214.9</v>
      </c>
      <c r="D7" s="25">
        <v>226.02</v>
      </c>
      <c r="E7" s="25">
        <v>238.88</v>
      </c>
      <c r="F7" s="24">
        <v>253.82</v>
      </c>
    </row>
    <row r="8" spans="1:6" ht="22" customHeight="1">
      <c r="A8" s="23">
        <v>0.11</v>
      </c>
      <c r="B8" s="25">
        <v>183.55</v>
      </c>
      <c r="C8" s="25">
        <v>190.88</v>
      </c>
      <c r="D8" s="25">
        <v>199.16</v>
      </c>
      <c r="E8" s="25">
        <v>208.57</v>
      </c>
      <c r="F8" s="25">
        <v>219.31</v>
      </c>
    </row>
    <row r="9" spans="1:6" ht="22" customHeight="1">
      <c r="A9" s="23">
        <v>0.12</v>
      </c>
      <c r="B9" s="26">
        <v>166.23</v>
      </c>
      <c r="C9" s="26">
        <v>171.92</v>
      </c>
      <c r="D9" s="26">
        <v>178.29</v>
      </c>
      <c r="E9" s="25">
        <v>185.38</v>
      </c>
      <c r="F9" s="25">
        <v>193.37</v>
      </c>
    </row>
    <row r="10" spans="1:6">
      <c r="A10" s="27" t="s">
        <v>146</v>
      </c>
      <c r="B10" s="27"/>
      <c r="C10" s="27"/>
      <c r="D10" s="27"/>
      <c r="E10" s="27"/>
      <c r="F10" s="27"/>
    </row>
    <row r="11" spans="1:6">
      <c r="A11" s="28"/>
      <c r="B11" s="29" t="s">
        <v>147</v>
      </c>
      <c r="C11" s="29"/>
      <c r="D11" s="29"/>
      <c r="E11" s="29"/>
      <c r="F11" s="29"/>
    </row>
    <row r="12" spans="1:6">
      <c r="A12" s="30"/>
      <c r="B12" s="29" t="s">
        <v>148</v>
      </c>
      <c r="C12" s="29"/>
      <c r="D12" s="29"/>
      <c r="E12" s="29"/>
      <c r="F12" s="29"/>
    </row>
    <row r="13" spans="1:6">
      <c r="A13" s="31"/>
      <c r="B13" s="29" t="s">
        <v>149</v>
      </c>
      <c r="C13" s="29"/>
      <c r="D13" s="29"/>
      <c r="E13" s="29"/>
      <c r="F13" s="29"/>
    </row>
    <row r="14" spans="1:6">
      <c r="A14" s="32"/>
      <c r="B14" s="29" t="s">
        <v>150</v>
      </c>
      <c r="C14" s="29"/>
      <c r="D14" s="29"/>
      <c r="E14" s="29"/>
      <c r="F14" s="29"/>
    </row>
    <row r="15" spans="1:6">
      <c r="A15" s="15" t="s">
        <v>151</v>
      </c>
      <c r="B15" s="15"/>
      <c r="C15" s="15"/>
      <c r="D15" s="15"/>
      <c r="E15" s="15"/>
      <c r="F15" s="15"/>
    </row>
    <row r="16" spans="1:6">
      <c r="A16" s="15"/>
      <c r="B16" s="15"/>
      <c r="C16" s="15"/>
      <c r="D16" s="15"/>
      <c r="E16" s="15"/>
      <c r="F16" s="15"/>
    </row>
  </sheetData>
  <mergeCells count="8">
    <mergeCell ref="A1:F1"/>
    <mergeCell ref="A2:F2"/>
    <mergeCell ref="A10:F10"/>
    <mergeCell ref="B11:F11"/>
    <mergeCell ref="B12:F12"/>
    <mergeCell ref="B13:F13"/>
    <mergeCell ref="B14:F14"/>
    <mergeCell ref="A15:F1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7"/>
  <sheetViews>
    <sheetView zoomScale="90" zoomScaleNormal="90" workbookViewId="0"/>
  </sheetViews>
  <sheetFormatPr defaultRowHeight="15"/>
  <cols>
    <col min="1" max="1" width="28.7109375" customWidth="1"/>
    <col min="2" max="3" width="16.7109375" customWidth="1"/>
    <col min="4" max="4" width="2.7109375" customWidth="1"/>
    <col min="5" max="7" width="18.7109375" customWidth="1"/>
  </cols>
  <sheetData>
    <row r="1" spans="1:7" ht="28" customHeight="1">
      <c r="A1" s="1" t="s">
        <v>152</v>
      </c>
      <c r="B1" s="1"/>
      <c r="C1" s="1"/>
      <c r="D1" s="1"/>
      <c r="E1" s="1"/>
      <c r="F1" s="1"/>
      <c r="G1" s="1"/>
    </row>
    <row r="2" spans="1:7" ht="16" customHeight="1">
      <c r="A2" s="2" t="s">
        <v>153</v>
      </c>
      <c r="B2" s="2"/>
      <c r="C2" s="2"/>
      <c r="D2" s="2"/>
      <c r="E2" s="2"/>
      <c r="F2" s="2"/>
      <c r="G2" s="2"/>
    </row>
    <row r="4" spans="1:7">
      <c r="A4" s="3" t="s">
        <v>154</v>
      </c>
    </row>
    <row r="5" spans="1:7" ht="20" customHeight="1">
      <c r="A5" s="9" t="s">
        <v>155</v>
      </c>
      <c r="B5" s="9" t="s">
        <v>156</v>
      </c>
      <c r="C5" s="9" t="s">
        <v>157</v>
      </c>
    </row>
    <row r="6" spans="1:7">
      <c r="A6" s="4" t="s">
        <v>158</v>
      </c>
      <c r="B6" s="14">
        <v>0.398</v>
      </c>
      <c r="C6" s="14">
        <v>0.411</v>
      </c>
    </row>
    <row r="7" spans="1:7">
      <c r="A7" s="4" t="s">
        <v>159</v>
      </c>
      <c r="B7" s="14">
        <v>0.5920000000000001</v>
      </c>
      <c r="C7" s="14">
        <v>0.7040000000000001</v>
      </c>
    </row>
    <row r="8" spans="1:7">
      <c r="A8" s="4" t="s">
        <v>160</v>
      </c>
      <c r="B8" s="14">
        <v>0.518</v>
      </c>
      <c r="C8" s="7" t="s">
        <v>161</v>
      </c>
    </row>
    <row r="10" spans="1:7">
      <c r="A10" s="4" t="s">
        <v>162</v>
      </c>
      <c r="B10" s="8">
        <v>0.17</v>
      </c>
    </row>
    <row r="11" spans="1:7">
      <c r="A11" s="4" t="s">
        <v>163</v>
      </c>
      <c r="B11" s="7" t="s">
        <v>164</v>
      </c>
    </row>
    <row r="12" spans="1:7">
      <c r="A12" s="33" t="s">
        <v>165</v>
      </c>
      <c r="B12" s="33"/>
      <c r="C12" s="33"/>
    </row>
    <row r="13" spans="1:7">
      <c r="A13" s="33"/>
      <c r="B13" s="33"/>
      <c r="C13" s="33"/>
    </row>
    <row r="14" spans="1:7">
      <c r="A14" s="33"/>
      <c r="B14" s="33"/>
      <c r="C14" s="33"/>
    </row>
    <row r="17" spans="1:7">
      <c r="A17" s="34" t="s">
        <v>166</v>
      </c>
    </row>
    <row r="18" spans="1:7">
      <c r="A18" s="35" t="s">
        <v>167</v>
      </c>
      <c r="B18" s="15" t="s">
        <v>168</v>
      </c>
      <c r="C18" s="15"/>
      <c r="D18" s="15"/>
      <c r="E18" s="15"/>
      <c r="F18" s="15"/>
      <c r="G18" s="15"/>
    </row>
    <row r="20" spans="1:7">
      <c r="A20" s="3" t="s">
        <v>169</v>
      </c>
    </row>
    <row r="21" spans="1:7" ht="20" customHeight="1">
      <c r="A21" s="9" t="s">
        <v>155</v>
      </c>
      <c r="E21" s="9" t="s">
        <v>170</v>
      </c>
      <c r="F21" s="9" t="s">
        <v>171</v>
      </c>
      <c r="G21" s="9" t="s">
        <v>172</v>
      </c>
    </row>
    <row r="22" spans="1:7">
      <c r="A22" s="4" t="s">
        <v>41</v>
      </c>
      <c r="E22" s="36">
        <v>8.199999999999999</v>
      </c>
      <c r="F22" s="36">
        <v>4</v>
      </c>
      <c r="G22" s="37" t="s">
        <v>173</v>
      </c>
    </row>
    <row r="23" spans="1:7">
      <c r="A23" s="4" t="s">
        <v>42</v>
      </c>
      <c r="E23" s="36">
        <v>32.1</v>
      </c>
      <c r="F23" s="36">
        <v>15.5</v>
      </c>
      <c r="G23" s="37" t="s">
        <v>174</v>
      </c>
    </row>
    <row r="24" spans="1:7">
      <c r="A24" s="4" t="s">
        <v>175</v>
      </c>
      <c r="E24" s="36">
        <v>28.4</v>
      </c>
      <c r="F24" s="36">
        <v>13.8</v>
      </c>
      <c r="G24" s="37" t="s">
        <v>176</v>
      </c>
    </row>
    <row r="25" spans="1:7">
      <c r="A25" s="4" t="s">
        <v>177</v>
      </c>
      <c r="E25" s="36">
        <v>9.199999999999999</v>
      </c>
      <c r="F25" s="36">
        <v>4.9</v>
      </c>
      <c r="G25" s="37" t="s">
        <v>178</v>
      </c>
    </row>
    <row r="26" spans="1:7">
      <c r="A26" s="38" t="s">
        <v>179</v>
      </c>
      <c r="B26" s="38"/>
      <c r="C26" s="38"/>
      <c r="D26" s="38"/>
      <c r="E26" s="38"/>
      <c r="F26" s="38"/>
      <c r="G26" s="38"/>
    </row>
    <row r="27" spans="1:7">
      <c r="A27" s="38"/>
      <c r="B27" s="38"/>
      <c r="C27" s="38"/>
      <c r="D27" s="38"/>
      <c r="E27" s="38"/>
      <c r="F27" s="38"/>
      <c r="G27" s="38"/>
    </row>
  </sheetData>
  <mergeCells count="5">
    <mergeCell ref="A1:G1"/>
    <mergeCell ref="A2:G2"/>
    <mergeCell ref="A12:C14"/>
    <mergeCell ref="B18:G18"/>
    <mergeCell ref="A26:G2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DCF Model</vt:lpstr>
      <vt:lpstr>Scenarios</vt:lpstr>
      <vt:lpstr>Sensitivity</vt:lpstr>
      <vt:lpstr>Historical &amp; Sanity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2026-06-27T08:03:04Z</dcterms:created>
  <dcterms:modified xsi:type="dcterms:W3CDTF">2026-06-27T08:03:04Z</dcterms:modified>
</cp:coreProperties>
</file>