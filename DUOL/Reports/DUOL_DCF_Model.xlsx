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 Data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<sst xmlns="http://schemas.openxmlformats.org/spreadsheetml/2006/main" count="298" uniqueCount="268">
  <si>
    <t>DUOL - Duolingo, Inc. DCF Valuation Model</t>
  </si>
  <si>
    <t>Valuation Date: 2026-02-27  |  Base Year FCF: $360.4M (FY2025 Actual)  |  Blue/gray cells are inputs - adjust to see results update</t>
  </si>
  <si>
    <t>FY2025: Revenue $1,037.6M (+39% YoY), FCF $360.4M (34.7% margin), Net Cash $1,036.4M, Zero Debt</t>
  </si>
  <si>
    <t>KEY INPUTS</t>
  </si>
  <si>
    <t>Current Stock Price ($)</t>
  </si>
  <si>
    <t>&lt;-- FY2025 post-earnings close</t>
  </si>
  <si>
    <t>Shares Outstanding (M)</t>
  </si>
  <si>
    <t>&lt;-- Diluted, Q4 2025</t>
  </si>
  <si>
    <t>Cash &amp; Equivalents (M)</t>
  </si>
  <si>
    <t>&lt;-- Q4 2025; no debt</t>
  </si>
  <si>
    <t>Total Debt (M)</t>
  </si>
  <si>
    <t>&lt;-- Zero debt</t>
  </si>
  <si>
    <t>Net Debt (M) [Debt - Cash]</t>
  </si>
  <si>
    <t>&lt;-- Negative = net cash position</t>
  </si>
  <si>
    <t>Base Year FCF (M) [FY2025 Actual]</t>
  </si>
  <si>
    <t>&lt;-- 34.7% FCF margin on $1,037.6M revenue</t>
  </si>
  <si>
    <t>WACC (Base Case)</t>
  </si>
  <si>
    <t>&lt;-- 10%: RF 4.3% + ERP 5% + beta 1.1 + size 0.3%</t>
  </si>
  <si>
    <t>Terminal Growth Rate (Base Case)</t>
  </si>
  <si>
    <t>&lt;-- 3%: Long-run nominal GDP growth</t>
  </si>
  <si>
    <t>FCF GROWTH RATES BY YEAR (BASE CASE)</t>
  </si>
  <si>
    <t>Year 1
(FY2026)</t>
  </si>
  <si>
    <t>Year 2
(FY2027)</t>
  </si>
  <si>
    <t>Year 3
(FY2028)</t>
  </si>
  <si>
    <t>Year 4
(FY2029)</t>
  </si>
  <si>
    <t>Year 5
(FY2030)</t>
  </si>
  <si>
    <t>Growth Rate (input)</t>
  </si>
  <si>
    <t>Growth Rationale</t>
  </si>
  <si>
    <t>FCF PROJECTIONS (Base Case)</t>
  </si>
  <si>
    <t>FCF PROJECTIONS (BASE CASE)</t>
  </si>
  <si>
    <t>Year 1</t>
  </si>
  <si>
    <t>Year 2</t>
  </si>
  <si>
    <t>Year 3</t>
  </si>
  <si>
    <t>Year 4</t>
  </si>
  <si>
    <t>Year 5</t>
  </si>
  <si>
    <t>Sum/Terminal</t>
  </si>
  <si>
    <t>Free Cash Flow (M)</t>
  </si>
  <si>
    <t>Discount Factor [1/(1+WACC)^n]</t>
  </si>
  <si>
    <t>PV of FCF (M)</t>
  </si>
  <si>
    <t>VALUATION (BASE CASE)</t>
  </si>
  <si>
    <t>Sum of PV of FCF (M)</t>
  </si>
  <si>
    <t>Terminal Year FCF (Y5 * (1 + terminal g))</t>
  </si>
  <si>
    <t>Terminal Value (M) [TV = FCF_t / (WACC - g)]</t>
  </si>
  <si>
    <t>PV of Terminal Value (M)</t>
  </si>
  <si>
    <t>Enterprise Value (M)</t>
  </si>
  <si>
    <t>Less: Net Debt (M) [negative = net cash added]</t>
  </si>
  <si>
    <t>Equity Value (M)</t>
  </si>
  <si>
    <t>INTRINSIC VALUE PER SHARE</t>
  </si>
  <si>
    <t>Current Price</t>
  </si>
  <si>
    <t>Upside / (Downside)</t>
  </si>
  <si>
    <t>ENTRY PRICE ANALYSIS (Base Case)</t>
  </si>
  <si>
    <t>Terminal Value per Share</t>
  </si>
  <si>
    <t>Entry Price for 15% CAGR [= TV/share / (1.15)^5]</t>
  </si>
  <si>
    <t>Current vs Entry Price</t>
  </si>
  <si>
    <t>&lt;-- Negative = below entry price (buy signal)</t>
  </si>
  <si>
    <t>Note: Entry price is the max price to pay today to achieve 15% annual return</t>
  </si>
  <si>
    <t>to the base case terminal value over 5 years. Current $117.45 is BELOW the</t>
  </si>
  <si>
    <t>entry price of $123.06, implying returns EXCEEDING 15% CAGR in base case.</t>
  </si>
  <si>
    <t>DUOL - Scenario Comparison</t>
  </si>
  <si>
    <t>Base / Bull / Bear cases with assumptions and outputs</t>
  </si>
  <si>
    <t>Bear Case</t>
  </si>
  <si>
    <t>Base Case</t>
  </si>
  <si>
    <t>Bull Case</t>
  </si>
  <si>
    <t>Probability Weighted</t>
  </si>
  <si>
    <t>Scenario Probability Weight</t>
  </si>
  <si>
    <t>ASSUMPTIONS</t>
  </si>
  <si>
    <t>WACC</t>
  </si>
  <si>
    <t>9-11.5% range</t>
  </si>
  <si>
    <t>Terminal Growth Rate</t>
  </si>
  <si>
    <t>2-4% range</t>
  </si>
  <si>
    <t>FCF Margin</t>
  </si>
  <si>
    <t>Year 1 Growth Rate</t>
  </si>
  <si>
    <t>Year 5 Growth Rate</t>
  </si>
  <si>
    <t>Key Narrative</t>
  </si>
  <si>
    <t>Investment fails, AI erodes moat</t>
  </si>
  <si>
    <t>FY2026 trough + recovery in 2027-28</t>
  </si>
  <si>
    <t>Platform shift succeeds, 100M DAUs</t>
  </si>
  <si>
    <t>FCF PROJECTIONS (M)</t>
  </si>
  <si>
    <t>Bear</t>
  </si>
  <si>
    <t>Base</t>
  </si>
  <si>
    <t>Bull</t>
  </si>
  <si>
    <t>Description</t>
  </si>
  <si>
    <t>Base Year FCF</t>
  </si>
  <si>
    <t>Year 1 FCF</t>
  </si>
  <si>
    <t>Year 2 FCF</t>
  </si>
  <si>
    <t>Year 3 FCF</t>
  </si>
  <si>
    <t>Year 4 FCF</t>
  </si>
  <si>
    <t>Year 5 FCF</t>
  </si>
  <si>
    <t>VALUATION RESULTS</t>
  </si>
  <si>
    <t>Sum PV of FCF (M)</t>
  </si>
  <si>
    <t>Terminal Value (M)</t>
  </si>
  <si>
    <t>ENTRY PRICE (15% CAGR TARGET)</t>
  </si>
  <si>
    <t>TV per Share</t>
  </si>
  <si>
    <t>Entry Price for 15% CAGR</t>
  </si>
  <si>
    <t>Max price to pay for 15% annual return</t>
  </si>
  <si>
    <t>DUOL - Sensitivity Analysis</t>
  </si>
  <si>
    <t>Intrinsic Value per Share by WACC and Terminal Growth Rate (Base Case Growth Assumptions)</t>
  </si>
  <si>
    <t>Growth rates fixed at base case: Y1=17%, Y2=20%, Y3=22%, Y4=18%, Y5=15% | Net Cash $1,036.4M added to enterprise value</t>
  </si>
  <si>
    <t>WACC \ Terminal Growth</t>
  </si>
  <si>
    <t>2.0%</t>
  </si>
  <si>
    <t>2.5%</t>
  </si>
  <si>
    <t>3.0%</t>
  </si>
  <si>
    <t>3.5%</t>
  </si>
  <si>
    <t>4.0%</t>
  </si>
  <si>
    <t>8%</t>
  </si>
  <si>
    <t>9%</t>
  </si>
  <si>
    <t>10%</t>
  </si>
  <si>
    <t>11%</t>
  </si>
  <si>
    <t>12%</t>
  </si>
  <si>
    <t>Color Legend:</t>
  </si>
  <si>
    <t>&gt;$176 (&gt;50% upside)</t>
  </si>
  <si>
    <t>$129-$176 (10-50% upside)</t>
  </si>
  <si>
    <t>&lt;$129 (&lt;10% upside)</t>
  </si>
  <si>
    <t>Key Observations:</t>
  </si>
  <si>
    <t>1. ALL scenarios show positive upside from $117.45 current price</t>
  </si>
  <si>
    <t>2. Base case (WACC 10%, TG 3%): $220.34 (+87.6% upside)</t>
  </si>
  <si>
    <t>3. Most conservative scenario (WACC 12%, TG 2%): $161.49 (+37.5% upside)</t>
  </si>
  <si>
    <t>4. Most optimistic scenario (WACC 8%, TG 4%): $367.06 (+212.5% upside)</t>
  </si>
  <si>
    <t>5. The $1.036B net cash position (no debt) accounts for ~$20.81/share of value</t>
  </si>
  <si>
    <t>ENTRY PRICE SENSITIVITY (for 15% CAGR target)</t>
  </si>
  <si>
    <t>Max price to pay today to achieve 15% CAGR to terminal value (base growth rates)</t>
  </si>
  <si>
    <t>Green = entry price ABOVE $117.45 (current price provides 15%+ CAGR to terminal)</t>
  </si>
  <si>
    <t>Red = entry price BELOW $117.45 (would need lower price for 15% CAGR)</t>
  </si>
  <si>
    <t>DUOL - Historical Growth Rates &amp; Context</t>
  </si>
  <si>
    <t>Note: Historical CAGRs reflect 2023-2025 hypergrowth phase; NOT used as DCF base due to guidance deceleration</t>
  </si>
  <si>
    <t>HISTORICAL GROWTH RATES</t>
  </si>
  <si>
    <t>Metric</t>
  </si>
  <si>
    <t>2yr CAGR</t>
  </si>
  <si>
    <t>3yr CAGR</t>
  </si>
  <si>
    <t>Selected for DCF</t>
  </si>
  <si>
    <t>Note</t>
  </si>
  <si>
    <t>Revenue</t>
  </si>
  <si>
    <t>39.7%</t>
  </si>
  <si>
    <t>41.1%</t>
  </si>
  <si>
    <t>NO - use FY2026 guidance (17%)</t>
  </si>
  <si>
    <t>Hypergrowth phase; guidance deceleration to 15-18%</t>
  </si>
  <si>
    <t>FCF</t>
  </si>
  <si>
    <t>59.2%</t>
  </si>
  <si>
    <t>69.7%</t>
  </si>
  <si>
    <t>NO - use guided FCF margin (33%)</t>
  </si>
  <si>
    <t>FCF outgrew revenue due to margin expansion</t>
  </si>
  <si>
    <t>Shareholders Equity</t>
  </si>
  <si>
    <t>51.8%</t>
  </si>
  <si>
    <t>N/A</t>
  </si>
  <si>
    <t>NO - misleading for this stage</t>
  </si>
  <si>
    <t>2yr only; reflects early profitability inflection</t>
  </si>
  <si>
    <t>EPS</t>
  </si>
  <si>
    <t>NO - unreliable</t>
  </si>
  <si>
    <t>$256.7M one-time tax benefit inflated FY2025 EPS</t>
  </si>
  <si>
    <t>ANNUAL FINANCIALS (M)</t>
  </si>
  <si>
    <t>FY2022</t>
  </si>
  <si>
    <t>FY2023</t>
  </si>
  <si>
    <t>FY2024</t>
  </si>
  <si>
    <t>FY2025</t>
  </si>
  <si>
    <t>FY2026 Guidance</t>
  </si>
  <si>
    <t>Revenue ($M)</t>
  </si>
  <si>
    <t>1,197-1,221</t>
  </si>
  <si>
    <t>FCF ($M)</t>
  </si>
  <si>
    <t>&gt;350</t>
  </si>
  <si>
    <t>FCF Margin (%)</t>
  </si>
  <si>
    <t>~29-30%</t>
  </si>
  <si>
    <t>Adj EBITDA Margin (%)</t>
  </si>
  <si>
    <t>28.8%</t>
  </si>
  <si>
    <t>29.5%</t>
  </si>
  <si>
    <t>~25%</t>
  </si>
  <si>
    <t>Shareholders' Equity ($M)</t>
  </si>
  <si>
    <t>DAUs (M)</t>
  </si>
  <si>
    <t>~63 (est.)</t>
  </si>
  <si>
    <t>Paid Subscribers (M)</t>
  </si>
  <si>
    <t>~13-14 (est.)</t>
  </si>
  <si>
    <t>YoY Revenue Growth</t>
  </si>
  <si>
    <t>43.8%</t>
  </si>
  <si>
    <t>40.9%</t>
  </si>
  <si>
    <t>38.7%</t>
  </si>
  <si>
    <t>15-18%</t>
  </si>
  <si>
    <t>FY2026 GUIDANCE DETAIL</t>
  </si>
  <si>
    <t>Target</t>
  </si>
  <si>
    <t>vs FY2025</t>
  </si>
  <si>
    <t>$1,197M - $1,221M</t>
  </si>
  <si>
    <t>+15-18% YoY</t>
  </si>
  <si>
    <t>Midpoint $1,209M; missed analyst consensus</t>
  </si>
  <si>
    <t>Bookings</t>
  </si>
  <si>
    <t>$1,274M - $1,298M</t>
  </si>
  <si>
    <t>+10-12% YoY</t>
  </si>
  <si>
    <t>SHARP deceleration from +33% FY2025; key investor concern</t>
  </si>
  <si>
    <t>Adj EBITDA</t>
  </si>
  <si>
    <t>$299M - $305M (~25% margin)</t>
  </si>
  <si>
    <t>-450bps margin</t>
  </si>
  <si>
    <t>Missed analyst consensus of ~$385M by ~$83M</t>
  </si>
  <si>
    <t>Free Cash Flow</t>
  </si>
  <si>
    <t>&gt;$350M</t>
  </si>
  <si>
    <t>~flat YoY</t>
  </si>
  <si>
    <t>More resilient than EBITDA due to working capital</t>
  </si>
  <si>
    <t>DAU Growth</t>
  </si>
  <si>
    <t>~20% YoY</t>
  </si>
  <si>
    <t>Down from 30% Q4 2025</t>
  </si>
  <si>
    <t>Medium-term target: 100M DAUs (from 52.7M today)</t>
  </si>
  <si>
    <t>SBC</t>
  </si>
  <si>
    <t>~15% of revenue</t>
  </si>
  <si>
    <t>Up from 13% FY2025</t>
  </si>
  <si>
    <t>$400M buyback authorized to partially offset dilution</t>
  </si>
  <si>
    <t>DUOL - Investment Summary</t>
  </si>
  <si>
    <t>Duolingo, Inc. | As of 2026-02-27 | Price: $117.45</t>
  </si>
  <si>
    <t>KEY METRICS AT A GLANCE</t>
  </si>
  <si>
    <t>Value</t>
  </si>
  <si>
    <t>Context</t>
  </si>
  <si>
    <t>$117.45</t>
  </si>
  <si>
    <t>Post-earnings close Feb 27, 2026</t>
  </si>
  <si>
    <t>Base Case Intrinsic Value</t>
  </si>
  <si>
    <t>$220.34</t>
  </si>
  <si>
    <t>+87.6% upside</t>
  </si>
  <si>
    <t>Probability-Weighted IV</t>
  </si>
  <si>
    <t>$228.81</t>
  </si>
  <si>
    <t>+94.8% upside (Bull 25% / Base 50% / Bear 25%)</t>
  </si>
  <si>
    <t>Bear Case IV</t>
  </si>
  <si>
    <t>$130.28</t>
  </si>
  <si>
    <t>+10.9% upside - limited downside</t>
  </si>
  <si>
    <t>Bull Case IV</t>
  </si>
  <si>
    <t>$344.29</t>
  </si>
  <si>
    <t>+193.1% upside</t>
  </si>
  <si>
    <t>Entry Price (Base, 15% CAGR)</t>
  </si>
  <si>
    <t>$123.06</t>
  </si>
  <si>
    <t>Current price is BELOW entry price - positive signal</t>
  </si>
  <si>
    <t>Net Cash (no debt)</t>
  </si>
  <si>
    <t>$1,036.4M</t>
  </si>
  <si>
    <t>$20.81 per share - 18% of current stock price</t>
  </si>
  <si>
    <t>Market Cap</t>
  </si>
  <si>
    <t>~$5.85B</t>
  </si>
  <si>
    <t>At $117.45 * 49.8M shares</t>
  </si>
  <si>
    <t>EV</t>
  </si>
  <si>
    <t>~$4.81B</t>
  </si>
  <si>
    <t>Market cap less net cash</t>
  </si>
  <si>
    <t>EV/FY2026 Revenue</t>
  </si>
  <si>
    <t>~4.0x</t>
  </si>
  <si>
    <t>$4,813M / $1,209M guided revenue</t>
  </si>
  <si>
    <t>EV/FY2026 EBITDA</t>
  </si>
  <si>
    <t>~15.9x</t>
  </si>
  <si>
    <t>$4,813M / $302M guided Adj EBITDA</t>
  </si>
  <si>
    <t>P/FCF FY2026</t>
  </si>
  <si>
    <t>&lt;16.7x</t>
  </si>
  <si>
    <t>$5,849M / &gt;$350M guided FCF</t>
  </si>
  <si>
    <t>Stock Peak (May 2025)</t>
  </si>
  <si>
    <t>$544.93</t>
  </si>
  <si>
    <t>78% decline to current price</t>
  </si>
  <si>
    <t>Analyst Avg Price Target</t>
  </si>
  <si>
    <t>~$267</t>
  </si>
  <si>
    <t>127% upside from $117.45; consensus Buy/Overweight</t>
  </si>
  <si>
    <t>BULL THESIS</t>
  </si>
  <si>
    <t>1. FY2026 investment cycle mirrors 2022-2023 playbook that drove DAUs from 20M to 50M+</t>
  </si>
  <si>
    <t>2. CEO comparison to 2013 mobile bet - if AI strategy works, could be transformative</t>
  </si>
  <si>
    <t>3. Balance sheet fortress: $1.036B cash, zero debt, $400M buyback authorized (~7% of market cap)</t>
  </si>
  <si>
    <t>4. 78% decline from May 2025 peak creates rare entry point into dominant consumer platform</t>
  </si>
  <si>
    <t>5. Analyst consensus: ~23 analysts Buy/OW with average PT ~$267 (127% upside from $117.45)</t>
  </si>
  <si>
    <t>6. Sticky user base: 10M+ users with 1+ year streaks; DAU/MAU ratio growing (39.6%)</t>
  </si>
  <si>
    <t>7. ALL DCF sensitivity scenarios show positive upside from current price</t>
  </si>
  <si>
    <t>KEY RISKS (Bear Case)</t>
  </si>
  <si>
    <t>1. Bookings deceleration: +33% FY2025 -&gt; +10-12% FY2026 may be structural, not strategic</t>
  </si>
  <si>
    <t>2. AI competitors (ChatGPT, Gemini, Claude) improving as free language tutors</t>
  </si>
  <si>
    <t>3. CFO transition risk: Gillian Munson started Feb 23, just days before critical earnings report</t>
  </si>
  <si>
    <t>4. Valuation still not cheap: ~16x FCF, ~16x EV/EBITDA for decelerating growth company</t>
  </si>
  <si>
    <t>5. DAU growth deceleration (30% Q4 2025 -&gt; ~20% FY2026) must trough and recover</t>
  </si>
  <si>
    <t>6. EBITDA guidance missed analyst consensus by ~$83M - significant reset risk for estimates</t>
  </si>
  <si>
    <t>KEY CATALYSTS TO WATCH</t>
  </si>
  <si>
    <t>1. Q1 2026 earnings (est. May 2026): DAU reacceleration is the most critical data point</t>
  </si>
  <si>
    <t>2. Intra-year bookings guidance update: Any raise would significantly re-rate the stock</t>
  </si>
  <si>
    <t>3. Duolingo Max tier adoption metrics: Validates the AI monetization thesis</t>
  </si>
  <si>
    <t>4. Share buyback execution pace: $400M buyback at $117 is ~7% accretive per share</t>
  </si>
  <si>
    <t>5. International expansion data: Asia English learner penetration is the largest untapped market</t>
  </si>
</sst>
</file>

<file path=xl/styles.xml><?xml version="1.0" encoding="utf-8"?>
<styleSheet xmlns="http://schemas.openxmlformats.org/spreadsheetml/2006/main">
  <numFmts count="4">
    <numFmt numFmtId="164" formatCode="&quot;$&quot;#,##0.00"/>
    <numFmt numFmtId="165" formatCode="#,##0.0"/>
    <numFmt numFmtId="166" formatCode="0.0%"/>
    <numFmt numFmtId="167" formatCode="#,##0.00"/>
  </numFmts>
  <fonts count="8">
    <font>
      <sz val="11"/>
      <color theme="1"/>
      <name val="Calibri"/>
      <family val="2"/>
      <scheme val="minor"/>
    </font>
    <font>
      <b/>
      <sz val="18"/>
      <color rgb="FF1E3A5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2"/>
      <color rgb="FF1E3A5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8F4F8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E74C3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 applyAlignment="1">
      <alignment horizontal="right"/>
    </xf>
    <xf numFmtId="0" fontId="4" fillId="0" borderId="0" xfId="0" applyFont="1" applyAlignment="1">
      <alignment wrapText="1"/>
    </xf>
    <xf numFmtId="165" fontId="0" fillId="2" borderId="2" xfId="0" applyNumberFormat="1" applyFill="1" applyBorder="1" applyAlignment="1">
      <alignment horizontal="right"/>
    </xf>
    <xf numFmtId="165" fontId="0" fillId="0" borderId="2" xfId="0" applyNumberFormat="1" applyBorder="1"/>
    <xf numFmtId="166" fontId="0" fillId="2" borderId="2" xfId="0" applyNumberFormat="1" applyFill="1" applyBorder="1" applyAlignment="1">
      <alignment horizontal="right"/>
    </xf>
    <xf numFmtId="0" fontId="5" fillId="3" borderId="2" xfId="0" applyFont="1" applyFill="1" applyBorder="1"/>
    <xf numFmtId="167" fontId="0" fillId="0" borderId="2" xfId="0" applyNumberFormat="1" applyBorder="1"/>
    <xf numFmtId="165" fontId="0" fillId="4" borderId="2" xfId="0" applyNumberFormat="1" applyFill="1" applyBorder="1"/>
    <xf numFmtId="0" fontId="6" fillId="0" borderId="0" xfId="0" applyFont="1"/>
    <xf numFmtId="164" fontId="5" fillId="5" borderId="2" xfId="0" applyNumberFormat="1" applyFont="1" applyFill="1" applyBorder="1"/>
    <xf numFmtId="164" fontId="6" fillId="0" borderId="2" xfId="0" applyNumberFormat="1" applyFont="1" applyBorder="1"/>
    <xf numFmtId="166" fontId="5" fillId="6" borderId="2" xfId="0" applyNumberFormat="1" applyFont="1" applyFill="1" applyBorder="1"/>
    <xf numFmtId="164" fontId="0" fillId="0" borderId="2" xfId="0" applyNumberFormat="1" applyBorder="1"/>
    <xf numFmtId="164" fontId="5" fillId="7" borderId="2" xfId="0" applyNumberFormat="1" applyFont="1" applyFill="1" applyBorder="1"/>
    <xf numFmtId="166" fontId="0" fillId="0" borderId="2" xfId="0" applyNumberFormat="1" applyBorder="1"/>
    <xf numFmtId="0" fontId="5" fillId="8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2" xfId="0" applyBorder="1"/>
    <xf numFmtId="164" fontId="7" fillId="7" borderId="2" xfId="0" applyNumberFormat="1" applyFont="1" applyFill="1" applyBorder="1" applyAlignment="1">
      <alignment horizontal="center"/>
    </xf>
    <xf numFmtId="164" fontId="0" fillId="9" borderId="2" xfId="0" applyNumberFormat="1" applyFill="1" applyBorder="1" applyAlignment="1">
      <alignment horizontal="center"/>
    </xf>
    <xf numFmtId="0" fontId="7" fillId="7" borderId="2" xfId="0" applyFont="1" applyFill="1" applyBorder="1"/>
    <xf numFmtId="0" fontId="0" fillId="9" borderId="2" xfId="0" applyFill="1" applyBorder="1"/>
    <xf numFmtId="0" fontId="0" fillId="10" borderId="2" xfId="0" applyFill="1" applyBorder="1"/>
    <xf numFmtId="164" fontId="7" fillId="11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zoomScale="90" zoomScaleNormal="90" workbookViewId="0"/>
  </sheetViews>
  <sheetFormatPr defaultRowHeight="15"/>
  <cols>
    <col min="1" max="1" width="32.7109375" customWidth="1"/>
    <col min="2" max="2" width="16.7109375" customWidth="1"/>
    <col min="3" max="7" width="14.7109375" customWidth="1"/>
    <col min="8" max="8" width="18.7109375" customWidth="1"/>
  </cols>
  <sheetData>
    <row r="1" spans="1:3">
      <c r="A1" s="1" t="s">
        <v>0</v>
      </c>
    </row>
    <row r="2" spans="1:3">
      <c r="A2" s="2" t="s">
        <v>1</v>
      </c>
    </row>
    <row r="3" spans="1:3">
      <c r="A3" s="2" t="s">
        <v>2</v>
      </c>
    </row>
    <row r="5" spans="1:3">
      <c r="A5" s="3" t="s">
        <v>3</v>
      </c>
    </row>
    <row r="6" spans="1:3">
      <c r="A6" t="s">
        <v>4</v>
      </c>
      <c r="B6" s="4">
        <v>117.45</v>
      </c>
      <c r="C6" s="5" t="s">
        <v>5</v>
      </c>
    </row>
    <row r="7" spans="1:3">
      <c r="A7" t="s">
        <v>6</v>
      </c>
      <c r="B7" s="6">
        <v>49.8</v>
      </c>
      <c r="C7" s="5" t="s">
        <v>7</v>
      </c>
    </row>
    <row r="8" spans="1:3">
      <c r="A8" t="s">
        <v>8</v>
      </c>
      <c r="B8" s="6">
        <v>1036.4</v>
      </c>
      <c r="C8" s="5" t="s">
        <v>9</v>
      </c>
    </row>
    <row r="9" spans="1:3">
      <c r="A9" t="s">
        <v>10</v>
      </c>
      <c r="B9" s="6">
        <v>0</v>
      </c>
      <c r="C9" s="5" t="s">
        <v>11</v>
      </c>
    </row>
    <row r="10" spans="1:3">
      <c r="A10" t="s">
        <v>12</v>
      </c>
      <c r="B10" s="7">
        <f>B9-B8</f>
        <v>0</v>
      </c>
      <c r="C10" s="5" t="s">
        <v>13</v>
      </c>
    </row>
    <row r="11" spans="1:3">
      <c r="A11" t="s">
        <v>14</v>
      </c>
      <c r="B11" s="6">
        <v>360.4</v>
      </c>
      <c r="C11" s="5" t="s">
        <v>15</v>
      </c>
    </row>
    <row r="13" spans="1:3">
      <c r="A13" t="s">
        <v>16</v>
      </c>
      <c r="B13" s="8">
        <v>0.1</v>
      </c>
      <c r="C13" s="5" t="s">
        <v>17</v>
      </c>
    </row>
    <row r="14" spans="1:3">
      <c r="A14" t="s">
        <v>18</v>
      </c>
      <c r="B14" s="8">
        <v>0.03</v>
      </c>
      <c r="C14" s="5" t="s">
        <v>19</v>
      </c>
    </row>
    <row r="16" spans="1:3">
      <c r="A16" s="3" t="s">
        <v>20</v>
      </c>
    </row>
    <row r="17" spans="1:7">
      <c r="A17" t="s">
        <v>26</v>
      </c>
      <c r="B17" s="8">
        <v>0.17</v>
      </c>
      <c r="C17" s="8">
        <v>0.2</v>
      </c>
      <c r="D17" s="8">
        <v>0.22</v>
      </c>
      <c r="E17" s="8">
        <v>0.18</v>
      </c>
      <c r="F17" s="8">
        <v>0.15</v>
      </c>
    </row>
    <row r="18" spans="1:7">
      <c r="A18" t="s">
        <v>27</v>
      </c>
      <c r="B18" s="5">
        <f>"Per FY2026 guidance midpoint"</f>
        <v>0</v>
      </c>
      <c r="C18" s="5">
        <f>"Re-acceleration as DAU investments pay off"</f>
        <v>0</v>
      </c>
      <c r="D18" s="5">
        <f>"Peak re-acceleration as user base expands"</f>
        <v>0</v>
      </c>
      <c r="E18" s="5">
        <f>"Natural deceleration toward $1.5B+ revenue"</f>
        <v>0</v>
      </c>
      <c r="F18" s="5">
        <f>"Approaching steady-state growth"</f>
        <v>0</v>
      </c>
    </row>
    <row r="20" spans="1:7">
      <c r="A20" s="3" t="s">
        <v>29</v>
      </c>
    </row>
    <row r="21" spans="1:7">
      <c r="A21" t="s">
        <v>36</v>
      </c>
      <c r="B21" s="7">
        <f>$B$11*(1+B16)</f>
        <v>0</v>
      </c>
      <c r="C21" s="7">
        <f>B21*(1+C16)</f>
        <v>0</v>
      </c>
      <c r="D21" s="7">
        <f>C21*(1+D16)</f>
        <v>0</v>
      </c>
      <c r="E21" s="7">
        <f>D21*(1+E16)</f>
        <v>0</v>
      </c>
      <c r="F21" s="7">
        <f>E21*(1+F16)</f>
        <v>0</v>
      </c>
      <c r="G21" s="9" t="s">
        <v>35</v>
      </c>
    </row>
    <row r="22" spans="1:7">
      <c r="A22" t="s">
        <v>37</v>
      </c>
      <c r="B22" s="10">
        <f>1/(1+$B$13)^1</f>
        <v>0</v>
      </c>
      <c r="C22" s="10">
        <f>1/(1+$B$13)^2</f>
        <v>0</v>
      </c>
      <c r="D22" s="10">
        <f>1/(1+$B$13)^3</f>
        <v>0</v>
      </c>
      <c r="E22" s="10">
        <f>1/(1+$B$13)^4</f>
        <v>0</v>
      </c>
      <c r="F22" s="10">
        <f>1/(1+$B$13)^5</f>
        <v>0</v>
      </c>
    </row>
    <row r="23" spans="1:7">
      <c r="A23" t="s">
        <v>38</v>
      </c>
      <c r="B23" s="7">
        <f>B21*B22</f>
        <v>0</v>
      </c>
      <c r="C23" s="7">
        <f>C21*C22</f>
        <v>0</v>
      </c>
      <c r="D23" s="7">
        <f>D21*D22</f>
        <v>0</v>
      </c>
      <c r="E23" s="7">
        <f>E21*E22</f>
        <v>0</v>
      </c>
      <c r="F23" s="7">
        <f>F21*F22</f>
        <v>0</v>
      </c>
      <c r="G23" s="11">
        <f>SUM(B23:F23)</f>
        <v>0</v>
      </c>
    </row>
    <row r="25" spans="1:7">
      <c r="A25" s="3" t="s">
        <v>39</v>
      </c>
    </row>
    <row r="26" spans="1:7">
      <c r="A26" t="s">
        <v>40</v>
      </c>
      <c r="B26" s="7">
        <f>SUM(B23:F23)</f>
        <v>0</v>
      </c>
    </row>
    <row r="27" spans="1:7">
      <c r="A27" t="s">
        <v>41</v>
      </c>
      <c r="B27" s="7">
        <f>F21*(1+$B$14)</f>
        <v>0</v>
      </c>
    </row>
    <row r="28" spans="1:7">
      <c r="A28" t="s">
        <v>42</v>
      </c>
      <c r="B28" s="7">
        <f>B27/($B$13-$B$14)</f>
        <v>0</v>
      </c>
    </row>
    <row r="29" spans="1:7">
      <c r="A29" t="s">
        <v>43</v>
      </c>
      <c r="B29" s="7">
        <f>B28*F22</f>
        <v>0</v>
      </c>
    </row>
    <row r="30" spans="1:7">
      <c r="A30" t="s">
        <v>44</v>
      </c>
      <c r="B30" s="7">
        <f>B26+B29</f>
        <v>0</v>
      </c>
    </row>
    <row r="31" spans="1:7">
      <c r="A31" t="s">
        <v>45</v>
      </c>
      <c r="B31" s="7">
        <f>B10</f>
        <v>0</v>
      </c>
    </row>
    <row r="32" spans="1:7">
      <c r="A32" t="s">
        <v>46</v>
      </c>
      <c r="B32" s="7">
        <f>B30-B31</f>
        <v>0</v>
      </c>
    </row>
    <row r="34" spans="1:3">
      <c r="A34" s="12" t="s">
        <v>47</v>
      </c>
      <c r="B34" s="13">
        <f>B32/$B$7</f>
        <v>0</v>
      </c>
    </row>
    <row r="35" spans="1:3">
      <c r="A35" t="s">
        <v>48</v>
      </c>
      <c r="B35" s="14">
        <f>$B$6</f>
        <v>0</v>
      </c>
    </row>
    <row r="36" spans="1:3">
      <c r="A36" t="s">
        <v>49</v>
      </c>
      <c r="B36" s="15">
        <f>(B34-B35)/B35</f>
        <v>0</v>
      </c>
    </row>
    <row r="38" spans="1:3">
      <c r="A38" s="3" t="s">
        <v>50</v>
      </c>
    </row>
    <row r="39" spans="1:3">
      <c r="A39" t="s">
        <v>51</v>
      </c>
      <c r="B39" s="16">
        <f>B28/$B$7</f>
        <v>0</v>
      </c>
    </row>
    <row r="40" spans="1:3">
      <c r="A40" t="s">
        <v>52</v>
      </c>
      <c r="B40" s="17">
        <f>B39/(1.15^5)</f>
        <v>0</v>
      </c>
    </row>
    <row r="41" spans="1:3">
      <c r="A41" t="s">
        <v>53</v>
      </c>
      <c r="B41" s="18">
        <f>($B$6-B40)/$B$6</f>
        <v>0</v>
      </c>
      <c r="C41" s="5" t="s">
        <v>54</v>
      </c>
    </row>
    <row r="43" spans="1:3">
      <c r="A43" s="5" t="s">
        <v>55</v>
      </c>
    </row>
    <row r="44" spans="1:3">
      <c r="A44" s="5" t="s">
        <v>56</v>
      </c>
    </row>
    <row r="45" spans="1:3">
      <c r="A45" s="5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zoomScale="90" zoomScaleNormal="90" workbookViewId="0"/>
  </sheetViews>
  <sheetFormatPr defaultRowHeight="15"/>
  <cols>
    <col min="1" max="1" width="35.7109375" customWidth="1"/>
    <col min="2" max="4" width="16.7109375" customWidth="1"/>
    <col min="5" max="5" width="20.7109375" customWidth="1"/>
  </cols>
  <sheetData>
    <row r="1" spans="1:5">
      <c r="A1" s="1" t="s">
        <v>58</v>
      </c>
    </row>
    <row r="2" spans="1:5">
      <c r="A2" s="2" t="s">
        <v>59</v>
      </c>
    </row>
    <row r="4" spans="1:5">
      <c r="B4" s="19" t="s">
        <v>60</v>
      </c>
      <c r="C4" s="20" t="s">
        <v>61</v>
      </c>
      <c r="D4" s="21" t="s">
        <v>62</v>
      </c>
      <c r="E4" s="22" t="s">
        <v>63</v>
      </c>
    </row>
    <row r="5" spans="1:5">
      <c r="A5" s="12" t="s">
        <v>64</v>
      </c>
      <c r="B5" s="18">
        <v>0.25</v>
      </c>
      <c r="C5" s="18">
        <v>0.5</v>
      </c>
      <c r="D5" s="18">
        <v>0.25</v>
      </c>
      <c r="E5" s="23"/>
    </row>
    <row r="7" spans="1:5">
      <c r="A7" s="3" t="s">
        <v>65</v>
      </c>
    </row>
    <row r="8" spans="1:5">
      <c r="A8" t="s">
        <v>66</v>
      </c>
      <c r="B8" s="18">
        <v>0.115</v>
      </c>
      <c r="C8" s="18">
        <v>0.1</v>
      </c>
      <c r="D8" s="18">
        <v>0.09</v>
      </c>
      <c r="E8" s="23" t="s">
        <v>67</v>
      </c>
    </row>
    <row r="9" spans="1:5">
      <c r="A9" t="s">
        <v>68</v>
      </c>
      <c r="B9" s="18">
        <v>0.02</v>
      </c>
      <c r="C9" s="18">
        <v>0.03</v>
      </c>
      <c r="D9" s="18">
        <v>0.04</v>
      </c>
      <c r="E9" s="23" t="s">
        <v>69</v>
      </c>
    </row>
    <row r="10" spans="1:5">
      <c r="A10" t="s">
        <v>70</v>
      </c>
      <c r="B10" s="18">
        <v>0.28</v>
      </c>
      <c r="C10" s="18">
        <v>0.33</v>
      </c>
      <c r="D10" s="18">
        <v>0.36</v>
      </c>
      <c r="E10" s="23"/>
    </row>
    <row r="11" spans="1:5">
      <c r="A11" t="s">
        <v>71</v>
      </c>
      <c r="B11" s="18">
        <v>0.15</v>
      </c>
      <c r="C11" s="18">
        <v>0.17</v>
      </c>
      <c r="D11" s="18">
        <v>0.2</v>
      </c>
      <c r="E11" s="23"/>
    </row>
    <row r="12" spans="1:5">
      <c r="A12" t="s">
        <v>72</v>
      </c>
      <c r="B12" s="18">
        <v>0.06</v>
      </c>
      <c r="C12" s="18">
        <v>0.15</v>
      </c>
      <c r="D12" s="18">
        <v>0.18</v>
      </c>
      <c r="E12" s="23"/>
    </row>
    <row r="13" spans="1:5">
      <c r="A13" t="s">
        <v>73</v>
      </c>
      <c r="B13" s="5" t="s">
        <v>74</v>
      </c>
      <c r="C13" s="5" t="s">
        <v>75</v>
      </c>
      <c r="D13" s="5" t="s">
        <v>76</v>
      </c>
      <c r="E13" s="23"/>
    </row>
    <row r="15" spans="1:5">
      <c r="A15" s="3" t="s">
        <v>77</v>
      </c>
      <c r="B15" s="19" t="s">
        <v>78</v>
      </c>
      <c r="C15" s="20" t="s">
        <v>79</v>
      </c>
      <c r="D15" s="21" t="s">
        <v>80</v>
      </c>
      <c r="E15" s="22" t="s">
        <v>81</v>
      </c>
    </row>
    <row r="17" spans="1:5">
      <c r="A17" t="s">
        <v>82</v>
      </c>
      <c r="B17" s="7">
        <v>360.4</v>
      </c>
      <c r="C17" s="7">
        <v>360.4</v>
      </c>
      <c r="D17" s="7">
        <v>360.4</v>
      </c>
    </row>
    <row r="18" spans="1:5">
      <c r="A18" t="s">
        <v>83</v>
      </c>
      <c r="B18" s="7">
        <v>414.5</v>
      </c>
      <c r="C18" s="7">
        <v>421.7</v>
      </c>
      <c r="D18" s="7">
        <v>432.5</v>
      </c>
    </row>
    <row r="19" spans="1:5">
      <c r="A19" t="s">
        <v>84</v>
      </c>
      <c r="B19" s="7">
        <v>464.2</v>
      </c>
      <c r="C19" s="7">
        <v>506</v>
      </c>
      <c r="D19" s="7">
        <v>553.6</v>
      </c>
    </row>
    <row r="20" spans="1:5">
      <c r="A20" t="s">
        <v>85</v>
      </c>
      <c r="B20" s="7">
        <v>510.6</v>
      </c>
      <c r="C20" s="7">
        <v>617.3</v>
      </c>
      <c r="D20" s="7">
        <v>692</v>
      </c>
    </row>
    <row r="21" spans="1:5">
      <c r="A21" t="s">
        <v>86</v>
      </c>
      <c r="B21" s="7">
        <v>551.5</v>
      </c>
      <c r="C21" s="7">
        <v>728.4</v>
      </c>
      <c r="D21" s="7">
        <v>844.2</v>
      </c>
    </row>
    <row r="22" spans="1:5">
      <c r="A22" t="s">
        <v>87</v>
      </c>
      <c r="B22" s="7">
        <v>584.6</v>
      </c>
      <c r="C22" s="7">
        <v>837.7</v>
      </c>
      <c r="D22" s="7">
        <v>996.2</v>
      </c>
    </row>
    <row r="23" spans="1:5">
      <c r="A23" s="3" t="s">
        <v>88</v>
      </c>
    </row>
    <row r="25" spans="1:5">
      <c r="A25" t="s">
        <v>89</v>
      </c>
      <c r="B25" s="7">
        <v>1809.4</v>
      </c>
      <c r="C25" s="7">
        <v>2283</v>
      </c>
      <c r="D25" s="7">
        <v>2642.5</v>
      </c>
    </row>
    <row r="26" spans="1:5">
      <c r="A26" t="s">
        <v>90</v>
      </c>
      <c r="B26" s="7">
        <v>6276.2</v>
      </c>
      <c r="C26" s="7">
        <v>12326.2</v>
      </c>
      <c r="D26" s="7">
        <v>20720.1</v>
      </c>
    </row>
    <row r="27" spans="1:5">
      <c r="A27" t="s">
        <v>43</v>
      </c>
      <c r="B27" s="7">
        <v>3641.9</v>
      </c>
      <c r="C27" s="7">
        <v>7653.6</v>
      </c>
      <c r="D27" s="7">
        <v>13466.6</v>
      </c>
    </row>
    <row r="28" spans="1:5">
      <c r="A28" t="s">
        <v>44</v>
      </c>
      <c r="B28" s="7">
        <v>5451.3</v>
      </c>
      <c r="C28" s="7">
        <v>9936.6</v>
      </c>
      <c r="D28" s="7">
        <v>16109.1</v>
      </c>
    </row>
    <row r="29" spans="1:5">
      <c r="A29" s="12" t="s">
        <v>47</v>
      </c>
      <c r="B29" s="13">
        <v>130.28</v>
      </c>
      <c r="C29" s="13">
        <v>220.34</v>
      </c>
      <c r="D29" s="13">
        <v>344.29</v>
      </c>
      <c r="E29" s="17">
        <v>228.81</v>
      </c>
    </row>
    <row r="30" spans="1:5">
      <c r="A30" t="s">
        <v>48</v>
      </c>
      <c r="B30" s="14">
        <v>117.45</v>
      </c>
      <c r="C30" s="14">
        <v>117.45</v>
      </c>
      <c r="D30" s="14">
        <v>117.45</v>
      </c>
      <c r="E30" s="14">
        <v>117.45</v>
      </c>
    </row>
    <row r="31" spans="1:5">
      <c r="A31" t="s">
        <v>49</v>
      </c>
      <c r="B31" s="18">
        <v>0.109</v>
      </c>
      <c r="C31" s="18">
        <v>0.8759999999999999</v>
      </c>
      <c r="D31" s="18">
        <v>1.931</v>
      </c>
      <c r="E31" s="18">
        <v>0.9481481481481481</v>
      </c>
    </row>
    <row r="33" spans="1:5">
      <c r="A33" s="3" t="s">
        <v>91</v>
      </c>
    </row>
    <row r="34" spans="1:5">
      <c r="A34" t="s">
        <v>92</v>
      </c>
      <c r="B34" s="16">
        <v>126.03</v>
      </c>
      <c r="C34" s="16">
        <v>247.51</v>
      </c>
      <c r="D34" s="16">
        <v>416.07</v>
      </c>
    </row>
    <row r="35" spans="1:5">
      <c r="A35" t="s">
        <v>93</v>
      </c>
      <c r="B35" s="17">
        <v>62.66</v>
      </c>
      <c r="C35" s="17">
        <v>123.06</v>
      </c>
      <c r="D35" s="17">
        <v>206.86</v>
      </c>
      <c r="E35" s="5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zoomScale="90" zoomScaleNormal="90" workbookViewId="0"/>
  </sheetViews>
  <sheetFormatPr defaultRowHeight="15"/>
  <cols>
    <col min="1" max="1" width="22.7109375" customWidth="1"/>
    <col min="2" max="6" width="14.7109375" customWidth="1"/>
  </cols>
  <sheetData>
    <row r="1" spans="1:6">
      <c r="A1" s="1" t="s">
        <v>95</v>
      </c>
    </row>
    <row r="2" spans="1:6">
      <c r="A2" s="2" t="s">
        <v>96</v>
      </c>
    </row>
    <row r="3" spans="1:6">
      <c r="A3" s="5" t="s">
        <v>97</v>
      </c>
    </row>
    <row r="5" spans="1:6">
      <c r="A5" s="9" t="s">
        <v>98</v>
      </c>
      <c r="B5" s="22" t="s">
        <v>99</v>
      </c>
      <c r="C5" s="22" t="s">
        <v>100</v>
      </c>
      <c r="D5" s="22" t="s">
        <v>101</v>
      </c>
      <c r="E5" s="22" t="s">
        <v>102</v>
      </c>
      <c r="F5" s="22" t="s">
        <v>103</v>
      </c>
    </row>
    <row r="6" spans="1:6">
      <c r="A6" s="9" t="s">
        <v>104</v>
      </c>
      <c r="B6" s="24">
        <v>264.02</v>
      </c>
      <c r="C6" s="24">
        <v>282.76</v>
      </c>
      <c r="D6" s="24">
        <v>305.24</v>
      </c>
      <c r="E6" s="24">
        <v>332.72</v>
      </c>
      <c r="F6" s="24">
        <v>367.06</v>
      </c>
    </row>
    <row r="7" spans="1:6">
      <c r="A7" s="9" t="s">
        <v>105</v>
      </c>
      <c r="B7" s="24">
        <v>227.3</v>
      </c>
      <c r="C7" s="24">
        <v>240.4</v>
      </c>
      <c r="D7" s="24">
        <v>255.68</v>
      </c>
      <c r="E7" s="24">
        <v>273.73</v>
      </c>
      <c r="F7" s="24">
        <v>295.4</v>
      </c>
    </row>
    <row r="8" spans="1:6">
      <c r="A8" s="9" t="s">
        <v>106</v>
      </c>
      <c r="B8" s="24">
        <v>199.83</v>
      </c>
      <c r="C8" s="24">
        <v>209.4</v>
      </c>
      <c r="D8" s="24">
        <v>220.34</v>
      </c>
      <c r="E8" s="24">
        <v>232.97</v>
      </c>
      <c r="F8" s="24">
        <v>247.7</v>
      </c>
    </row>
    <row r="9" spans="1:6">
      <c r="A9" s="9" t="s">
        <v>107</v>
      </c>
      <c r="B9" s="24">
        <v>178.51</v>
      </c>
      <c r="C9" s="24">
        <v>185.75</v>
      </c>
      <c r="D9" s="24">
        <v>193.9</v>
      </c>
      <c r="E9" s="24">
        <v>203.13</v>
      </c>
      <c r="F9" s="24">
        <v>213.68</v>
      </c>
    </row>
    <row r="10" spans="1:6">
      <c r="A10" s="9" t="s">
        <v>108</v>
      </c>
      <c r="B10" s="25">
        <v>161.49</v>
      </c>
      <c r="C10" s="25">
        <v>167.12</v>
      </c>
      <c r="D10" s="25">
        <v>173.37</v>
      </c>
      <c r="E10" s="24">
        <v>180.36</v>
      </c>
      <c r="F10" s="24">
        <v>188.22</v>
      </c>
    </row>
    <row r="12" spans="1:6">
      <c r="A12" s="12" t="s">
        <v>109</v>
      </c>
      <c r="B12" s="26" t="s">
        <v>110</v>
      </c>
      <c r="C12" s="27" t="s">
        <v>111</v>
      </c>
      <c r="D12" s="28" t="s">
        <v>112</v>
      </c>
    </row>
    <row r="14" spans="1:6">
      <c r="A14" s="12" t="s">
        <v>113</v>
      </c>
    </row>
    <row r="15" spans="1:6">
      <c r="A15" s="5" t="s">
        <v>114</v>
      </c>
    </row>
    <row r="16" spans="1:6">
      <c r="A16" s="5" t="s">
        <v>115</v>
      </c>
    </row>
    <row r="17" spans="1:6">
      <c r="A17" s="5" t="s">
        <v>116</v>
      </c>
    </row>
    <row r="18" spans="1:6">
      <c r="A18" s="5" t="s">
        <v>117</v>
      </c>
    </row>
    <row r="19" spans="1:6">
      <c r="A19" s="5" t="s">
        <v>118</v>
      </c>
    </row>
    <row r="22" spans="1:6">
      <c r="A22" s="3" t="s">
        <v>119</v>
      </c>
    </row>
    <row r="23" spans="1:6">
      <c r="A23" s="2" t="s">
        <v>120</v>
      </c>
    </row>
    <row r="25" spans="1:6">
      <c r="A25" s="9" t="s">
        <v>98</v>
      </c>
      <c r="B25" s="22" t="s">
        <v>99</v>
      </c>
      <c r="C25" s="22" t="s">
        <v>100</v>
      </c>
      <c r="D25" s="22" t="s">
        <v>101</v>
      </c>
      <c r="E25" s="22" t="s">
        <v>102</v>
      </c>
      <c r="F25" s="22" t="s">
        <v>103</v>
      </c>
    </row>
    <row r="26" spans="1:6">
      <c r="A26" s="9" t="s">
        <v>104</v>
      </c>
      <c r="B26" s="24">
        <v>142.17</v>
      </c>
      <c r="C26" s="24">
        <v>155.86</v>
      </c>
      <c r="D26" s="24">
        <v>172.28</v>
      </c>
      <c r="E26" s="24">
        <v>192.35</v>
      </c>
      <c r="F26" s="24">
        <v>217.44</v>
      </c>
    </row>
    <row r="27" spans="1:6">
      <c r="A27" s="9" t="s">
        <v>105</v>
      </c>
      <c r="B27" s="24">
        <v>121.86</v>
      </c>
      <c r="C27" s="24">
        <v>131.88</v>
      </c>
      <c r="D27" s="24">
        <v>143.57</v>
      </c>
      <c r="E27" s="24">
        <v>157.38</v>
      </c>
      <c r="F27" s="24">
        <v>173.95</v>
      </c>
    </row>
    <row r="28" spans="1:6">
      <c r="A28" s="9" t="s">
        <v>106</v>
      </c>
      <c r="B28" s="29">
        <v>106.63</v>
      </c>
      <c r="C28" s="29">
        <v>114.3</v>
      </c>
      <c r="D28" s="24">
        <v>123.06</v>
      </c>
      <c r="E28" s="24">
        <v>133.17</v>
      </c>
      <c r="F28" s="24">
        <v>144.96</v>
      </c>
    </row>
    <row r="29" spans="1:6">
      <c r="A29" s="9" t="s">
        <v>107</v>
      </c>
      <c r="B29" s="29">
        <v>94.78</v>
      </c>
      <c r="C29" s="29">
        <v>100.85</v>
      </c>
      <c r="D29" s="29">
        <v>107.68</v>
      </c>
      <c r="E29" s="29">
        <v>115.41</v>
      </c>
      <c r="F29" s="24">
        <v>124.25</v>
      </c>
    </row>
    <row r="30" spans="1:6">
      <c r="A30" s="9" t="s">
        <v>108</v>
      </c>
      <c r="B30" s="29">
        <v>85.3</v>
      </c>
      <c r="C30" s="29">
        <v>90.23</v>
      </c>
      <c r="D30" s="29">
        <v>95.70999999999999</v>
      </c>
      <c r="E30" s="29">
        <v>101.83</v>
      </c>
      <c r="F30" s="29">
        <v>108.72</v>
      </c>
    </row>
    <row r="32" spans="1:6">
      <c r="A32" s="5" t="s">
        <v>121</v>
      </c>
    </row>
    <row r="33" spans="1:1">
      <c r="A33" s="5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zoomScale="90" zoomScaleNormal="90" workbookViewId="0"/>
  </sheetViews>
  <sheetFormatPr defaultRowHeight="15"/>
  <cols>
    <col min="1" max="1" width="30.7109375" customWidth="1"/>
    <col min="2" max="6" width="16.7109375" customWidth="1"/>
  </cols>
  <sheetData>
    <row r="1" spans="1:6">
      <c r="A1" s="1" t="s">
        <v>123</v>
      </c>
    </row>
    <row r="2" spans="1:6">
      <c r="A2" s="2" t="s">
        <v>124</v>
      </c>
    </row>
    <row r="4" spans="1:6">
      <c r="A4" s="3" t="s">
        <v>125</v>
      </c>
    </row>
    <row r="5" spans="1:6">
      <c r="A5" s="9" t="s">
        <v>126</v>
      </c>
      <c r="B5" s="22" t="s">
        <v>127</v>
      </c>
      <c r="C5" s="22" t="s">
        <v>128</v>
      </c>
      <c r="D5" s="22" t="s">
        <v>129</v>
      </c>
      <c r="E5" s="22" t="s">
        <v>130</v>
      </c>
    </row>
    <row r="7" spans="1:6">
      <c r="A7" t="s">
        <v>131</v>
      </c>
      <c r="B7" s="7" t="s">
        <v>132</v>
      </c>
      <c r="C7" s="7" t="s">
        <v>133</v>
      </c>
      <c r="D7" s="23" t="s">
        <v>134</v>
      </c>
      <c r="E7" s="5" t="s">
        <v>135</v>
      </c>
    </row>
    <row r="8" spans="1:6">
      <c r="A8" t="s">
        <v>136</v>
      </c>
      <c r="B8" s="7" t="s">
        <v>137</v>
      </c>
      <c r="C8" s="7" t="s">
        <v>138</v>
      </c>
      <c r="D8" s="23" t="s">
        <v>139</v>
      </c>
      <c r="E8" s="5" t="s">
        <v>140</v>
      </c>
    </row>
    <row r="9" spans="1:6">
      <c r="A9" t="s">
        <v>141</v>
      </c>
      <c r="B9" s="7" t="s">
        <v>142</v>
      </c>
      <c r="C9" s="23" t="s">
        <v>143</v>
      </c>
      <c r="D9" s="23" t="s">
        <v>144</v>
      </c>
      <c r="E9" s="5" t="s">
        <v>145</v>
      </c>
    </row>
    <row r="10" spans="1:6">
      <c r="A10" t="s">
        <v>146</v>
      </c>
      <c r="B10" s="23" t="s">
        <v>143</v>
      </c>
      <c r="C10" s="23" t="s">
        <v>143</v>
      </c>
      <c r="D10" s="23" t="s">
        <v>147</v>
      </c>
      <c r="E10" s="5" t="s">
        <v>148</v>
      </c>
    </row>
    <row r="13" spans="1:6">
      <c r="A13" s="3" t="s">
        <v>149</v>
      </c>
    </row>
    <row r="14" spans="1:6">
      <c r="A14" s="9" t="s">
        <v>126</v>
      </c>
      <c r="B14" s="22" t="s">
        <v>150</v>
      </c>
      <c r="C14" s="22" t="s">
        <v>151</v>
      </c>
      <c r="D14" s="22" t="s">
        <v>152</v>
      </c>
      <c r="E14" s="22" t="s">
        <v>153</v>
      </c>
      <c r="F14" s="22" t="s">
        <v>154</v>
      </c>
    </row>
    <row r="15" spans="1:6">
      <c r="A15" t="s">
        <v>155</v>
      </c>
      <c r="B15" s="7">
        <v>369.5</v>
      </c>
      <c r="C15" s="7">
        <v>531.1</v>
      </c>
      <c r="D15" s="7">
        <v>748</v>
      </c>
      <c r="E15" s="7">
        <v>1037.6</v>
      </c>
      <c r="F15" s="23" t="s">
        <v>156</v>
      </c>
    </row>
    <row r="16" spans="1:6">
      <c r="A16" t="s">
        <v>157</v>
      </c>
      <c r="B16" s="7">
        <v>73.3</v>
      </c>
      <c r="C16" s="7">
        <v>142.2</v>
      </c>
      <c r="D16" s="7">
        <v>218</v>
      </c>
      <c r="E16" s="7">
        <v>360.4</v>
      </c>
      <c r="F16" s="23" t="s">
        <v>158</v>
      </c>
    </row>
    <row r="17" spans="1:6">
      <c r="A17" t="s">
        <v>159</v>
      </c>
      <c r="B17" s="7">
        <v>19.8</v>
      </c>
      <c r="C17" s="7">
        <v>26.8</v>
      </c>
      <c r="D17" s="7">
        <v>29.1</v>
      </c>
      <c r="E17" s="7">
        <v>34.7</v>
      </c>
      <c r="F17" s="23" t="s">
        <v>160</v>
      </c>
    </row>
    <row r="18" spans="1:6">
      <c r="A18" t="s">
        <v>161</v>
      </c>
      <c r="B18" s="23" t="s">
        <v>143</v>
      </c>
      <c r="C18" s="23" t="s">
        <v>143</v>
      </c>
      <c r="D18" s="23" t="s">
        <v>162</v>
      </c>
      <c r="E18" s="23" t="s">
        <v>163</v>
      </c>
      <c r="F18" s="23" t="s">
        <v>164</v>
      </c>
    </row>
    <row r="19" spans="1:6">
      <c r="A19" t="s">
        <v>165</v>
      </c>
      <c r="B19" s="23" t="s">
        <v>143</v>
      </c>
      <c r="C19" s="7">
        <v>584.8</v>
      </c>
      <c r="D19" s="7">
        <v>882</v>
      </c>
      <c r="E19" s="7">
        <v>1347</v>
      </c>
      <c r="F19" s="23" t="s">
        <v>143</v>
      </c>
    </row>
    <row r="20" spans="1:6">
      <c r="A20" t="s">
        <v>166</v>
      </c>
      <c r="B20" s="7">
        <v>14.9</v>
      </c>
      <c r="C20" s="7">
        <v>24.2</v>
      </c>
      <c r="D20" s="7">
        <v>40.5</v>
      </c>
      <c r="E20" s="7">
        <v>52.7</v>
      </c>
      <c r="F20" s="23" t="s">
        <v>167</v>
      </c>
    </row>
    <row r="21" spans="1:6">
      <c r="A21" t="s">
        <v>168</v>
      </c>
      <c r="B21" s="7">
        <v>4.2</v>
      </c>
      <c r="C21" s="7">
        <v>6.6</v>
      </c>
      <c r="D21" s="7">
        <v>9.5</v>
      </c>
      <c r="E21" s="7">
        <v>12.2</v>
      </c>
      <c r="F21" s="23" t="s">
        <v>169</v>
      </c>
    </row>
    <row r="22" spans="1:6">
      <c r="A22" t="s">
        <v>170</v>
      </c>
      <c r="B22" s="23" t="s">
        <v>143</v>
      </c>
      <c r="C22" s="23" t="s">
        <v>171</v>
      </c>
      <c r="D22" s="23" t="s">
        <v>172</v>
      </c>
      <c r="E22" s="23" t="s">
        <v>173</v>
      </c>
      <c r="F22" s="23" t="s">
        <v>174</v>
      </c>
    </row>
    <row r="25" spans="1:6">
      <c r="A25" s="3" t="s">
        <v>175</v>
      </c>
    </row>
    <row r="26" spans="1:6">
      <c r="A26" s="9" t="s">
        <v>126</v>
      </c>
      <c r="B26" s="22" t="s">
        <v>176</v>
      </c>
      <c r="C26" s="22" t="s">
        <v>177</v>
      </c>
      <c r="D26" s="22" t="s">
        <v>130</v>
      </c>
    </row>
    <row r="27" spans="1:6">
      <c r="A27" t="s">
        <v>131</v>
      </c>
      <c r="B27" s="23" t="s">
        <v>178</v>
      </c>
      <c r="C27" s="23" t="s">
        <v>179</v>
      </c>
      <c r="D27" s="5" t="s">
        <v>180</v>
      </c>
    </row>
    <row r="28" spans="1:6">
      <c r="A28" t="s">
        <v>181</v>
      </c>
      <c r="B28" s="23" t="s">
        <v>182</v>
      </c>
      <c r="C28" s="23" t="s">
        <v>183</v>
      </c>
      <c r="D28" s="5" t="s">
        <v>184</v>
      </c>
    </row>
    <row r="29" spans="1:6">
      <c r="A29" t="s">
        <v>185</v>
      </c>
      <c r="B29" s="23" t="s">
        <v>186</v>
      </c>
      <c r="C29" s="23" t="s">
        <v>187</v>
      </c>
      <c r="D29" s="5" t="s">
        <v>188</v>
      </c>
    </row>
    <row r="30" spans="1:6">
      <c r="A30" t="s">
        <v>189</v>
      </c>
      <c r="B30" s="23" t="s">
        <v>190</v>
      </c>
      <c r="C30" s="23" t="s">
        <v>191</v>
      </c>
      <c r="D30" s="5" t="s">
        <v>192</v>
      </c>
    </row>
    <row r="31" spans="1:6">
      <c r="A31" t="s">
        <v>193</v>
      </c>
      <c r="B31" s="23" t="s">
        <v>194</v>
      </c>
      <c r="C31" s="23" t="s">
        <v>195</v>
      </c>
      <c r="D31" s="5" t="s">
        <v>196</v>
      </c>
    </row>
    <row r="32" spans="1:6">
      <c r="A32" t="s">
        <v>197</v>
      </c>
      <c r="B32" s="23" t="s">
        <v>198</v>
      </c>
      <c r="C32" s="23" t="s">
        <v>199</v>
      </c>
      <c r="D32" s="5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3"/>
  <sheetViews>
    <sheetView zoomScale="90" zoomScaleNormal="90" workbookViewId="0"/>
  </sheetViews>
  <sheetFormatPr defaultRowHeight="15"/>
  <cols>
    <col min="1" max="1" width="35.7109375" customWidth="1"/>
    <col min="2" max="2" width="22.7109375" customWidth="1"/>
    <col min="3" max="3" width="40.7109375" customWidth="1"/>
  </cols>
  <sheetData>
    <row r="1" spans="1:3">
      <c r="A1" s="1" t="s">
        <v>201</v>
      </c>
    </row>
    <row r="2" spans="1:3">
      <c r="A2" s="2" t="s">
        <v>202</v>
      </c>
    </row>
    <row r="4" spans="1:3">
      <c r="A4" s="3" t="s">
        <v>203</v>
      </c>
    </row>
    <row r="5" spans="1:3">
      <c r="A5" s="9" t="s">
        <v>126</v>
      </c>
      <c r="B5" s="22" t="s">
        <v>204</v>
      </c>
      <c r="C5" s="22" t="s">
        <v>205</v>
      </c>
    </row>
    <row r="6" spans="1:3">
      <c r="A6" t="s">
        <v>48</v>
      </c>
      <c r="B6" s="23" t="s">
        <v>206</v>
      </c>
      <c r="C6" s="5" t="s">
        <v>207</v>
      </c>
    </row>
    <row r="7" spans="1:3">
      <c r="A7" t="s">
        <v>208</v>
      </c>
      <c r="B7" s="23" t="s">
        <v>209</v>
      </c>
      <c r="C7" s="5" t="s">
        <v>210</v>
      </c>
    </row>
    <row r="8" spans="1:3">
      <c r="A8" t="s">
        <v>211</v>
      </c>
      <c r="B8" s="23" t="s">
        <v>212</v>
      </c>
      <c r="C8" s="5" t="s">
        <v>213</v>
      </c>
    </row>
    <row r="9" spans="1:3">
      <c r="A9" t="s">
        <v>214</v>
      </c>
      <c r="B9" s="23" t="s">
        <v>215</v>
      </c>
      <c r="C9" s="5" t="s">
        <v>216</v>
      </c>
    </row>
    <row r="10" spans="1:3">
      <c r="A10" t="s">
        <v>217</v>
      </c>
      <c r="B10" s="23" t="s">
        <v>218</v>
      </c>
      <c r="C10" s="5" t="s">
        <v>219</v>
      </c>
    </row>
    <row r="11" spans="1:3">
      <c r="A11" t="s">
        <v>220</v>
      </c>
      <c r="B11" s="23" t="s">
        <v>221</v>
      </c>
      <c r="C11" s="5" t="s">
        <v>222</v>
      </c>
    </row>
    <row r="12" spans="1:3">
      <c r="A12" t="s">
        <v>223</v>
      </c>
      <c r="B12" s="23" t="s">
        <v>224</v>
      </c>
      <c r="C12" s="5" t="s">
        <v>225</v>
      </c>
    </row>
    <row r="13" spans="1:3">
      <c r="A13" t="s">
        <v>226</v>
      </c>
      <c r="B13" s="23" t="s">
        <v>227</v>
      </c>
      <c r="C13" s="5" t="s">
        <v>228</v>
      </c>
    </row>
    <row r="14" spans="1:3">
      <c r="A14" t="s">
        <v>229</v>
      </c>
      <c r="B14" s="23" t="s">
        <v>230</v>
      </c>
      <c r="C14" s="5" t="s">
        <v>231</v>
      </c>
    </row>
    <row r="15" spans="1:3">
      <c r="A15" t="s">
        <v>232</v>
      </c>
      <c r="B15" s="23" t="s">
        <v>233</v>
      </c>
      <c r="C15" s="5" t="s">
        <v>234</v>
      </c>
    </row>
    <row r="16" spans="1:3">
      <c r="A16" t="s">
        <v>235</v>
      </c>
      <c r="B16" s="23" t="s">
        <v>236</v>
      </c>
      <c r="C16" s="5" t="s">
        <v>237</v>
      </c>
    </row>
    <row r="17" spans="1:3">
      <c r="A17" t="s">
        <v>238</v>
      </c>
      <c r="B17" s="23" t="s">
        <v>239</v>
      </c>
      <c r="C17" s="5" t="s">
        <v>240</v>
      </c>
    </row>
    <row r="18" spans="1:3">
      <c r="A18" t="s">
        <v>241</v>
      </c>
      <c r="B18" s="23" t="s">
        <v>242</v>
      </c>
      <c r="C18" s="5" t="s">
        <v>243</v>
      </c>
    </row>
    <row r="19" spans="1:3">
      <c r="A19" t="s">
        <v>244</v>
      </c>
      <c r="B19" s="23" t="s">
        <v>245</v>
      </c>
      <c r="C19" s="5" t="s">
        <v>246</v>
      </c>
    </row>
    <row r="21" spans="1:3">
      <c r="A21" s="3" t="s">
        <v>247</v>
      </c>
    </row>
    <row r="22" spans="1:3">
      <c r="A22" s="5" t="s">
        <v>248</v>
      </c>
    </row>
    <row r="23" spans="1:3">
      <c r="A23" s="5" t="s">
        <v>249</v>
      </c>
    </row>
    <row r="24" spans="1:3">
      <c r="A24" s="5" t="s">
        <v>250</v>
      </c>
    </row>
    <row r="25" spans="1:3">
      <c r="A25" s="5" t="s">
        <v>251</v>
      </c>
    </row>
    <row r="26" spans="1:3">
      <c r="A26" s="5" t="s">
        <v>252</v>
      </c>
    </row>
    <row r="27" spans="1:3">
      <c r="A27" s="5" t="s">
        <v>253</v>
      </c>
    </row>
    <row r="28" spans="1:3">
      <c r="A28" s="5" t="s">
        <v>254</v>
      </c>
    </row>
    <row r="30" spans="1:3">
      <c r="A30" s="3" t="s">
        <v>255</v>
      </c>
    </row>
    <row r="31" spans="1:3">
      <c r="A31" s="5" t="s">
        <v>256</v>
      </c>
    </row>
    <row r="32" spans="1:3">
      <c r="A32" s="5" t="s">
        <v>257</v>
      </c>
    </row>
    <row r="33" spans="1:1">
      <c r="A33" s="5" t="s">
        <v>258</v>
      </c>
    </row>
    <row r="34" spans="1:1">
      <c r="A34" s="5" t="s">
        <v>259</v>
      </c>
    </row>
    <row r="35" spans="1:1">
      <c r="A35" s="5" t="s">
        <v>260</v>
      </c>
    </row>
    <row r="36" spans="1:1">
      <c r="A36" s="5" t="s">
        <v>261</v>
      </c>
    </row>
    <row r="38" spans="1:1">
      <c r="A38" s="3" t="s">
        <v>262</v>
      </c>
    </row>
    <row r="39" spans="1:1">
      <c r="A39" s="5" t="s">
        <v>263</v>
      </c>
    </row>
    <row r="40" spans="1:1">
      <c r="A40" s="5" t="s">
        <v>264</v>
      </c>
    </row>
    <row r="41" spans="1:1">
      <c r="A41" s="5" t="s">
        <v>265</v>
      </c>
    </row>
    <row r="42" spans="1:1">
      <c r="A42" s="5" t="s">
        <v>266</v>
      </c>
    </row>
    <row r="43" spans="1:1">
      <c r="A43" s="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Scenarios</vt:lpstr>
      <vt:lpstr>Sensitivity</vt:lpstr>
      <vt:lpstr>Historical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2026-02-26T22:20:34Z</dcterms:created>
  <dcterms:modified xsi:type="dcterms:W3CDTF">2026-02-26T22:20:34Z</dcterms:modified>
</cp:coreProperties>
</file>