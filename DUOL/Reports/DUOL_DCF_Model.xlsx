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CF Model" sheetId="1" r:id="rId1"/>
    <sheet name="Sensitivity" sheetId="2" r:id="rId2"/>
    <sheet name="Scenarios" sheetId="3" r:id="rId3"/>
    <sheet name="Historical" sheetId="4" r:id="rId4"/>
    <sheet name="Investment Summary" sheetId="5" r:id="rId5"/>
  </sheets>
  <calcPr calcId="124519" fullCalcOnLoad="1"/>
</workbook>
</file>

<file path=xl/sharedStrings.xml><?xml version="1.0" encoding="utf-8"?>
<sst xmlns="http://schemas.openxmlformats.org/spreadsheetml/2006/main" count="107" uniqueCount="97">
  <si>
    <t>DUOL DCF Valuation Model</t>
  </si>
  <si>
    <t>Gray cells are INPUTS - adjust to see valuation change</t>
  </si>
  <si>
    <t>Valuation Date: 2026-02-03 | Current Price: $132.16</t>
  </si>
  <si>
    <t>KEY INPUTS</t>
  </si>
  <si>
    <t>Current Stock Price</t>
  </si>
  <si>
    <t>Shares Outstanding (M)</t>
  </si>
  <si>
    <t>Cash &amp; Equivalents (M)</t>
  </si>
  <si>
    <t>Total Debt (M)</t>
  </si>
  <si>
    <t>Net Debt (M)</t>
  </si>
  <si>
    <t>Base Year FCF (M)</t>
  </si>
  <si>
    <t>WACC</t>
  </si>
  <si>
    <t>Terminal Growth Rate</t>
  </si>
  <si>
    <t>GROWTH ASSUMPTIONS</t>
  </si>
  <si>
    <t>FCF Growth Rate</t>
  </si>
  <si>
    <t>Year 1</t>
  </si>
  <si>
    <t>Year 2</t>
  </si>
  <si>
    <t>Year 3</t>
  </si>
  <si>
    <t>Year 4</t>
  </si>
  <si>
    <t>Year 5</t>
  </si>
  <si>
    <t>FCF Margin %</t>
  </si>
  <si>
    <t>PROJECTIONS</t>
  </si>
  <si>
    <t>Base</t>
  </si>
  <si>
    <t>Revenue</t>
  </si>
  <si>
    <t>Free Cash Flow</t>
  </si>
  <si>
    <t>Discount Factor</t>
  </si>
  <si>
    <t>PV of FCF</t>
  </si>
  <si>
    <t>VALUATION</t>
  </si>
  <si>
    <t>Sum of PV of FCF</t>
  </si>
  <si>
    <t>Terminal FCF (Year 5 * (1+g))</t>
  </si>
  <si>
    <t>Terminal Value</t>
  </si>
  <si>
    <t>PV of Terminal Value</t>
  </si>
  <si>
    <t>Enterprise Value</t>
  </si>
  <si>
    <t>Less: Net Debt</t>
  </si>
  <si>
    <t>Equity Value</t>
  </si>
  <si>
    <t>INTRINSIC VALUE/SHARE</t>
  </si>
  <si>
    <t>Upside to IV (%)</t>
  </si>
  <si>
    <t>ENTRY PRICE (15% CAGR Target)</t>
  </si>
  <si>
    <t>Terminal Value per Share</t>
  </si>
  <si>
    <t>Entry Price (15% CAGR)</t>
  </si>
  <si>
    <t>Entry vs Current (%)</t>
  </si>
  <si>
    <t>Margin of Safety (%)</t>
  </si>
  <si>
    <t>Sensitivity Analysis</t>
  </si>
  <si>
    <t>Intrinsic Value by WACC &amp; Terminal Growth</t>
  </si>
  <si>
    <t>WACC \ Term G</t>
  </si>
  <si>
    <t>Current Assumptions:</t>
  </si>
  <si>
    <t>WACC:</t>
  </si>
  <si>
    <t>Terminal Growth:</t>
  </si>
  <si>
    <t>Base Case IV:</t>
  </si>
  <si>
    <t>Scenario Comparison</t>
  </si>
  <si>
    <t>Current Price: $132.16</t>
  </si>
  <si>
    <t>Bear Case</t>
  </si>
  <si>
    <t>Base Case</t>
  </si>
  <si>
    <t>Bull Case</t>
  </si>
  <si>
    <t>ASSUMPTIONS</t>
  </si>
  <si>
    <t>Yr 1 Growth Rate</t>
  </si>
  <si>
    <t>Yr 5 Growth Rate</t>
  </si>
  <si>
    <t>FCF Margin</t>
  </si>
  <si>
    <t>Terminal Growth</t>
  </si>
  <si>
    <t>VALUATION RESULTS</t>
  </si>
  <si>
    <t>Intrinsic Value</t>
  </si>
  <si>
    <t>Upside to IV</t>
  </si>
  <si>
    <t>Margin of Safety</t>
  </si>
  <si>
    <t>PROBABILITY WEIGHTED</t>
  </si>
  <si>
    <t>Probability</t>
  </si>
  <si>
    <t>Weighted IV</t>
  </si>
  <si>
    <t>Weighted Upside</t>
  </si>
  <si>
    <t>Historical Growth Rates</t>
  </si>
  <si>
    <t>Metric</t>
  </si>
  <si>
    <t>2-Year CAGR</t>
  </si>
  <si>
    <t>3-Year CAGR</t>
  </si>
  <si>
    <t>Shareholders Equity</t>
  </si>
  <si>
    <t>Selected Growth Rate:</t>
  </si>
  <si>
    <t>Source:</t>
  </si>
  <si>
    <t>revenue_2yr_cagr</t>
  </si>
  <si>
    <t>Notes:</t>
  </si>
  <si>
    <t>Company recently inflected to consistent profitability (FY2024+), so historical equity/EPS less relevant. Revenue and FCF growth rates more reliable for projections. DAU growth decelerating from 54% (2023) to 36% (Q3 2025) to 30% (Q4 2025E).</t>
  </si>
  <si>
    <t>Investment Recommendation</t>
  </si>
  <si>
    <t>Rating:</t>
  </si>
  <si>
    <t>BUY</t>
  </si>
  <si>
    <t>Confidence:</t>
  </si>
  <si>
    <t>MODERATE</t>
  </si>
  <si>
    <t>Time Horizon:</t>
  </si>
  <si>
    <t>3-5 years</t>
  </si>
  <si>
    <t>RATIONALE</t>
  </si>
  <si>
    <t>Duolingo is trading at a meaningful discount to its probability-weighted intrinsic value ($204 vs $132 current price), offering 55% potential upside. The company has a clear path to sustained high growth (25-35%) with margin expansion, driven by Max tier adoption, international expansion, and operating leverage. Strong balance sheet ($1.1B cash, no debt) provides downside protection. However, meaningful risks exist: DAU growth is decelerating significantly (30% in Q4 2025 vs 54% in 2023), AI disruption from ChatGPT/Claude is real, and the recent CFO departure raises execution concerns. The low 8.8% conversion rate suggests monetization challenges. For investors with 3-5 year horizon who believe in AI-powered differentiation and management's ability to navigate competitive threats, current valuation offers attractive risk/reward. Not suitable for investors concerned about near-term growth deceleration or AI disruption risk.</t>
  </si>
  <si>
    <t>ENTRY TARGETS</t>
  </si>
  <si>
    <t>Aggressive:</t>
  </si>
  <si>
    <t>Moderate:</t>
  </si>
  <si>
    <t>Conservative:</t>
  </si>
  <si>
    <t>PRICE TARGETS</t>
  </si>
  <si>
    <t>12-Month:</t>
  </si>
  <si>
    <t>24-Month:</t>
  </si>
  <si>
    <t>36-Month:</t>
  </si>
  <si>
    <t>STOP LOSS</t>
  </si>
  <si>
    <t>Level:</t>
  </si>
  <si>
    <t>Trigger:</t>
  </si>
  <si>
    <t>DAU growth turns negative, or AI disruption accelerates with subscriber churn</t>
  </si>
</sst>
</file>

<file path=xl/styles.xml><?xml version="1.0" encoding="utf-8"?>
<styleSheet xmlns="http://schemas.openxmlformats.org/spreadsheetml/2006/main">
  <numFmts count="3">
    <numFmt numFmtId="164" formatCode="#,##0.0"/>
    <numFmt numFmtId="165" formatCode="0.0%"/>
    <numFmt numFmtId="166" formatCode="&quot;$&quot;#,##0.00"/>
  </numFmts>
  <fonts count="7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i/>
      <sz val="9"/>
      <color rgb="FF80808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00B894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FE6E9"/>
        <bgColor indexed="64"/>
      </patternFill>
    </fill>
    <fill>
      <patternFill patternType="solid">
        <fgColor rgb="FF2D3436"/>
        <bgColor indexed="64"/>
      </patternFill>
    </fill>
    <fill>
      <patternFill patternType="solid">
        <fgColor rgb="FF00B894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/>
    <xf numFmtId="164" fontId="0" fillId="2" borderId="2" xfId="0" applyNumberFormat="1" applyFill="1" applyBorder="1"/>
    <xf numFmtId="164" fontId="0" fillId="0" borderId="2" xfId="0" applyNumberFormat="1" applyBorder="1"/>
    <xf numFmtId="165" fontId="0" fillId="2" borderId="2" xfId="0" applyNumberFormat="1" applyFill="1" applyBorder="1"/>
    <xf numFmtId="0" fontId="4" fillId="3" borderId="2" xfId="0" applyFont="1" applyFill="1" applyBorder="1"/>
    <xf numFmtId="0" fontId="5" fillId="0" borderId="0" xfId="0" applyFont="1"/>
    <xf numFmtId="166" fontId="4" fillId="4" borderId="2" xfId="0" applyNumberFormat="1" applyFont="1" applyFill="1" applyBorder="1"/>
    <xf numFmtId="165" fontId="0" fillId="0" borderId="2" xfId="0" applyNumberFormat="1" applyBorder="1"/>
    <xf numFmtId="166" fontId="0" fillId="0" borderId="2" xfId="0" applyNumberFormat="1" applyBorder="1"/>
    <xf numFmtId="165" fontId="4" fillId="3" borderId="0" xfId="0" applyNumberFormat="1" applyFont="1" applyFill="1"/>
    <xf numFmtId="0" fontId="0" fillId="0" borderId="0" xfId="0" applyAlignment="1">
      <alignment vertical="top" wrapText="1"/>
    </xf>
    <xf numFmtId="0" fontId="6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G43"/>
  <sheetViews>
    <sheetView tabSelected="1" workbookViewId="0"/>
  </sheetViews>
  <sheetFormatPr defaultRowHeight="15"/>
  <cols>
    <col min="1" max="1" width="28.7109375" customWidth="1"/>
    <col min="2" max="8" width="14.7109375" customWidth="1"/>
  </cols>
  <sheetData>
    <row r="1" spans="1:6">
      <c r="A1" s="1" t="s">
        <v>0</v>
      </c>
    </row>
    <row r="2" spans="1:6">
      <c r="A2" s="2" t="s">
        <v>1</v>
      </c>
    </row>
    <row r="3" spans="1:6">
      <c r="A3" s="2" t="s">
        <v>2</v>
      </c>
    </row>
    <row r="5" spans="1:6">
      <c r="A5" s="3" t="s">
        <v>3</v>
      </c>
    </row>
    <row r="6" spans="1:6">
      <c r="A6" t="s">
        <v>4</v>
      </c>
      <c r="B6" s="4">
        <v>132.16</v>
      </c>
    </row>
    <row r="7" spans="1:6">
      <c r="A7" t="s">
        <v>5</v>
      </c>
      <c r="B7" s="4">
        <v>49.1</v>
      </c>
    </row>
    <row r="8" spans="1:6">
      <c r="A8" t="s">
        <v>6</v>
      </c>
      <c r="B8" s="4">
        <v>1121.5</v>
      </c>
    </row>
    <row r="9" spans="1:6">
      <c r="A9" t="s">
        <v>7</v>
      </c>
      <c r="B9" s="4">
        <v>0</v>
      </c>
    </row>
    <row r="10" spans="1:6">
      <c r="A10" t="s">
        <v>8</v>
      </c>
      <c r="B10" s="5">
        <f>B9-B8</f>
        <v>0</v>
      </c>
    </row>
    <row r="11" spans="1:6">
      <c r="A11" t="s">
        <v>9</v>
      </c>
      <c r="B11" s="4">
        <v>218</v>
      </c>
    </row>
    <row r="13" spans="1:6">
      <c r="A13" t="s">
        <v>10</v>
      </c>
      <c r="B13" s="6">
        <v>0.1</v>
      </c>
    </row>
    <row r="14" spans="1:6">
      <c r="A14" t="s">
        <v>11</v>
      </c>
      <c r="B14" s="6">
        <v>0.03</v>
      </c>
    </row>
    <row r="16" spans="1:6">
      <c r="A16" s="3" t="s">
        <v>12</v>
      </c>
      <c r="B16" s="7" t="s">
        <v>14</v>
      </c>
      <c r="C16" s="7" t="s">
        <v>15</v>
      </c>
      <c r="D16" s="7" t="s">
        <v>16</v>
      </c>
      <c r="E16" s="7" t="s">
        <v>17</v>
      </c>
      <c r="F16" s="7" t="s">
        <v>18</v>
      </c>
    </row>
    <row r="17" spans="1:7">
      <c r="A17" t="s">
        <v>13</v>
      </c>
      <c r="B17" s="6">
        <v>0.35</v>
      </c>
      <c r="C17" s="6">
        <v>0.28</v>
      </c>
      <c r="D17" s="6">
        <v>0.22</v>
      </c>
      <c r="E17" s="6">
        <v>0.18</v>
      </c>
      <c r="F17" s="6">
        <v>0.15</v>
      </c>
    </row>
    <row r="18" spans="1:7">
      <c r="A18" t="s">
        <v>19</v>
      </c>
      <c r="B18" s="6">
        <v>0.32</v>
      </c>
      <c r="C18" s="6">
        <v>0.32</v>
      </c>
      <c r="D18" s="6">
        <v>0.32</v>
      </c>
      <c r="E18" s="6">
        <v>0.32</v>
      </c>
      <c r="F18" s="6">
        <v>0.32</v>
      </c>
    </row>
    <row r="20" spans="1:7">
      <c r="A20" s="3" t="s">
        <v>20</v>
      </c>
    </row>
    <row r="21" spans="1:7">
      <c r="A21" s="7"/>
      <c r="B21" s="7" t="s">
        <v>21</v>
      </c>
      <c r="C21" s="7" t="s">
        <v>14</v>
      </c>
      <c r="D21" s="7" t="s">
        <v>15</v>
      </c>
      <c r="E21" s="7" t="s">
        <v>16</v>
      </c>
      <c r="F21" s="7" t="s">
        <v>17</v>
      </c>
      <c r="G21" s="7" t="s">
        <v>18</v>
      </c>
    </row>
    <row r="22" spans="1:7">
      <c r="A22" t="s">
        <v>22</v>
      </c>
      <c r="B22" s="5">
        <v>681.25</v>
      </c>
      <c r="C22" s="5">
        <f>B22*(1+B17)</f>
        <v>0</v>
      </c>
      <c r="D22" s="5">
        <f>C22*(1+C17)</f>
        <v>0</v>
      </c>
      <c r="E22" s="5">
        <f>D22*(1+D17)</f>
        <v>0</v>
      </c>
      <c r="F22" s="5">
        <f>E22*(1+E17)</f>
        <v>0</v>
      </c>
      <c r="G22" s="5">
        <f>F22*(1+F17)</f>
        <v>0</v>
      </c>
    </row>
    <row r="23" spans="1:7">
      <c r="A23" t="s">
        <v>23</v>
      </c>
      <c r="B23" s="5">
        <f>B11</f>
        <v>0</v>
      </c>
      <c r="C23" s="5">
        <f>C22*C18</f>
        <v>0</v>
      </c>
      <c r="D23" s="5">
        <f>D22*D18</f>
        <v>0</v>
      </c>
      <c r="E23" s="5">
        <f>E22*E18</f>
        <v>0</v>
      </c>
      <c r="F23" s="5">
        <f>F22*F18</f>
        <v>0</v>
      </c>
      <c r="G23" s="5">
        <f>G22*G18</f>
        <v>0</v>
      </c>
    </row>
    <row r="24" spans="1:7">
      <c r="A24" t="s">
        <v>24</v>
      </c>
      <c r="C24" s="5">
        <f>1/(1+$B$13)^1</f>
        <v>0</v>
      </c>
      <c r="D24" s="5">
        <f>1/(1+$B$13)^2</f>
        <v>0</v>
      </c>
      <c r="E24" s="5">
        <f>1/(1+$B$13)^3</f>
        <v>0</v>
      </c>
      <c r="F24" s="5">
        <f>1/(1+$B$13)^4</f>
        <v>0</v>
      </c>
      <c r="G24" s="5">
        <f>1/(1+$B$13)^5</f>
        <v>0</v>
      </c>
    </row>
    <row r="25" spans="1:7">
      <c r="A25" t="s">
        <v>25</v>
      </c>
      <c r="C25" s="5">
        <f>C23*C24</f>
        <v>0</v>
      </c>
      <c r="D25" s="5">
        <f>D23*D24</f>
        <v>0</v>
      </c>
      <c r="E25" s="5">
        <f>E23*E24</f>
        <v>0</v>
      </c>
      <c r="F25" s="5">
        <f>F23*F24</f>
        <v>0</v>
      </c>
      <c r="G25" s="5">
        <f>G23*G24</f>
        <v>0</v>
      </c>
    </row>
    <row r="27" spans="1:7">
      <c r="A27" s="3" t="s">
        <v>26</v>
      </c>
    </row>
    <row r="28" spans="1:7">
      <c r="A28" t="s">
        <v>27</v>
      </c>
      <c r="B28" s="5">
        <f>SUM(C25:G25)</f>
        <v>0</v>
      </c>
    </row>
    <row r="29" spans="1:7">
      <c r="A29" t="s">
        <v>28</v>
      </c>
      <c r="B29" s="5">
        <f>G23*(1+$B$14)</f>
        <v>0</v>
      </c>
    </row>
    <row r="30" spans="1:7">
      <c r="A30" t="s">
        <v>29</v>
      </c>
      <c r="B30" s="5">
        <f>B29/($B$13-$B$14)</f>
        <v>0</v>
      </c>
    </row>
    <row r="31" spans="1:7">
      <c r="A31" t="s">
        <v>30</v>
      </c>
      <c r="B31" s="5">
        <f>B30*G24</f>
        <v>0</v>
      </c>
    </row>
    <row r="32" spans="1:7">
      <c r="A32" t="s">
        <v>31</v>
      </c>
      <c r="B32" s="5">
        <f>B28+B31</f>
        <v>0</v>
      </c>
    </row>
    <row r="33" spans="1:2">
      <c r="A33" t="s">
        <v>32</v>
      </c>
      <c r="B33" s="5">
        <f>B10</f>
        <v>0</v>
      </c>
    </row>
    <row r="34" spans="1:2">
      <c r="A34" t="s">
        <v>33</v>
      </c>
      <c r="B34" s="5">
        <f>B32-B33</f>
        <v>0</v>
      </c>
    </row>
    <row r="35" spans="1:2">
      <c r="A35" s="8" t="s">
        <v>34</v>
      </c>
      <c r="B35" s="9">
        <f>B34/B7</f>
        <v>0</v>
      </c>
    </row>
    <row r="36" spans="1:2">
      <c r="A36" t="s">
        <v>35</v>
      </c>
      <c r="B36" s="10">
        <f>(B35-B6)/B6</f>
        <v>0</v>
      </c>
    </row>
    <row r="38" spans="1:2">
      <c r="A38" s="3" t="s">
        <v>36</v>
      </c>
    </row>
    <row r="39" spans="1:2">
      <c r="A39" t="s">
        <v>37</v>
      </c>
      <c r="B39" s="11">
        <f>B30/B7</f>
        <v>0</v>
      </c>
    </row>
    <row r="40" spans="1:2">
      <c r="A40" t="s">
        <v>38</v>
      </c>
      <c r="B40" s="9">
        <f>B39/(1.15^5)</f>
        <v>0</v>
      </c>
    </row>
    <row r="41" spans="1:2">
      <c r="A41" t="s">
        <v>39</v>
      </c>
      <c r="B41" s="10">
        <f>(B40-B6)/B6</f>
        <v>0</v>
      </c>
    </row>
    <row r="43" spans="1:2">
      <c r="A43" t="s">
        <v>40</v>
      </c>
      <c r="B43" s="10">
        <f>(B35-B6)/B35</f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"/>
  <sheetViews>
    <sheetView workbookViewId="0"/>
  </sheetViews>
  <sheetFormatPr defaultRowHeight="15"/>
  <cols>
    <col min="1" max="1" width="18.7109375" customWidth="1"/>
    <col min="2" max="7" width="12.7109375" customWidth="1"/>
  </cols>
  <sheetData>
    <row r="1" spans="1:6">
      <c r="A1" s="1" t="s">
        <v>41</v>
      </c>
    </row>
    <row r="2" spans="1:6">
      <c r="A2" s="2" t="s">
        <v>42</v>
      </c>
    </row>
    <row r="4" spans="1:6">
      <c r="A4" s="7" t="s">
        <v>43</v>
      </c>
      <c r="B4" s="12">
        <v>0.02</v>
      </c>
      <c r="C4" s="12">
        <v>0.025</v>
      </c>
      <c r="D4" s="12">
        <v>0.03</v>
      </c>
      <c r="E4" s="12">
        <v>0.035</v>
      </c>
      <c r="F4" s="12">
        <v>0.04</v>
      </c>
    </row>
    <row r="5" spans="1:6">
      <c r="A5" s="12">
        <v>0.08</v>
      </c>
      <c r="B5" s="11">
        <v>226.61</v>
      </c>
      <c r="C5" s="11">
        <v>244.46</v>
      </c>
      <c r="D5" s="11">
        <v>266.45</v>
      </c>
      <c r="E5" s="11">
        <v>293.81</v>
      </c>
      <c r="F5" s="11">
        <v>328.9</v>
      </c>
    </row>
    <row r="6" spans="1:6">
      <c r="A6" s="12">
        <v>0.09</v>
      </c>
      <c r="B6" s="11">
        <v>196.84</v>
      </c>
      <c r="C6" s="11">
        <v>210.13</v>
      </c>
      <c r="D6" s="11">
        <v>226.15</v>
      </c>
      <c r="E6" s="11">
        <v>245.73</v>
      </c>
      <c r="F6" s="11">
        <v>270</v>
      </c>
    </row>
    <row r="7" spans="1:6">
      <c r="A7" s="12">
        <v>0.1</v>
      </c>
      <c r="B7" s="11">
        <v>173.49</v>
      </c>
      <c r="C7" s="11">
        <v>184.06</v>
      </c>
      <c r="D7" s="11">
        <v>196.68</v>
      </c>
      <c r="E7" s="11">
        <v>211.92</v>
      </c>
      <c r="F7" s="11">
        <v>230.56</v>
      </c>
    </row>
    <row r="8" spans="1:6">
      <c r="A8" s="12">
        <v>0.11</v>
      </c>
      <c r="B8" s="11">
        <v>155.11</v>
      </c>
      <c r="C8" s="11">
        <v>163.68</v>
      </c>
      <c r="D8" s="11">
        <v>173.73</v>
      </c>
      <c r="E8" s="11">
        <v>185.68</v>
      </c>
      <c r="F8" s="11">
        <v>200.09</v>
      </c>
    </row>
    <row r="9" spans="1:6">
      <c r="A9" s="12">
        <v>0.12</v>
      </c>
      <c r="B9" s="11">
        <v>140.49</v>
      </c>
      <c r="C9" s="11">
        <v>147.61</v>
      </c>
      <c r="D9" s="11">
        <v>155.76</v>
      </c>
      <c r="E9" s="11">
        <v>165.23</v>
      </c>
      <c r="F9" s="11">
        <v>176.35</v>
      </c>
    </row>
    <row r="11" spans="1:6">
      <c r="A11" s="8" t="s">
        <v>44</v>
      </c>
    </row>
    <row r="12" spans="1:6">
      <c r="A12" t="s">
        <v>45</v>
      </c>
      <c r="B12" s="10">
        <v>0.1</v>
      </c>
    </row>
    <row r="13" spans="1:6">
      <c r="A13" t="s">
        <v>46</v>
      </c>
      <c r="B13" s="10">
        <v>0.03</v>
      </c>
    </row>
    <row r="14" spans="1:6">
      <c r="A14" t="s">
        <v>47</v>
      </c>
      <c r="B14" s="8">
        <f>"$" &amp; TEXT('DCF Model'!B35,"#,##0.00")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22"/>
  <sheetViews>
    <sheetView workbookViewId="0"/>
  </sheetViews>
  <sheetFormatPr defaultRowHeight="15"/>
  <cols>
    <col min="1" max="1" width="25.7109375" customWidth="1"/>
    <col min="2" max="4" width="15.7109375" customWidth="1"/>
  </cols>
  <sheetData>
    <row r="1" spans="1:4">
      <c r="A1" s="1" t="s">
        <v>48</v>
      </c>
    </row>
    <row r="2" spans="1:4">
      <c r="A2" s="2" t="s">
        <v>49</v>
      </c>
    </row>
    <row r="4" spans="1:4">
      <c r="A4" s="7"/>
      <c r="B4" s="7" t="s">
        <v>50</v>
      </c>
      <c r="C4" s="7" t="s">
        <v>51</v>
      </c>
      <c r="D4" s="7" t="s">
        <v>52</v>
      </c>
    </row>
    <row r="6" spans="1:4">
      <c r="A6" s="3" t="s">
        <v>53</v>
      </c>
    </row>
    <row r="7" spans="1:4">
      <c r="A7" t="s">
        <v>54</v>
      </c>
      <c r="B7" s="10">
        <v>0.25</v>
      </c>
      <c r="C7" s="10">
        <v>0.35</v>
      </c>
      <c r="D7" s="10">
        <v>0.4</v>
      </c>
    </row>
    <row r="8" spans="1:4">
      <c r="A8" t="s">
        <v>55</v>
      </c>
      <c r="B8" s="10">
        <v>0.06</v>
      </c>
      <c r="C8" s="10">
        <v>0.15</v>
      </c>
      <c r="D8" s="10">
        <v>0.22</v>
      </c>
    </row>
    <row r="9" spans="1:4">
      <c r="A9" t="s">
        <v>56</v>
      </c>
      <c r="B9" s="10">
        <v>0.28</v>
      </c>
      <c r="C9" s="10">
        <v>0.32</v>
      </c>
      <c r="D9" s="10">
        <v>0.35</v>
      </c>
    </row>
    <row r="10" spans="1:4">
      <c r="A10" t="s">
        <v>10</v>
      </c>
      <c r="B10" s="10">
        <v>0.115</v>
      </c>
      <c r="C10" s="10">
        <v>0.1</v>
      </c>
      <c r="D10" s="10">
        <v>0.09</v>
      </c>
    </row>
    <row r="11" spans="1:4">
      <c r="A11" t="s">
        <v>57</v>
      </c>
      <c r="B11" s="10">
        <v>0.02</v>
      </c>
      <c r="C11" s="10">
        <v>0.03</v>
      </c>
      <c r="D11" s="10">
        <v>0.04</v>
      </c>
    </row>
    <row r="13" spans="1:4">
      <c r="A13" s="3" t="s">
        <v>58</v>
      </c>
    </row>
    <row r="14" spans="1:4">
      <c r="A14" t="s">
        <v>59</v>
      </c>
      <c r="B14" s="11">
        <v>92.26000000000001</v>
      </c>
      <c r="C14" s="11">
        <v>177.62</v>
      </c>
      <c r="D14" s="11">
        <v>324.71</v>
      </c>
    </row>
    <row r="15" spans="1:4">
      <c r="A15" t="s">
        <v>60</v>
      </c>
      <c r="B15" s="10">
        <v>-0.302</v>
      </c>
      <c r="C15" s="10">
        <v>0.344</v>
      </c>
      <c r="D15" s="10">
        <v>1.457</v>
      </c>
    </row>
    <row r="16" spans="1:4">
      <c r="A16" t="s">
        <v>38</v>
      </c>
      <c r="B16" s="11">
        <v>39.99</v>
      </c>
      <c r="C16" s="11">
        <v>95.70999999999999</v>
      </c>
      <c r="D16" s="11">
        <v>194.83</v>
      </c>
    </row>
    <row r="17" spans="1:4">
      <c r="A17" t="s">
        <v>61</v>
      </c>
      <c r="B17" s="10">
        <v>-0.302</v>
      </c>
      <c r="C17" s="10">
        <v>0.256</v>
      </c>
      <c r="D17" s="10">
        <v>0.593</v>
      </c>
    </row>
    <row r="19" spans="1:4">
      <c r="A19" s="3" t="s">
        <v>62</v>
      </c>
    </row>
    <row r="20" spans="1:4">
      <c r="A20" t="s">
        <v>63</v>
      </c>
      <c r="B20" s="10">
        <v>0.2</v>
      </c>
      <c r="C20" s="10">
        <v>0.5</v>
      </c>
      <c r="D20" s="10">
        <v>0.3</v>
      </c>
    </row>
    <row r="21" spans="1:4">
      <c r="A21" t="s">
        <v>64</v>
      </c>
      <c r="B21" s="9">
        <v>204.21</v>
      </c>
    </row>
    <row r="22" spans="1:4">
      <c r="A22" t="s">
        <v>65</v>
      </c>
      <c r="B22" s="10">
        <v>0.545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14"/>
  <sheetViews>
    <sheetView workbookViewId="0"/>
  </sheetViews>
  <sheetFormatPr defaultRowHeight="15"/>
  <cols>
    <col min="1" max="1" width="22.7109375" customWidth="1"/>
    <col min="2" max="4" width="15.7109375" customWidth="1"/>
  </cols>
  <sheetData>
    <row r="1" spans="1:4">
      <c r="A1" s="1" t="s">
        <v>66</v>
      </c>
    </row>
    <row r="3" spans="1:4">
      <c r="A3" s="7" t="s">
        <v>67</v>
      </c>
      <c r="B3" s="7" t="s">
        <v>68</v>
      </c>
      <c r="C3" s="7" t="s">
        <v>69</v>
      </c>
    </row>
    <row r="4" spans="1:4">
      <c r="A4" t="s">
        <v>22</v>
      </c>
      <c r="B4" s="10">
        <v>0.421</v>
      </c>
      <c r="C4" s="10">
        <v>0.407</v>
      </c>
    </row>
    <row r="5" spans="1:4">
      <c r="A5" t="s">
        <v>23</v>
      </c>
      <c r="B5" s="10">
        <v>0.7340000000000001</v>
      </c>
      <c r="C5" s="10">
        <v>0.58</v>
      </c>
    </row>
    <row r="6" spans="1:4">
      <c r="A6" t="s">
        <v>70</v>
      </c>
      <c r="B6" s="10">
        <v>0.508</v>
      </c>
      <c r="C6" s="10">
        <v>0.575</v>
      </c>
    </row>
    <row r="8" spans="1:4">
      <c r="A8" s="8" t="s">
        <v>71</v>
      </c>
      <c r="B8" s="10">
        <v>0.42</v>
      </c>
    </row>
    <row r="9" spans="1:4">
      <c r="A9" t="s">
        <v>72</v>
      </c>
      <c r="B9" t="s">
        <v>73</v>
      </c>
    </row>
    <row r="11" spans="1:4">
      <c r="A11" s="3" t="s">
        <v>74</v>
      </c>
    </row>
    <row r="12" spans="1:4">
      <c r="A12" s="13" t="s">
        <v>75</v>
      </c>
      <c r="B12" s="13"/>
      <c r="C12" s="13"/>
      <c r="D12" s="13"/>
    </row>
    <row r="13" spans="1:4">
      <c r="A13" s="13"/>
      <c r="B13" s="13"/>
      <c r="C13" s="13"/>
      <c r="D13" s="13"/>
    </row>
    <row r="14" spans="1:4">
      <c r="A14" s="13"/>
      <c r="B14" s="13"/>
      <c r="C14" s="13"/>
      <c r="D14" s="13"/>
    </row>
  </sheetData>
  <mergeCells count="1">
    <mergeCell ref="A12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25"/>
  <sheetViews>
    <sheetView workbookViewId="0"/>
  </sheetViews>
  <sheetFormatPr defaultRowHeight="15"/>
  <cols>
    <col min="1" max="1" width="25.7109375" customWidth="1"/>
    <col min="2" max="2" width="60.7109375" customWidth="1"/>
  </cols>
  <sheetData>
    <row r="1" spans="1:2">
      <c r="A1" s="1" t="s">
        <v>76</v>
      </c>
    </row>
    <row r="3" spans="1:2">
      <c r="A3" s="8" t="s">
        <v>77</v>
      </c>
      <c r="B3" s="14" t="s">
        <v>78</v>
      </c>
    </row>
    <row r="4" spans="1:2">
      <c r="A4" s="8" t="s">
        <v>79</v>
      </c>
      <c r="B4" t="s">
        <v>80</v>
      </c>
    </row>
    <row r="5" spans="1:2">
      <c r="A5" s="8" t="s">
        <v>81</v>
      </c>
      <c r="B5" t="s">
        <v>82</v>
      </c>
    </row>
    <row r="7" spans="1:2">
      <c r="A7" s="3" t="s">
        <v>83</v>
      </c>
    </row>
    <row r="8" spans="1:2">
      <c r="A8" s="13" t="s">
        <v>84</v>
      </c>
      <c r="B8" s="13"/>
    </row>
    <row r="9" spans="1:2">
      <c r="A9" s="13"/>
      <c r="B9" s="13"/>
    </row>
    <row r="10" spans="1:2">
      <c r="A10" s="13"/>
      <c r="B10" s="13"/>
    </row>
    <row r="11" spans="1:2">
      <c r="A11" s="13"/>
      <c r="B11" s="13"/>
    </row>
    <row r="13" spans="1:2">
      <c r="A13" s="3" t="s">
        <v>85</v>
      </c>
    </row>
    <row r="14" spans="1:2">
      <c r="A14" t="s">
        <v>86</v>
      </c>
      <c r="B14" s="11">
        <v>145</v>
      </c>
    </row>
    <row r="15" spans="1:2">
      <c r="A15" t="s">
        <v>87</v>
      </c>
      <c r="B15" s="11">
        <v>125</v>
      </c>
    </row>
    <row r="16" spans="1:2">
      <c r="A16" t="s">
        <v>88</v>
      </c>
      <c r="B16" s="11">
        <v>100</v>
      </c>
    </row>
    <row r="18" spans="1:2">
      <c r="A18" s="3" t="s">
        <v>89</v>
      </c>
    </row>
    <row r="19" spans="1:2">
      <c r="A19" t="s">
        <v>90</v>
      </c>
      <c r="B19" s="11">
        <v>160</v>
      </c>
    </row>
    <row r="20" spans="1:2">
      <c r="A20" t="s">
        <v>91</v>
      </c>
      <c r="B20" s="11">
        <v>190</v>
      </c>
    </row>
    <row r="21" spans="1:2">
      <c r="A21" t="s">
        <v>92</v>
      </c>
      <c r="B21" s="11">
        <v>205</v>
      </c>
    </row>
    <row r="23" spans="1:2">
      <c r="A23" s="3" t="s">
        <v>93</v>
      </c>
    </row>
    <row r="24" spans="1:2">
      <c r="A24" t="s">
        <v>94</v>
      </c>
      <c r="B24" s="11">
        <v>95</v>
      </c>
    </row>
    <row r="25" spans="1:2">
      <c r="A25" t="s">
        <v>95</v>
      </c>
      <c r="B25" t="s">
        <v>96</v>
      </c>
    </row>
  </sheetData>
  <mergeCells count="1">
    <mergeCell ref="A8:B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DCF Model</vt:lpstr>
      <vt:lpstr>Sensitivity</vt:lpstr>
      <vt:lpstr>Scenarios</vt:lpstr>
      <vt:lpstr>Historical</vt:lpstr>
      <vt:lpstr>Investment Summary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2026-02-02T23:54:36Z</dcterms:created>
  <dcterms:modified xsi:type="dcterms:W3CDTF">2026-02-02T23:54:36Z</dcterms:modified>
</cp:coreProperties>
</file>