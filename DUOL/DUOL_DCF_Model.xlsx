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 Model" sheetId="2" state="visible" r:id="rId4"/>
    <sheet name="Sensitivity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<sst xmlns="http://schemas.openxmlformats.org/spreadsheetml/2006/main" count="158" uniqueCount="145">
  <si>
    <t xml:space="preserve">DUOLINGO (DUOL) - DCF VALUATION MODEL</t>
  </si>
  <si>
    <t xml:space="preserve">Model Date: November 28, 2025</t>
  </si>
  <si>
    <t xml:space="preserve">Source: Company filings, investor relations, web search</t>
  </si>
  <si>
    <t xml:space="preserve">COMPANY OVERVIEW</t>
  </si>
  <si>
    <t xml:space="preserve">Current Stock Price ($)</t>
  </si>
  <si>
    <t xml:space="preserve">Source: Morningstar, Nov 26, 2025</t>
  </si>
  <si>
    <t xml:space="preserve">Shares Outstanding (M)</t>
  </si>
  <si>
    <t xml:space="preserve">Source: StockAnalysis</t>
  </si>
  <si>
    <t xml:space="preserve">Diluted Shares Outstanding (M)</t>
  </si>
  <si>
    <t xml:space="preserve">Source: GuruFocus</t>
  </si>
  <si>
    <t xml:space="preserve">Market Cap ($M)</t>
  </si>
  <si>
    <t xml:space="preserve">Cash &amp; Investments ($M)</t>
  </si>
  <si>
    <t xml:space="preserve">Estimate based on filings</t>
  </si>
  <si>
    <t xml:space="preserve">Total Debt ($M)</t>
  </si>
  <si>
    <t xml:space="preserve">Enterprise Value ($M)</t>
  </si>
  <si>
    <t xml:space="preserve">HISTORICAL FINANCIALS ($M)</t>
  </si>
  <si>
    <t xml:space="preserve">Year</t>
  </si>
  <si>
    <t xml:space="preserve">2022</t>
  </si>
  <si>
    <t xml:space="preserve">2023</t>
  </si>
  <si>
    <t xml:space="preserve">2024</t>
  </si>
  <si>
    <t xml:space="preserve">TTM Q3 2025</t>
  </si>
  <si>
    <t xml:space="preserve">Revenue</t>
  </si>
  <si>
    <t xml:space="preserve">Revenue Growth %</t>
  </si>
  <si>
    <t xml:space="preserve">Net Income</t>
  </si>
  <si>
    <t xml:space="preserve">Free Cash Flow</t>
  </si>
  <si>
    <t xml:space="preserve">FCF Margin %</t>
  </si>
  <si>
    <t xml:space="preserve">D&amp;A</t>
  </si>
  <si>
    <t xml:space="preserve">CapEx + Intangibles</t>
  </si>
  <si>
    <t xml:space="preserve">DCF ASSUMPTIONS</t>
  </si>
  <si>
    <t xml:space="preserve">Risk-Free Rate</t>
  </si>
  <si>
    <t xml:space="preserve">10-Year Treasury</t>
  </si>
  <si>
    <t xml:space="preserve">Equity Risk Premium</t>
  </si>
  <si>
    <t xml:space="preserve">Market consensus</t>
  </si>
  <si>
    <t xml:space="preserve">Beta (Levered)</t>
  </si>
  <si>
    <t xml:space="preserve">Source: Various (0.74-1.3 range)</t>
  </si>
  <si>
    <t xml:space="preserve">Cost of Equity</t>
  </si>
  <si>
    <t xml:space="preserve">CAPM: Rf + Beta * ERP</t>
  </si>
  <si>
    <t xml:space="preserve">Cost of Debt (Pre-Tax)</t>
  </si>
  <si>
    <t xml:space="preserve">Tax Rate</t>
  </si>
  <si>
    <t xml:space="preserve">Cost of Debt (After-Tax)</t>
  </si>
  <si>
    <t xml:space="preserve">Debt Weight</t>
  </si>
  <si>
    <t xml:space="preserve">Minimal debt</t>
  </si>
  <si>
    <t xml:space="preserve">Equity Weight</t>
  </si>
  <si>
    <t xml:space="preserve">WACC</t>
  </si>
  <si>
    <t xml:space="preserve">Terminal Growth Rate</t>
  </si>
  <si>
    <t xml:space="preserve">Long-term GDP growth</t>
  </si>
  <si>
    <t xml:space="preserve">PROJECTION ASSUMPTIONS</t>
  </si>
  <si>
    <t xml:space="preserve">FY 2025E Revenue ($M)</t>
  </si>
  <si>
    <t xml:space="preserve">Company guidance midpoint: $1.0275-$1.0315B</t>
  </si>
  <si>
    <t xml:space="preserve">Revenue Growth Y1 (2026)</t>
  </si>
  <si>
    <t xml:space="preserve">Revenue Growth Y2 (2027)</t>
  </si>
  <si>
    <t xml:space="preserve">Revenue Growth Y3 (2028)</t>
  </si>
  <si>
    <t xml:space="preserve">Revenue Growth Y4 (2029)</t>
  </si>
  <si>
    <t xml:space="preserve">Revenue Growth Y5 (2030)</t>
  </si>
  <si>
    <t xml:space="preserve">Terminal FCF Margin</t>
  </si>
  <si>
    <t xml:space="preserve">Mature SaaS company target</t>
  </si>
  <si>
    <t xml:space="preserve">Near-term FCF Margin (2025)</t>
  </si>
  <si>
    <t xml:space="preserve">FCF Margin Expansion/Yr</t>
  </si>
  <si>
    <t xml:space="preserve">DUOLINGO DCF VALUATION</t>
  </si>
  <si>
    <t xml:space="preserve">Projection Period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</si>
  <si>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</si>
  <si>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</si>
  <si>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</si>
  <si>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</si>
  <si>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</si>
  <si>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</si>
  <si>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Terminal</t>
  </si>
  <si>
    <t xml:space="preserve">Year #</t>
  </si>
  <si>
    <t xml:space="preserve">TV</t>
  </si>
  <si>
    <t xml:space="preserve">REVENUE PROJECTIONS</t>
  </si>
  <si>
    <t xml:space="preserve">Revenue ($M)</t>
  </si>
  <si>
    <t xml:space="preserve">FREE CASH FLOW PROJECTIONS</t>
  </si>
  <si>
    <t xml:space="preserve">Free Cash Flow ($M)</t>
  </si>
  <si>
    <t xml:space="preserve">TERMINAL VALUE CALCULATION</t>
  </si>
  <si>
    <t xml:space="preserve">Terminal FCF (Year 5 FCF)</t>
  </si>
  <si>
    <t xml:space="preserve">Terminal Value (Gordon Growth)</t>
  </si>
  <si>
    <t xml:space="preserve">TV = FCF*(1+g)/(WACC-g)</t>
  </si>
  <si>
    <t xml:space="preserve">DISCOUNTED CASH FLOWS</t>
  </si>
  <si>
    <t xml:space="preserve">Discount Factor</t>
  </si>
  <si>
    <t xml:space="preserve">PV of FCF ($M)</t>
  </si>
  <si>
    <t xml:space="preserve">PV of Terminal Value ($M)</t>
  </si>
  <si>
    <t xml:space="preserve">VALUATION SUMMARY</t>
  </si>
  <si>
    <t xml:space="preserve">Sum of PV of FCFs ($M)</t>
  </si>
  <si>
    <t xml:space="preserve">Plus: Cash ($M)</t>
  </si>
  <si>
    <t xml:space="preserve">Less: Debt ($M)</t>
  </si>
  <si>
    <t xml:space="preserve">Equity Value ($M)</t>
  </si>
  <si>
    <t xml:space="preserve">Implied Share Price</t>
  </si>
  <si>
    <t xml:space="preserve">Current Share Price</t>
  </si>
  <si>
    <t xml:space="preserve">Upside / (Downside)</t>
  </si>
  <si>
    <t xml:space="preserve">VALUE ATTRIBUTION</t>
  </si>
  <si>
    <t xml:space="preserve">% from FCF Period</t>
  </si>
  <si>
    <t xml:space="preserve">% from Terminal Value</t>
  </si>
  <si>
    <t xml:space="preserve">SENSITIVITY ANALYSIS</t>
  </si>
  <si>
    <t xml:space="preserve">Share Price Sensitivity: WACC vs Terminal Growth Rate</t>
  </si>
  <si>
    <t xml:space="preserve">WACC \ Term Growth</t>
  </si>
  <si>
    <t xml:space="preserve">2.0%</t>
  </si>
  <si>
    <t xml:space="preserve">2.5%</t>
  </si>
  <si>
    <t xml:space="preserve">3.0%</t>
  </si>
  <si>
    <t xml:space="preserve">3.5%</t>
  </si>
  <si>
    <t xml:space="preserve">4.0%</t>
  </si>
  <si>
    <t xml:space="preserve">7.0%</t>
  </si>
  <si>
    <t xml:space="preserve">8.0%</t>
  </si>
  <si>
    <t xml:space="preserve">9.0%</t>
  </si>
  <si>
    <t xml:space="preserve">10.0%</t>
  </si>
  <si>
    <t xml:space="preserve">11.0%</t>
  </si>
  <si>
    <t xml:space="preserve">Helper Values (for formulas)</t>
  </si>
  <si>
    <t xml:space="preserve">TG1</t>
  </si>
  <si>
    <t xml:space="preserve">TG2</t>
  </si>
  <si>
    <t xml:space="preserve">TG3</t>
  </si>
  <si>
    <t xml:space="preserve">TG4</t>
  </si>
  <si>
    <t xml:space="preserve">TG5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</si>
  <si>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</si>
  <si>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</si>
  <si>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</si>
  <si>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</si>
  <si>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</si>
  <si>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Y5 FCF</t>
  </si>
  <si>
    <t xml:space="preserve">PV FCFs</t>
  </si>
  <si>
    <t xml:space="preserve">Cash</t>
  </si>
  <si>
    <t xml:space="preserve">Debt</t>
  </si>
  <si>
    <t xml:space="preserve">Shares</t>
  </si>
  <si>
    <t xml:space="preserve">DUOLINGO (DUOL) - VALUATION SUMMARY</t>
  </si>
  <si>
    <t xml:space="preserve">KEY METRICS</t>
  </si>
  <si>
    <t xml:space="preserve">Current Price</t>
  </si>
  <si>
    <t xml:space="preserve">DCF Fair Value</t>
  </si>
  <si>
    <t xml:space="preserve">Enterprise Value - DCF ($M)</t>
  </si>
  <si>
    <t xml:space="preserve">KEY ASSUMPTIONS</t>
  </si>
  <si>
    <t xml:space="preserve">5-Year Revenue CAGR</t>
  </si>
  <si>
    <t xml:space="preserve">PROJECTED FINANCIALS ($M)</t>
  </si>
  <si>
    <t xml:space="preserve">2025E Revenue</t>
  </si>
  <si>
    <t xml:space="preserve">2030E Revenue</t>
  </si>
  <si>
    <t xml:space="preserve">2030E FCF</t>
  </si>
  <si>
    <t xml:space="preserve">INVESTMENT THESIS</t>
  </si>
  <si>
    <t xml:space="preserve">• Market leader in language learning with 100M+ MAUs</t>
  </si>
  <si>
    <t xml:space="preserve">• Strong subscription growth (40%+ paid subscriber growth)</t>
  </si>
  <si>
    <t xml:space="preserve">• High engagement with gamified learning approach</t>
  </si>
  <si>
    <t xml:space="preserve">• AI-powered features driving premium tier adoption</t>
  </si>
  <si>
    <t xml:space="preserve">• Expanding into Math, Music, and other subjects</t>
  </si>
  <si>
    <t xml:space="preserve">• Asset-light business model with high FCF conversion</t>
  </si>
  <si>
    <t xml:space="preserve">KEY RISKS</t>
  </si>
  <si>
    <t xml:space="preserve">• Slowing DAU growth as base scales</t>
  </si>
  <si>
    <t xml:space="preserve">• Competition from AI-native language tools</t>
  </si>
  <si>
    <t xml:space="preserve">• Platform dependency (App Store fees)</t>
  </si>
  <si>
    <t xml:space="preserve">• Monetization vs. user growth tradeoff</t>
  </si>
  <si>
    <t xml:space="preserve">• Execution risk on new subject expansion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</si>
</sst>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.0"/>
    <numFmt numFmtId="168" formatCode="\$#,##0.00"/>
    <numFmt numFmtId="169" formatCode="\$#,##0"/>
    <numFmt numFmtId="170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5" min="4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0" t="s">
        <v>4</v>
      </c>
      <c r="B6" s="3" t="n">
        <v>188.43</v>
      </c>
      <c r="C6" s="4" t="s">
        <v>5</v>
      </c>
    </row>
    <row r="7" customFormat="false" ht="15" hidden="false" customHeight="false" outlineLevel="0" collapsed="false">
      <c r="A7" s="0" t="s">
        <v>6</v>
      </c>
      <c r="B7" s="3" t="n">
        <v>46.23</v>
      </c>
      <c r="C7" s="4" t="s">
        <v>7</v>
      </c>
    </row>
    <row r="8" customFormat="false" ht="15" hidden="false" customHeight="false" outlineLevel="0" collapsed="false">
      <c r="A8" s="0" t="s">
        <v>8</v>
      </c>
      <c r="B8" s="3" t="n">
        <v>49.2</v>
      </c>
      <c r="C8" s="4" t="s">
        <v>9</v>
      </c>
    </row>
    <row r="9" customFormat="false" ht="15" hidden="false" customHeight="false" outlineLevel="0" collapsed="false">
      <c r="A9" s="0" t="s">
        <v>10</v>
      </c>
      <c r="B9" s="0" t="n">
        <f aca="false">B6*B7</f>
        <v>8711.1189</v>
      </c>
    </row>
    <row r="10" customFormat="false" ht="15" hidden="false" customHeight="false" outlineLevel="0" collapsed="false">
      <c r="A10" s="0" t="s">
        <v>11</v>
      </c>
      <c r="B10" s="3" t="n">
        <v>865</v>
      </c>
      <c r="C10" s="4" t="s">
        <v>12</v>
      </c>
    </row>
    <row r="11" customFormat="false" ht="15" hidden="false" customHeight="false" outlineLevel="0" collapsed="false">
      <c r="A11" s="0" t="s">
        <v>13</v>
      </c>
      <c r="B11" s="3" t="n">
        <v>62.5</v>
      </c>
      <c r="C11" s="4" t="s">
        <v>9</v>
      </c>
    </row>
    <row r="12" customFormat="false" ht="15" hidden="false" customHeight="false" outlineLevel="0" collapsed="false">
      <c r="A12" s="0" t="s">
        <v>14</v>
      </c>
      <c r="B12" s="0" t="n">
        <f aca="false">B9-B10+B11</f>
        <v>7908.6189</v>
      </c>
    </row>
    <row r="14" customFormat="false" ht="15" hidden="false" customHeight="false" outlineLevel="0" collapsed="false">
      <c r="A14" s="2" t="s">
        <v>15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</row>
    <row r="16" customFormat="false" ht="15" hidden="false" customHeight="false" outlineLevel="0" collapsed="false">
      <c r="A16" s="0" t="s">
        <v>21</v>
      </c>
      <c r="B16" s="5" t="n">
        <v>369</v>
      </c>
      <c r="C16" s="5" t="n">
        <v>531</v>
      </c>
      <c r="D16" s="5" t="n">
        <v>748</v>
      </c>
      <c r="E16" s="5" t="n">
        <v>964.27</v>
      </c>
    </row>
    <row r="17" customFormat="false" ht="15" hidden="false" customHeight="false" outlineLevel="0" collapsed="false">
      <c r="A17" s="0" t="s">
        <v>22</v>
      </c>
      <c r="B17" s="6" t="n">
        <v>0.4734</v>
      </c>
      <c r="C17" s="7" t="n">
        <f aca="false">(C16-B16)/B16</f>
        <v>0.439024390243902</v>
      </c>
      <c r="D17" s="7" t="n">
        <f aca="false">(D16-C16)/C16</f>
        <v>0.408662900188324</v>
      </c>
      <c r="E17" s="7" t="n">
        <f aca="false">(E16-D16)/D16</f>
        <v>0.289131016042781</v>
      </c>
    </row>
    <row r="18" customFormat="false" ht="15" hidden="false" customHeight="false" outlineLevel="0" collapsed="false">
      <c r="A18" s="0" t="s">
        <v>23</v>
      </c>
      <c r="B18" s="5" t="n">
        <v>-59.57</v>
      </c>
      <c r="C18" s="5" t="n">
        <v>16.07</v>
      </c>
      <c r="D18" s="5" t="n">
        <v>88.57</v>
      </c>
      <c r="E18" s="5" t="n">
        <v>386.02</v>
      </c>
    </row>
    <row r="19" customFormat="false" ht="15" hidden="false" customHeight="false" outlineLevel="0" collapsed="false">
      <c r="A19" s="0" t="s">
        <v>24</v>
      </c>
      <c r="B19" s="5" t="n">
        <v>48.09</v>
      </c>
      <c r="C19" s="5" t="n">
        <v>144.3</v>
      </c>
      <c r="D19" s="5" t="n">
        <v>274.9</v>
      </c>
      <c r="E19" s="5" t="n">
        <v>354.56</v>
      </c>
    </row>
    <row r="20" customFormat="false" ht="15" hidden="false" customHeight="false" outlineLevel="0" collapsed="false">
      <c r="A20" s="0" t="s">
        <v>25</v>
      </c>
      <c r="B20" s="7" t="n">
        <f aca="false">B19/B16</f>
        <v>0.130325203252033</v>
      </c>
      <c r="C20" s="7" t="n">
        <f aca="false">C19/C16</f>
        <v>0.271751412429379</v>
      </c>
      <c r="D20" s="7" t="n">
        <f aca="false">D19/D16</f>
        <v>0.367513368983957</v>
      </c>
      <c r="E20" s="7" t="n">
        <f aca="false">E19/E16</f>
        <v>0.367697843964865</v>
      </c>
    </row>
    <row r="21" customFormat="false" ht="15" hidden="false" customHeight="false" outlineLevel="0" collapsed="false">
      <c r="A21" s="0" t="s">
        <v>26</v>
      </c>
      <c r="B21" s="5" t="n">
        <v>4.87</v>
      </c>
      <c r="C21" s="5" t="n">
        <v>7.1</v>
      </c>
      <c r="D21" s="5" t="n">
        <v>10.85</v>
      </c>
      <c r="E21" s="5" t="n">
        <v>14.24</v>
      </c>
    </row>
    <row r="22" customFormat="false" ht="15" hidden="false" customHeight="false" outlineLevel="0" collapsed="false">
      <c r="A22" s="0" t="s">
        <v>27</v>
      </c>
      <c r="B22" s="5" t="n">
        <v>10.12</v>
      </c>
      <c r="C22" s="5" t="n">
        <v>13.58</v>
      </c>
      <c r="D22" s="5" t="n">
        <v>21.14</v>
      </c>
      <c r="E22" s="5" t="n">
        <v>16.29</v>
      </c>
    </row>
    <row r="24" customFormat="false" ht="15" hidden="false" customHeight="false" outlineLevel="0" collapsed="false">
      <c r="A24" s="2" t="s">
        <v>28</v>
      </c>
    </row>
    <row r="25" customFormat="false" ht="15" hidden="false" customHeight="false" outlineLevel="0" collapsed="false">
      <c r="A25" s="0" t="s">
        <v>29</v>
      </c>
      <c r="B25" s="6" t="n">
        <v>0.043</v>
      </c>
      <c r="C25" s="4" t="s">
        <v>30</v>
      </c>
    </row>
    <row r="26" customFormat="false" ht="15" hidden="false" customHeight="false" outlineLevel="0" collapsed="false">
      <c r="A26" s="0" t="s">
        <v>31</v>
      </c>
      <c r="B26" s="6" t="n">
        <v>0.055</v>
      </c>
      <c r="C26" s="4" t="s">
        <v>32</v>
      </c>
    </row>
    <row r="27" customFormat="false" ht="15" hidden="false" customHeight="false" outlineLevel="0" collapsed="false">
      <c r="A27" s="0" t="s">
        <v>33</v>
      </c>
      <c r="B27" s="3" t="n">
        <v>0.85</v>
      </c>
      <c r="C27" s="4" t="s">
        <v>34</v>
      </c>
    </row>
    <row r="28" customFormat="false" ht="15" hidden="false" customHeight="false" outlineLevel="0" collapsed="false">
      <c r="A28" s="0" t="s">
        <v>35</v>
      </c>
      <c r="B28" s="7" t="n">
        <f aca="false">B25+B27*B26</f>
        <v>0.08975</v>
      </c>
      <c r="C28" s="4" t="s">
        <v>36</v>
      </c>
    </row>
    <row r="29" customFormat="false" ht="15" hidden="false" customHeight="false" outlineLevel="0" collapsed="false">
      <c r="A29" s="0" t="s">
        <v>37</v>
      </c>
      <c r="B29" s="6" t="n">
        <v>0.05</v>
      </c>
    </row>
    <row r="30" customFormat="false" ht="15" hidden="false" customHeight="false" outlineLevel="0" collapsed="false">
      <c r="A30" s="0" t="s">
        <v>38</v>
      </c>
      <c r="B30" s="6" t="n">
        <v>0.21</v>
      </c>
    </row>
    <row r="31" customFormat="false" ht="15" hidden="false" customHeight="false" outlineLevel="0" collapsed="false">
      <c r="A31" s="0" t="s">
        <v>39</v>
      </c>
      <c r="B31" s="7" t="n">
        <f aca="false">B29*(1-B30)</f>
        <v>0.0395</v>
      </c>
    </row>
    <row r="32" customFormat="false" ht="15" hidden="false" customHeight="false" outlineLevel="0" collapsed="false">
      <c r="A32" s="0" t="s">
        <v>40</v>
      </c>
      <c r="B32" s="6" t="n">
        <v>0.005</v>
      </c>
      <c r="C32" s="4" t="s">
        <v>41</v>
      </c>
    </row>
    <row r="33" customFormat="false" ht="15" hidden="false" customHeight="false" outlineLevel="0" collapsed="false">
      <c r="A33" s="0" t="s">
        <v>42</v>
      </c>
      <c r="B33" s="7" t="n">
        <f aca="false">1-B32</f>
        <v>0.995</v>
      </c>
    </row>
    <row r="34" customFormat="false" ht="15" hidden="false" customHeight="false" outlineLevel="0" collapsed="false">
      <c r="A34" s="0" t="s">
        <v>43</v>
      </c>
      <c r="B34" s="7" t="n">
        <f aca="false">B28*B33+B31*B32</f>
        <v>0.08949875</v>
      </c>
    </row>
    <row r="35" customFormat="false" ht="15" hidden="false" customHeight="false" outlineLevel="0" collapsed="false">
      <c r="A35" s="0" t="s">
        <v>44</v>
      </c>
      <c r="B35" s="6" t="n">
        <v>0.03</v>
      </c>
      <c r="C35" s="4" t="s">
        <v>45</v>
      </c>
    </row>
    <row r="37" customFormat="false" ht="15" hidden="false" customHeight="false" outlineLevel="0" collapsed="false">
      <c r="A37" s="2" t="s">
        <v>46</v>
      </c>
    </row>
    <row r="38" customFormat="false" ht="15" hidden="false" customHeight="false" outlineLevel="0" collapsed="false">
      <c r="A38" s="0" t="s">
        <v>47</v>
      </c>
      <c r="B38" s="3" t="n">
        <v>1030</v>
      </c>
      <c r="C38" s="4" t="s">
        <v>48</v>
      </c>
    </row>
    <row r="39" customFormat="false" ht="15" hidden="false" customHeight="false" outlineLevel="0" collapsed="false">
      <c r="A39" s="0" t="s">
        <v>49</v>
      </c>
      <c r="B39" s="6" t="n">
        <v>0.28</v>
      </c>
    </row>
    <row r="40" customFormat="false" ht="15" hidden="false" customHeight="false" outlineLevel="0" collapsed="false">
      <c r="A40" s="0" t="s">
        <v>50</v>
      </c>
      <c r="B40" s="6" t="n">
        <v>0.24</v>
      </c>
    </row>
    <row r="41" customFormat="false" ht="15" hidden="false" customHeight="false" outlineLevel="0" collapsed="false">
      <c r="A41" s="0" t="s">
        <v>51</v>
      </c>
      <c r="B41" s="6" t="n">
        <v>0.2</v>
      </c>
    </row>
    <row r="42" customFormat="false" ht="15" hidden="false" customHeight="false" outlineLevel="0" collapsed="false">
      <c r="A42" s="0" t="s">
        <v>52</v>
      </c>
      <c r="B42" s="6" t="n">
        <v>0.16</v>
      </c>
    </row>
    <row r="43" customFormat="false" ht="15" hidden="false" customHeight="false" outlineLevel="0" collapsed="false">
      <c r="A43" s="0" t="s">
        <v>53</v>
      </c>
      <c r="B43" s="6" t="n">
        <v>0.12</v>
      </c>
    </row>
    <row r="44" customFormat="false" ht="15" hidden="false" customHeight="false" outlineLevel="0" collapsed="false">
      <c r="A44" s="0" t="s">
        <v>54</v>
      </c>
      <c r="B44" s="6" t="n">
        <v>0.35</v>
      </c>
      <c r="C44" s="4" t="s">
        <v>55</v>
      </c>
    </row>
    <row r="45" customFormat="false" ht="15" hidden="false" customHeight="false" outlineLevel="0" collapsed="false">
      <c r="A45" s="0" t="s">
        <v>56</v>
      </c>
      <c r="B45" s="6" t="n">
        <v>0.3</v>
      </c>
    </row>
    <row r="46" customFormat="false" ht="15" hidden="false" customHeight="false" outlineLevel="0" collapsed="false">
      <c r="A46" s="0" t="s">
        <v>57</v>
      </c>
      <c r="B46" s="6" t="n">
        <v>0.01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59</v>
      </c>
    </row>
    <row r="4" customFormat="false" ht="15" hidden="false" customHeight="false" outlineLevel="0" collapsed="false">
      <c r="A4" s="8"/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</row>
    <row r="5" customFormat="false" ht="15" hidden="false" customHeight="false" outlineLevel="0" collapsed="false">
      <c r="A5" s="0" t="s">
        <v>67</v>
      </c>
      <c r="B5" s="9" t="n">
        <v>0</v>
      </c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s">
        <v>68</v>
      </c>
    </row>
    <row r="7" customFormat="false" ht="15" hidden="false" customHeight="false" outlineLevel="0" collapsed="false">
      <c r="A7" s="10" t="s">
        <v>69</v>
      </c>
      <c r="B7" s="10"/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A8" s="0" t="s">
        <v>22</v>
      </c>
      <c r="B8" s="7" t="n">
        <f aca="false">Assumptions!B38/Assumptions!D16-1</f>
        <v>0.377005347593583</v>
      </c>
      <c r="C8" s="7" t="n">
        <f aca="false">Assumptions!B39</f>
        <v>0.28</v>
      </c>
      <c r="D8" s="7" t="n">
        <f aca="false">Assumptions!B40</f>
        <v>0.24</v>
      </c>
      <c r="E8" s="7" t="n">
        <f aca="false">Assumptions!B41</f>
        <v>0.2</v>
      </c>
      <c r="F8" s="7" t="n">
        <f aca="false">Assumptions!B42</f>
        <v>0.16</v>
      </c>
      <c r="G8" s="7" t="n">
        <f aca="false">Assumptions!B43</f>
        <v>0.12</v>
      </c>
      <c r="H8" s="7" t="n">
        <f aca="false">Assumptions!B35</f>
        <v>0.03</v>
      </c>
    </row>
    <row r="9" customFormat="false" ht="15" hidden="false" customHeight="false" outlineLevel="0" collapsed="false">
      <c r="A9" s="0" t="s">
        <v>70</v>
      </c>
      <c r="B9" s="11" t="n">
        <f aca="false">Assumptions!B38</f>
        <v>1030</v>
      </c>
      <c r="C9" s="11" t="n">
        <f aca="false">B9*(1+C8)</f>
        <v>1318.4</v>
      </c>
      <c r="D9" s="11" t="n">
        <f aca="false">C9*(1+D8)</f>
        <v>1634.816</v>
      </c>
      <c r="E9" s="11" t="n">
        <f aca="false">D9*(1+E8)</f>
        <v>1961.7792</v>
      </c>
      <c r="F9" s="11" t="n">
        <f aca="false">E9*(1+F8)</f>
        <v>2275.663872</v>
      </c>
      <c r="G9" s="11" t="n">
        <f aca="false">F9*(1+G8)</f>
        <v>2548.74353664</v>
      </c>
    </row>
    <row r="11" customFormat="false" ht="15" hidden="false" customHeight="false" outlineLevel="0" collapsed="false">
      <c r="A11" s="10" t="s">
        <v>71</v>
      </c>
      <c r="B11" s="10"/>
      <c r="C11" s="10"/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0" t="s">
        <v>25</v>
      </c>
      <c r="B12" s="7" t="n">
        <f aca="false">Assumptions!B45</f>
        <v>0.3</v>
      </c>
      <c r="C12" s="7" t="n">
        <f aca="false">B12+Assumptions!B46</f>
        <v>0.31</v>
      </c>
      <c r="D12" s="7" t="n">
        <f aca="false">C12+Assumptions!B46</f>
        <v>0.32</v>
      </c>
      <c r="E12" s="7" t="n">
        <f aca="false">D12+Assumptions!B46</f>
        <v>0.33</v>
      </c>
      <c r="F12" s="7" t="n">
        <f aca="false">E12+Assumptions!B46</f>
        <v>0.34</v>
      </c>
      <c r="G12" s="7" t="n">
        <f aca="false">MIN(F12+Assumptions!B46,Assumptions!B44)</f>
        <v>0.35</v>
      </c>
      <c r="H12" s="7"/>
    </row>
    <row r="13" customFormat="false" ht="15" hidden="false" customHeight="false" outlineLevel="0" collapsed="false">
      <c r="A13" s="0" t="s">
        <v>72</v>
      </c>
      <c r="B13" s="11" t="n">
        <f aca="false">B9*B12</f>
        <v>309</v>
      </c>
      <c r="C13" s="11" t="n">
        <f aca="false">C9*C12</f>
        <v>408.704</v>
      </c>
      <c r="D13" s="11" t="n">
        <f aca="false">D9*D12</f>
        <v>523.14112</v>
      </c>
      <c r="E13" s="11" t="n">
        <f aca="false">E9*E12</f>
        <v>647.387136</v>
      </c>
      <c r="F13" s="11" t="n">
        <f aca="false">F9*F12</f>
        <v>773.72571648</v>
      </c>
      <c r="G13" s="11" t="n">
        <f aca="false">G9*G12</f>
        <v>892.060237824</v>
      </c>
    </row>
    <row r="15" customFormat="false" ht="15" hidden="false" customHeight="false" outlineLevel="0" collapsed="false">
      <c r="A15" s="10" t="s">
        <v>73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0" t="s">
        <v>74</v>
      </c>
      <c r="B16" s="11"/>
      <c r="C16" s="11"/>
      <c r="D16" s="11"/>
      <c r="E16" s="11"/>
      <c r="F16" s="11"/>
      <c r="G16" s="11" t="n">
        <f aca="false">G13</f>
        <v>892.060237824</v>
      </c>
    </row>
    <row r="17" customFormat="false" ht="15" hidden="false" customHeight="false" outlineLevel="0" collapsed="false">
      <c r="A17" s="0" t="s">
        <v>44</v>
      </c>
      <c r="B17" s="7"/>
      <c r="C17" s="7"/>
      <c r="D17" s="7"/>
      <c r="E17" s="7"/>
      <c r="F17" s="7"/>
      <c r="G17" s="7" t="n">
        <f aca="false">Assumptions!B35</f>
        <v>0.03</v>
      </c>
      <c r="H17" s="7"/>
    </row>
    <row r="18" customFormat="false" ht="15" hidden="false" customHeight="false" outlineLevel="0" collapsed="false">
      <c r="A18" s="0" t="s">
        <v>43</v>
      </c>
      <c r="B18" s="7"/>
      <c r="C18" s="7"/>
      <c r="D18" s="7"/>
      <c r="E18" s="7"/>
      <c r="F18" s="7"/>
      <c r="G18" s="7" t="n">
        <f aca="false">Assumptions!B34</f>
        <v>0.08949875</v>
      </c>
      <c r="H18" s="7"/>
    </row>
    <row r="19" customFormat="false" ht="15" hidden="false" customHeight="false" outlineLevel="0" collapsed="false">
      <c r="A19" s="0" t="s">
        <v>75</v>
      </c>
      <c r="B19" s="11"/>
      <c r="C19" s="11"/>
      <c r="D19" s="11"/>
      <c r="E19" s="11"/>
      <c r="F19" s="11"/>
      <c r="G19" s="11" t="n">
        <f aca="false">G16*(1+G17)/(G18-G17)</f>
        <v>15442.7117369478</v>
      </c>
      <c r="H19" s="4" t="s">
        <v>76</v>
      </c>
    </row>
    <row r="21" customFormat="false" ht="15" hidden="false" customHeight="false" outlineLevel="0" collapsed="false">
      <c r="A21" s="10" t="s">
        <v>77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false" outlineLevel="0" collapsed="false">
      <c r="A22" s="0" t="s">
        <v>78</v>
      </c>
      <c r="B22" s="11" t="n">
        <f aca="false">1/(1+Assumptions!B34)^1</f>
        <v>0.917853278858741</v>
      </c>
      <c r="C22" s="11" t="n">
        <f aca="false">1/(1+Assumptions!B34)^2</f>
        <v>0.842454641511742</v>
      </c>
      <c r="D22" s="11" t="n">
        <f aca="false">1/(1+Assumptions!B34)^3</f>
        <v>0.773249755001318</v>
      </c>
      <c r="E22" s="11" t="n">
        <f aca="false">1/(1+Assumptions!B34)^4</f>
        <v>0.709729823004678</v>
      </c>
      <c r="F22" s="11" t="n">
        <f aca="false">1/(1+Assumptions!B34)^5</f>
        <v>0.651427845148678</v>
      </c>
      <c r="G22" s="11" t="n">
        <f aca="false">1/(1+Assumptions!B34)^5</f>
        <v>0.651427845148678</v>
      </c>
    </row>
    <row r="23" customFormat="false" ht="15" hidden="false" customHeight="false" outlineLevel="0" collapsed="false">
      <c r="A23" s="0" t="s">
        <v>79</v>
      </c>
      <c r="B23" s="11" t="n">
        <f aca="false">B13*B22</f>
        <v>283.616663167351</v>
      </c>
      <c r="C23" s="11" t="n">
        <f aca="false">C13*C22</f>
        <v>344.314581804415</v>
      </c>
      <c r="D23" s="11" t="n">
        <f aca="false">D13*D22</f>
        <v>404.518742871115</v>
      </c>
      <c r="E23" s="11" t="n">
        <f aca="false">E13*E22</f>
        <v>459.469957448786</v>
      </c>
      <c r="F23" s="11" t="n">
        <f aca="false">F13*F22</f>
        <v>504.026476222683</v>
      </c>
      <c r="G23" s="11" t="n">
        <f aca="false">G13*G22</f>
        <v>581.112878468505</v>
      </c>
    </row>
    <row r="24" customFormat="false" ht="15" hidden="false" customHeight="false" outlineLevel="0" collapsed="false">
      <c r="A24" s="0" t="s">
        <v>80</v>
      </c>
      <c r="B24" s="11"/>
      <c r="C24" s="11"/>
      <c r="D24" s="11"/>
      <c r="E24" s="11"/>
      <c r="F24" s="11"/>
      <c r="G24" s="11" t="n">
        <f aca="false">G19*G22</f>
        <v>10059.8124300521</v>
      </c>
    </row>
    <row r="26" customFormat="false" ht="15" hidden="false" customHeight="false" outlineLevel="0" collapsed="false">
      <c r="A26" s="10" t="s">
        <v>81</v>
      </c>
      <c r="B26" s="10"/>
      <c r="C26" s="10"/>
      <c r="D26" s="10"/>
    </row>
    <row r="27" customFormat="false" ht="15" hidden="false" customHeight="false" outlineLevel="0" collapsed="false">
      <c r="A27" s="0" t="s">
        <v>82</v>
      </c>
      <c r="B27" s="11" t="n">
        <f aca="false">SUM(B23:G23)</f>
        <v>2577.05929998286</v>
      </c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0" t="s">
        <v>80</v>
      </c>
      <c r="B28" s="11" t="n">
        <f aca="false">G24</f>
        <v>10059.8124300521</v>
      </c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0" t="s">
        <v>14</v>
      </c>
      <c r="B29" s="12" t="n">
        <f aca="false">B27+B28</f>
        <v>12636.8717300349</v>
      </c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0" t="s">
        <v>83</v>
      </c>
      <c r="B30" s="11" t="n">
        <f aca="false">Assumptions!B10</f>
        <v>865</v>
      </c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0" t="s">
        <v>84</v>
      </c>
      <c r="B31" s="11" t="n">
        <f aca="false">Assumptions!B11</f>
        <v>62.5</v>
      </c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0" t="s">
        <v>85</v>
      </c>
      <c r="B32" s="12" t="n">
        <f aca="false">B29+B30-B31</f>
        <v>13439.3717300349</v>
      </c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0" t="s">
        <v>8</v>
      </c>
      <c r="B33" s="0" t="n">
        <f aca="false">Assumptions!B8</f>
        <v>49.2</v>
      </c>
    </row>
    <row r="34" customFormat="false" ht="15" hidden="false" customHeight="false" outlineLevel="0" collapsed="false">
      <c r="A34" s="0" t="s">
        <v>86</v>
      </c>
      <c r="B34" s="13" t="n">
        <f aca="false">B32/B33</f>
        <v>273.15796199258</v>
      </c>
    </row>
    <row r="35" customFormat="false" ht="15" hidden="false" customHeight="false" outlineLevel="0" collapsed="false">
      <c r="A35" s="0" t="s">
        <v>87</v>
      </c>
      <c r="B35" s="14" t="n">
        <f aca="false">Assumptions!B6</f>
        <v>188.43</v>
      </c>
    </row>
    <row r="36" customFormat="false" ht="15" hidden="false" customHeight="false" outlineLevel="0" collapsed="false">
      <c r="A36" s="0" t="s">
        <v>88</v>
      </c>
      <c r="B36" s="15" t="n">
        <f aca="false">(B34-B35)/B35</f>
        <v>0.449652189102477</v>
      </c>
    </row>
    <row r="38" customFormat="false" ht="15" hidden="false" customHeight="false" outlineLevel="0" collapsed="false">
      <c r="A38" s="10" t="s">
        <v>89</v>
      </c>
      <c r="B38" s="10"/>
      <c r="C38" s="10"/>
      <c r="D38" s="10"/>
    </row>
    <row r="39" customFormat="false" ht="15" hidden="false" customHeight="false" outlineLevel="0" collapsed="false">
      <c r="A39" s="0" t="s">
        <v>90</v>
      </c>
      <c r="B39" s="7" t="n">
        <f aca="false">B27/B29</f>
        <v>0.203931744741682</v>
      </c>
    </row>
    <row r="40" customFormat="false" ht="15" hidden="false" customHeight="false" outlineLevel="0" collapsed="false">
      <c r="A40" s="0" t="s">
        <v>91</v>
      </c>
      <c r="B40" s="7" t="n">
        <f aca="false">B28/B29</f>
        <v>0.796068255258318</v>
      </c>
    </row>
  </sheetData>
  <mergeCells count="7">
    <mergeCell ref="A1:H1"/>
    <mergeCell ref="A7:H7"/>
    <mergeCell ref="A11:H11"/>
    <mergeCell ref="A15:H15"/>
    <mergeCell ref="A21:H21"/>
    <mergeCell ref="A26:D26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92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0" t="s">
        <v>93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A5" s="16" t="s">
        <v>94</v>
      </c>
      <c r="B5" s="8" t="s">
        <v>95</v>
      </c>
      <c r="C5" s="8" t="s">
        <v>96</v>
      </c>
      <c r="D5" s="8" t="s">
        <v>97</v>
      </c>
      <c r="E5" s="8" t="s">
        <v>98</v>
      </c>
      <c r="F5" s="8" t="s">
        <v>99</v>
      </c>
    </row>
    <row r="6" customFormat="false" ht="15" hidden="false" customHeight="false" outlineLevel="0" collapsed="false">
      <c r="A6" s="8" t="s">
        <v>100</v>
      </c>
      <c r="B6" s="17" t="n">
        <f aca="false">(($B$23*(1+$B$13)/($B$18-$B$13))*(1/(1+$B$18)^5)+$B$24+$B$25-$B$26)/$B$27</f>
        <v>332.408584654991</v>
      </c>
      <c r="C6" s="17" t="n">
        <f aca="false">(($B$23*(1+$B$14)/($B$18-$B$14))*(1/(1+$B$18)^5)+$B$24+$B$25-$B$26)/$B$27</f>
        <v>363.146998579738</v>
      </c>
      <c r="D6" s="17" t="n">
        <f aca="false">(($B$23*(1+$B$15)/($B$18-$B$15))*(1/(1+$B$18)^5)+$B$24+$B$25-$B$26)/$B$27</f>
        <v>401.570015985672</v>
      </c>
      <c r="E6" s="17" t="n">
        <f aca="false">(($B$23*(1+$B$16)/($B$18-$B$16))*(1/(1+$B$18)^5)+$B$24+$B$25-$B$26)/$B$27</f>
        <v>450.971038364731</v>
      </c>
      <c r="F6" s="17" t="n">
        <f aca="false">(($B$23*(1+$B$17)/($B$18-$B$17))*(1/(1+$B$18)^5)+$B$24+$B$25-$B$26)/$B$27</f>
        <v>516.839068203475</v>
      </c>
    </row>
    <row r="7" customFormat="false" ht="15" hidden="false" customHeight="false" outlineLevel="0" collapsed="false">
      <c r="A7" s="8" t="s">
        <v>101</v>
      </c>
      <c r="B7" s="17" t="n">
        <f aca="false">(($B$23*(1+$B$13)/($B$19-$B$13))*(1/(1+$B$19)^5)+$B$24+$B$25-$B$26)/$B$27</f>
        <v>278.467883054207</v>
      </c>
      <c r="C7" s="17" t="n">
        <f aca="false">(($B$23*(1+$B$14)/($B$19-$B$14))*(1/(1+$B$19)^5)+$B$24+$B$25-$B$26)/$B$27</f>
        <v>298.66038444905</v>
      </c>
      <c r="D7" s="17" t="n">
        <f aca="false">(($B$23*(1+$B$15)/($B$19-$B$15))*(1/(1+$B$19)^5)+$B$24+$B$25-$B$26)/$B$27</f>
        <v>322.891386122861</v>
      </c>
      <c r="E7" s="17" t="n">
        <f aca="false">(($B$23*(1+$B$16)/($B$19-$B$16))*(1/(1+$B$19)^5)+$B$24+$B$25-$B$26)/$B$27</f>
        <v>352.507054835298</v>
      </c>
      <c r="F7" s="17" t="n">
        <f aca="false">(($B$23*(1+$B$17)/($B$19-$B$17))*(1/(1+$B$19)^5)+$B$24+$B$25-$B$26)/$B$27</f>
        <v>389.526640725843</v>
      </c>
    </row>
    <row r="8" customFormat="false" ht="15" hidden="false" customHeight="false" outlineLevel="0" collapsed="false">
      <c r="A8" s="8" t="s">
        <v>102</v>
      </c>
      <c r="B8" s="17" t="n">
        <f aca="false">(($B$23*(1+$B$13)/($B$20-$B$13))*(1/(1+$B$20)^5)+$B$24+$B$25-$B$26)/$B$27</f>
        <v>240.401468342043</v>
      </c>
      <c r="C8" s="17" t="n">
        <f aca="false">(($B$23*(1+$B$14)/($B$20-$B$14))*(1/(1+$B$20)^5)+$B$24+$B$25-$B$26)/$B$27</f>
        <v>254.516494748353</v>
      </c>
      <c r="D8" s="18" t="n">
        <f aca="false">(($B$23*(1+$B$15)/($B$20-$B$15))*(1/(1+$B$20)^5)+$B$24+$B$25-$B$26)/$B$27</f>
        <v>270.984025555716</v>
      </c>
      <c r="E8" s="17" t="n">
        <f aca="false">(($B$23*(1+$B$16)/($B$20-$B$16))*(1/(1+$B$20)^5)+$B$24+$B$25-$B$26)/$B$27</f>
        <v>290.445652873507</v>
      </c>
      <c r="F8" s="17" t="n">
        <f aca="false">(($B$23*(1+$B$17)/($B$20-$B$17))*(1/(1+$B$20)^5)+$B$24+$B$25-$B$26)/$B$27</f>
        <v>313.799605654858</v>
      </c>
    </row>
    <row r="9" customFormat="false" ht="15" hidden="false" customHeight="false" outlineLevel="0" collapsed="false">
      <c r="A9" s="8" t="s">
        <v>103</v>
      </c>
      <c r="B9" s="17" t="n">
        <f aca="false">(($B$23*(1+$B$13)/($B$21-$B$13))*(1/(1+$B$21)^5)+$B$24+$B$25-$B$26)/$B$27</f>
        <v>212.231186884943</v>
      </c>
      <c r="C9" s="17" t="n">
        <f aca="false">(($B$23*(1+$B$14)/($B$21-$B$14))*(1/(1+$B$21)^5)+$B$24+$B$25-$B$26)/$B$27</f>
        <v>222.551124985043</v>
      </c>
      <c r="D9" s="17" t="n">
        <f aca="false">(($B$23*(1+$B$15)/($B$21-$B$15))*(1/(1+$B$21)^5)+$B$24+$B$25-$B$26)/$B$27</f>
        <v>234.345339956587</v>
      </c>
      <c r="E9" s="17" t="n">
        <f aca="false">(($B$23*(1+$B$16)/($B$21-$B$16))*(1/(1+$B$21)^5)+$B$24+$B$25-$B$26)/$B$27</f>
        <v>247.954049539138</v>
      </c>
      <c r="F9" s="17" t="n">
        <f aca="false">(($B$23*(1+$B$17)/($B$21-$B$17))*(1/(1+$B$21)^5)+$B$24+$B$25-$B$26)/$B$27</f>
        <v>263.830877385447</v>
      </c>
    </row>
    <row r="10" customFormat="false" ht="15" hidden="false" customHeight="false" outlineLevel="0" collapsed="false">
      <c r="A10" s="8" t="s">
        <v>104</v>
      </c>
      <c r="B10" s="17" t="n">
        <f aca="false">(($B$23*(1+$B$13)/($B$22-$B$13))*(1/(1+$B$22)^5)+$B$24+$B$25-$B$26)/$B$27</f>
        <v>190.637433717308</v>
      </c>
      <c r="C10" s="17" t="n">
        <f aca="false">(($B$23*(1+$B$14)/($B$22-$B$14))*(1/(1+$B$22)^5)+$B$24+$B$25-$B$26)/$B$27</f>
        <v>198.443742626626</v>
      </c>
      <c r="D10" s="17" t="n">
        <f aca="false">(($B$23*(1+$B$15)/($B$22-$B$15))*(1/(1+$B$22)^5)+$B$24+$B$25-$B$26)/$B$27</f>
        <v>207.225840149609</v>
      </c>
      <c r="E10" s="17" t="n">
        <f aca="false">(($B$23*(1+$B$16)/($B$22-$B$16))*(1/(1+$B$22)^5)+$B$24+$B$25-$B$26)/$B$27</f>
        <v>217.17888400899</v>
      </c>
      <c r="F10" s="17" t="n">
        <f aca="false">(($B$23*(1+$B$17)/($B$22-$B$17))*(1/(1+$B$22)^5)+$B$24+$B$25-$B$26)/$B$27</f>
        <v>228.553791276853</v>
      </c>
    </row>
    <row r="12" customFormat="false" ht="15" hidden="false" customHeight="false" outlineLevel="0" collapsed="false">
      <c r="A12" s="16" t="s">
        <v>105</v>
      </c>
    </row>
    <row r="13" customFormat="false" ht="15" hidden="false" customHeight="false" outlineLevel="0" collapsed="false">
      <c r="A13" s="0" t="s">
        <v>106</v>
      </c>
      <c r="B13" s="7" t="n">
        <v>0.02</v>
      </c>
    </row>
    <row r="14" customFormat="false" ht="15" hidden="false" customHeight="false" outlineLevel="0" collapsed="false">
      <c r="A14" s="0" t="s">
        <v>107</v>
      </c>
      <c r="B14" s="7" t="n">
        <v>0.025</v>
      </c>
    </row>
    <row r="15" customFormat="false" ht="15" hidden="false" customHeight="false" outlineLevel="0" collapsed="false">
      <c r="A15" s="0" t="s">
        <v>108</v>
      </c>
      <c r="B15" s="7" t="n">
        <v>0.03</v>
      </c>
    </row>
    <row r="16" customFormat="false" ht="15" hidden="false" customHeight="false" outlineLevel="0" collapsed="false">
      <c r="A16" s="0" t="s">
        <v>109</v>
      </c>
      <c r="B16" s="7" t="n">
        <v>0.035</v>
      </c>
    </row>
    <row r="17" customFormat="false" ht="15" hidden="false" customHeight="false" outlineLevel="0" collapsed="false">
      <c r="A17" s="0" t="s">
        <v>110</v>
      </c>
      <c r="B17" s="7" t="n">
        <v>0.04</v>
      </c>
    </row>
    <row r="18" customFormat="false" ht="15" hidden="false" customHeight="false" outlineLevel="0" collapsed="false">
      <c r="A18" s="0" t="s">
        <v>111</v>
      </c>
      <c r="B18" s="7" t="n">
        <v>0.07</v>
      </c>
    </row>
    <row r="19" customFormat="false" ht="15" hidden="false" customHeight="false" outlineLevel="0" collapsed="false">
      <c r="A19" s="0" t="s">
        <v>112</v>
      </c>
      <c r="B19" s="7" t="n">
        <v>0.08</v>
      </c>
    </row>
    <row r="20" customFormat="false" ht="15" hidden="false" customHeight="false" outlineLevel="0" collapsed="false">
      <c r="A20" s="0" t="s">
        <v>113</v>
      </c>
      <c r="B20" s="7" t="n">
        <v>0.09</v>
      </c>
    </row>
    <row r="21" customFormat="false" ht="15" hidden="false" customHeight="false" outlineLevel="0" collapsed="false">
      <c r="A21" s="0" t="s">
        <v>114</v>
      </c>
      <c r="B21" s="7" t="n">
        <v>0.1</v>
      </c>
    </row>
    <row r="22" customFormat="false" ht="15" hidden="false" customHeight="false" outlineLevel="0" collapsed="false">
      <c r="A22" s="0" t="s">
        <v>115</v>
      </c>
      <c r="B22" s="7" t="n">
        <v>0.11</v>
      </c>
    </row>
    <row r="23" customFormat="false" ht="15" hidden="false" customHeight="false" outlineLevel="0" collapsed="false">
      <c r="A23" s="0" t="s">
        <v>116</v>
      </c>
      <c r="B23" s="11" t="n">
        <f aca="false">'DCF Model'!G13</f>
        <v>892.060237824</v>
      </c>
    </row>
    <row r="24" customFormat="false" ht="15" hidden="false" customHeight="false" outlineLevel="0" collapsed="false">
      <c r="A24" s="0" t="s">
        <v>117</v>
      </c>
      <c r="B24" s="11" t="n">
        <f aca="false">'DCF Model'!B27</f>
        <v>2577.05929998286</v>
      </c>
    </row>
    <row r="25" customFormat="false" ht="15" hidden="false" customHeight="false" outlineLevel="0" collapsed="false">
      <c r="A25" s="0" t="s">
        <v>118</v>
      </c>
      <c r="B25" s="0" t="n">
        <f aca="false">Assumptions!B10</f>
        <v>865</v>
      </c>
    </row>
    <row r="26" customFormat="false" ht="15" hidden="false" customHeight="false" outlineLevel="0" collapsed="false">
      <c r="A26" s="0" t="s">
        <v>119</v>
      </c>
      <c r="B26" s="0" t="n">
        <f aca="false">Assumptions!B11</f>
        <v>62.5</v>
      </c>
    </row>
    <row r="27" customFormat="false" ht="15" hidden="false" customHeight="false" outlineLevel="0" collapsed="false">
      <c r="A27" s="0" t="s">
        <v>120</v>
      </c>
      <c r="B27" s="0" t="n">
        <f aca="false">Assumptions!B8</f>
        <v>49.2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121</v>
      </c>
      <c r="B1" s="1"/>
      <c r="C1" s="1"/>
      <c r="D1" s="1"/>
    </row>
    <row r="3" customFormat="false" ht="15" hidden="false" customHeight="false" outlineLevel="0" collapsed="false">
      <c r="A3" s="10" t="s">
        <v>122</v>
      </c>
      <c r="B3" s="10"/>
      <c r="C3" s="10"/>
      <c r="D3" s="10"/>
    </row>
    <row r="4" customFormat="false" ht="15" hidden="false" customHeight="false" outlineLevel="0" collapsed="false">
      <c r="A4" s="0" t="s">
        <v>123</v>
      </c>
      <c r="B4" s="14" t="n">
        <f aca="false">Assumptions!B6</f>
        <v>188.43</v>
      </c>
    </row>
    <row r="5" customFormat="false" ht="15" hidden="false" customHeight="false" outlineLevel="0" collapsed="false">
      <c r="A5" s="0" t="s">
        <v>124</v>
      </c>
      <c r="B5" s="13" t="n">
        <f aca="false">'DCF Model'!B34</f>
        <v>273.15796199258</v>
      </c>
    </row>
    <row r="6" customFormat="false" ht="15" hidden="false" customHeight="false" outlineLevel="0" collapsed="false">
      <c r="A6" s="0" t="s">
        <v>88</v>
      </c>
      <c r="B6" s="7" t="n">
        <f aca="false">'DCF Model'!B36</f>
        <v>0.449652189102477</v>
      </c>
    </row>
    <row r="7" customFormat="false" ht="15" hidden="false" customHeight="false" outlineLevel="0" collapsed="false">
      <c r="A7" s="0" t="s">
        <v>10</v>
      </c>
      <c r="B7" s="19" t="n">
        <f aca="false">Assumptions!B9</f>
        <v>8711.1189</v>
      </c>
    </row>
    <row r="8" customFormat="false" ht="15" hidden="false" customHeight="false" outlineLevel="0" collapsed="false">
      <c r="A8" s="0" t="s">
        <v>125</v>
      </c>
      <c r="B8" s="19" t="n">
        <f aca="false">'DCF Model'!B29</f>
        <v>12636.8717300349</v>
      </c>
    </row>
    <row r="10" customFormat="false" ht="15" hidden="false" customHeight="false" outlineLevel="0" collapsed="false">
      <c r="A10" s="10" t="s">
        <v>126</v>
      </c>
      <c r="B10" s="10"/>
      <c r="C10" s="10"/>
      <c r="D10" s="10"/>
    </row>
    <row r="11" customFormat="false" ht="15" hidden="false" customHeight="false" outlineLevel="0" collapsed="false">
      <c r="A11" s="0" t="s">
        <v>43</v>
      </c>
      <c r="B11" s="7" t="n">
        <f aca="false">Assumptions!B34</f>
        <v>0.08949875</v>
      </c>
    </row>
    <row r="12" customFormat="false" ht="15" hidden="false" customHeight="false" outlineLevel="0" collapsed="false">
      <c r="A12" s="0" t="s">
        <v>44</v>
      </c>
      <c r="B12" s="7" t="n">
        <f aca="false">Assumptions!B35</f>
        <v>0.03</v>
      </c>
    </row>
    <row r="13" customFormat="false" ht="15" hidden="false" customHeight="false" outlineLevel="0" collapsed="false">
      <c r="A13" s="0" t="s">
        <v>54</v>
      </c>
      <c r="B13" s="7" t="n">
        <f aca="false">Assumptions!B44</f>
        <v>0.35</v>
      </c>
    </row>
    <row r="14" customFormat="false" ht="15" hidden="false" customHeight="false" outlineLevel="0" collapsed="false">
      <c r="A14" s="0" t="s">
        <v>127</v>
      </c>
      <c r="B14" s="7" t="n">
        <f aca="false">(('DCF Model'!G9/Assumptions!B38)^(1/5))-1</f>
        <v>0.198664884265374</v>
      </c>
    </row>
    <row r="16" customFormat="false" ht="15" hidden="false" customHeight="false" outlineLevel="0" collapsed="false">
      <c r="A16" s="10" t="s">
        <v>128</v>
      </c>
      <c r="B16" s="10"/>
      <c r="C16" s="10"/>
      <c r="D16" s="10"/>
    </row>
    <row r="17" customFormat="false" ht="15" hidden="false" customHeight="false" outlineLevel="0" collapsed="false">
      <c r="A17" s="0" t="s">
        <v>129</v>
      </c>
      <c r="B17" s="19" t="n">
        <f aca="false">Assumptions!B38</f>
        <v>1030</v>
      </c>
    </row>
    <row r="18" customFormat="false" ht="15" hidden="false" customHeight="false" outlineLevel="0" collapsed="false">
      <c r="A18" s="0" t="s">
        <v>130</v>
      </c>
      <c r="B18" s="19" t="n">
        <f aca="false">'DCF Model'!G9</f>
        <v>2548.74353664</v>
      </c>
    </row>
    <row r="19" customFormat="false" ht="15" hidden="false" customHeight="false" outlineLevel="0" collapsed="false">
      <c r="A19" s="0" t="s">
        <v>131</v>
      </c>
      <c r="B19" s="19" t="n">
        <f aca="false">'DCF Model'!G13</f>
        <v>892.060237824</v>
      </c>
    </row>
    <row r="21" customFormat="false" ht="15" hidden="false" customHeight="false" outlineLevel="0" collapsed="false">
      <c r="A21" s="10" t="s">
        <v>132</v>
      </c>
      <c r="B21" s="10"/>
      <c r="C21" s="10"/>
      <c r="D21" s="10"/>
    </row>
    <row r="22" customFormat="false" ht="15" hidden="false" customHeight="false" outlineLevel="0" collapsed="false">
      <c r="A22" s="0" t="s">
        <v>133</v>
      </c>
    </row>
    <row r="23" customFormat="false" ht="15" hidden="false" customHeight="false" outlineLevel="0" collapsed="false">
      <c r="A23" s="0" t="s">
        <v>134</v>
      </c>
    </row>
    <row r="24" customFormat="false" ht="15" hidden="false" customHeight="false" outlineLevel="0" collapsed="false">
      <c r="A24" s="0" t="s">
        <v>135</v>
      </c>
    </row>
    <row r="25" customFormat="false" ht="15" hidden="false" customHeight="false" outlineLevel="0" collapsed="false">
      <c r="A25" s="0" t="s">
        <v>136</v>
      </c>
    </row>
    <row r="26" customFormat="false" ht="15" hidden="false" customHeight="false" outlineLevel="0" collapsed="false">
      <c r="A26" s="0" t="s">
        <v>137</v>
      </c>
    </row>
    <row r="27" customFormat="false" ht="15" hidden="false" customHeight="false" outlineLevel="0" collapsed="false">
      <c r="A27" s="0" t="s">
        <v>138</v>
      </c>
    </row>
    <row r="29" customFormat="false" ht="15" hidden="false" customHeight="false" outlineLevel="0" collapsed="false">
      <c r="A29" s="10" t="s">
        <v>139</v>
      </c>
      <c r="B29" s="10"/>
      <c r="C29" s="10"/>
      <c r="D29" s="10"/>
    </row>
    <row r="30" customFormat="false" ht="15" hidden="false" customHeight="false" outlineLevel="0" collapsed="false">
      <c r="A30" s="0" t="s">
        <v>140</v>
      </c>
    </row>
    <row r="31" customFormat="false" ht="15" hidden="false" customHeight="false" outlineLevel="0" collapsed="false">
      <c r="A31" s="0" t="s">
        <v>141</v>
      </c>
    </row>
    <row r="32" customFormat="false" ht="15" hidden="false" customHeight="false" outlineLevel="0" collapsed="false">
      <c r="A32" s="0" t="s">
        <v>142</v>
      </c>
    </row>
    <row r="33" customFormat="false" ht="15" hidden="false" customHeight="false" outlineLevel="0" collapsed="false">
      <c r="A33" s="0" t="s">
        <v>143</v>
      </c>
    </row>
    <row r="34" customFormat="false" ht="15" hidden="false" customHeight="false" outlineLevel="0" collapsed="false">
      <c r="A34" s="0" t="s">
        <v>144</v>
      </c>
    </row>
  </sheetData>
  <mergeCells count="6">
    <mergeCell ref="A1:D1"/>
    <mergeCell ref="A3:D3"/>
    <mergeCell ref="A10:D10"/>
    <mergeCell ref="A16:D16"/>
    <mergeCell ref="A21:D21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2025-11-28T01:56:53Z</dcterms:created>
  <dc:creator>openpyxl</dc:creator>
  <dc:description/>
  <dc:language>en-US</dc:language>
  <cp:lastModifiedBy/>
  <dcterms:modified xsi:type="dcterms:W3CDTF">2025-11-28T01:56:53Z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