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Bull Case" sheetId="2" r:id="rId2"/>
    <sheet name="Bear Case" sheetId="3" r:id="rId3"/>
    <sheet name="Sensitivity" sheetId="4" r:id="rId4"/>
    <sheet name="Historical Data" sheetId="5" r:id="rId5"/>
  </sheets>
  <calcPr calcId="124519" fullCalcOnLoad="1"/>
</workbook>
</file>

<file path=xl/sharedStrings.xml><?xml version="1.0" encoding="utf-8"?>
<sst xmlns="http://schemas.openxmlformats.org/spreadsheetml/2006/main" count="199" uniqueCount="141">
  <si>
    <t>XPEL, Inc. (XPEL) — DCF Valuation Model</t>
  </si>
  <si>
    <t>Valuation Date: 2026-06-25  |  All figures in USD millions except per-share values  |  Gray cells = adjustable inputs</t>
  </si>
  <si>
    <t>KEY INPUTS</t>
  </si>
  <si>
    <t>Current Stock Price</t>
  </si>
  <si>
    <t>Enter live price to update upside/downside</t>
  </si>
  <si>
    <t>Shares Outstanding (M, diluted)</t>
  </si>
  <si>
    <t>Cash &amp; Equivalents (M)</t>
  </si>
  <si>
    <t>Total Debt (M)</t>
  </si>
  <si>
    <t>Net Debt (M) = Debt - Cash</t>
  </si>
  <si>
    <t>Base Year FCF (M) [FY2025 actual]</t>
  </si>
  <si>
    <t>Base Year Revenue (M) [FY2025 actual]</t>
  </si>
  <si>
    <t>WACC</t>
  </si>
  <si>
    <t>Terminal Growth Rate</t>
  </si>
  <si>
    <t>REVENUE GROWTH RATE ASSUMPTIONS (Base Case — adjust these)</t>
  </si>
  <si>
    <t>Year 1</t>
  </si>
  <si>
    <t>Year 2</t>
  </si>
  <si>
    <t>Year 3</t>
  </si>
  <si>
    <t>Year 4</t>
  </si>
  <si>
    <t>Year 5</t>
  </si>
  <si>
    <t>Revenue Growth Rate</t>
  </si>
  <si>
    <t>FCF Margin (% of Revenue)</t>
  </si>
  <si>
    <t>PROJECTIONS</t>
  </si>
  <si>
    <t>Base Year</t>
  </si>
  <si>
    <t>Revenue (M)</t>
  </si>
  <si>
    <t>Free Cash Flow (M)</t>
  </si>
  <si>
    <t>Discount Factor</t>
  </si>
  <si>
    <t>PV of FCF (M)</t>
  </si>
  <si>
    <t>BASE CASE VALUATION</t>
  </si>
  <si>
    <t>Sum of PV of FCF (M)</t>
  </si>
  <si>
    <t>Terminal FCF (Year 5 FCF × (1+g))</t>
  </si>
  <si>
    <t>Terminal Value (M)</t>
  </si>
  <si>
    <t>PV of Terminal Value (M)</t>
  </si>
  <si>
    <t>Enterprise Value (M)</t>
  </si>
  <si>
    <t>Less: Net Debt (M) [negative = net cash]</t>
  </si>
  <si>
    <t>Equity Value (M)</t>
  </si>
  <si>
    <t>INTRINSIC VALUE / SHARE</t>
  </si>
  <si>
    <t>Upside / (Downside) to IV</t>
  </si>
  <si>
    <t>ENTRY PRICE ANALYSIS (15% CAGR Hurdle)</t>
  </si>
  <si>
    <t>Terminal Value per Share</t>
  </si>
  <si>
    <t>Entry Price for 15% CAGR (5 years)</t>
  </si>
  <si>
    <t>Current Price vs. Entry Price</t>
  </si>
  <si>
    <t>(positive = stock above 15% CAGR entry, lower return implied)</t>
  </si>
  <si>
    <t>SCENARIO COMPARISON SUMMARY</t>
  </si>
  <si>
    <t>Scenario</t>
  </si>
  <si>
    <t>Terminal G</t>
  </si>
  <si>
    <t>Y1 FCF Margin</t>
  </si>
  <si>
    <t>Y5 FCF Margin</t>
  </si>
  <si>
    <t>Intrinsic Value</t>
  </si>
  <si>
    <t>Upside</t>
  </si>
  <si>
    <t>Weight</t>
  </si>
  <si>
    <t>Bull Case</t>
  </si>
  <si>
    <t>Base Case</t>
  </si>
  <si>
    <t>Bear Case</t>
  </si>
  <si>
    <t>Probability-Weighted IV</t>
  </si>
  <si>
    <t>25/50/25</t>
  </si>
  <si>
    <t>NOTES: Gray cells are user-adjustable inputs. Changing WACC, terminal growth, revenue growth rates, or FCF margins will update all formulas automatically. The scenario comparison table above uses hardcoded scenario values for reference — see "Bull Case" and "Bear Case" sheets for full scenario models. Net debt is negative (net cash position of $45.1M); subtracting negative net debt adds cash to enterprise value.</t>
  </si>
  <si>
    <t>XPEL Bull Case DCF — Manufacturing Thesis Succeeds, China Scales</t>
  </si>
  <si>
    <t>WACC: 9.5% | Terminal Growth: 3.5% | Revenue growth 18%→11% | FCF margin 13%→21.5%</t>
  </si>
  <si>
    <t>BULL CASE ASSUMPTIONS</t>
  </si>
  <si>
    <t>9.5%</t>
  </si>
  <si>
    <t>3.5%</t>
  </si>
  <si>
    <t>Scenario Driver</t>
  </si>
  <si>
    <t>Vertical integration delivers 52%+ GM by Y4; China OEM scales to $100M+; FCF margins expand to 21.5%</t>
  </si>
  <si>
    <t>N/A</t>
  </si>
  <si>
    <t>FCF Margin</t>
  </si>
  <si>
    <t>Discount Factor (9.5% WACC)</t>
  </si>
  <si>
    <t>BULL CASE VALUATION</t>
  </si>
  <si>
    <t>Terminal FCF (Year 5 × (1+3.5%))</t>
  </si>
  <si>
    <t>Less: Net Debt (M) [net cash = negative]</t>
  </si>
  <si>
    <t>Upside to Current Price ($45.84)</t>
  </si>
  <si>
    <t>Terminal Value / Share</t>
  </si>
  <si>
    <t>Entry Price for 15% CAGR</t>
  </si>
  <si>
    <t>XPEL Bear Case DCF — Margin Recovery Stalls, Macro/China Headwinds</t>
  </si>
  <si>
    <t>WACC: 12.0% | Terminal Growth: 2.5% | Revenue growth 8%→3% | FCF margin 10.5%→12.0%</t>
  </si>
  <si>
    <t>BEAR CASE ASSUMPTIONS</t>
  </si>
  <si>
    <t>12.0%</t>
  </si>
  <si>
    <t>2.5%</t>
  </si>
  <si>
    <t>Manufacturing capex delays recovery; China friction; auto market softness; FCF margins stuck at 10.5-12%</t>
  </si>
  <si>
    <t>Discount Factor (12.0% WACC)</t>
  </si>
  <si>
    <t>BEAR CASE VALUATION</t>
  </si>
  <si>
    <t>Terminal FCF (Year 5 × (1+2.5%))</t>
  </si>
  <si>
    <t>Upside / (Downside) to Current Price ($45.84)</t>
  </si>
  <si>
    <t>XPEL Sensitivity Analysis — Intrinsic Value per Share</t>
  </si>
  <si>
    <t>Base Case revenue growth and FCF margin assumptions. Rows = WACC, Columns = Terminal Growth Rate</t>
  </si>
  <si>
    <t>WACC \ Terminal G →</t>
  </si>
  <si>
    <t>2.0%</t>
  </si>
  <si>
    <t>3.0%</t>
  </si>
  <si>
    <t>4.0%</t>
  </si>
  <si>
    <t>8.5%</t>
  </si>
  <si>
    <t>10.5%</t>
  </si>
  <si>
    <t>11.5%</t>
  </si>
  <si>
    <t>12.5%</t>
  </si>
  <si>
    <t>COLOR LEGEND:</t>
  </si>
  <si>
    <t>Dark Green</t>
  </si>
  <si>
    <t>&gt;15% above current price ($45.84)</t>
  </si>
  <si>
    <t>Light Blue</t>
  </si>
  <si>
    <t>Above current price but &lt;15% premium</t>
  </si>
  <si>
    <t>Orange</t>
  </si>
  <si>
    <t>Within 15% below current price</t>
  </si>
  <si>
    <t>Red</t>
  </si>
  <si>
    <t>More than 15% below current price</t>
  </si>
  <si>
    <t>Base case (WACC 10.5%, TGR 3.0%) highlighted cell = $52.73</t>
  </si>
  <si>
    <t>Current price = $45.84. Values use base-case revenue growth and FCF margin projections.</t>
  </si>
  <si>
    <t>XPEL Historical Financial Data (FY2018 - FY2025)</t>
  </si>
  <si>
    <t>HISTORICAL GROWTH RATES</t>
  </si>
  <si>
    <t>Metric</t>
  </si>
  <si>
    <t>3-Year CAGR</t>
  </si>
  <si>
    <t>5-Year CAGR</t>
  </si>
  <si>
    <t>Notes</t>
  </si>
  <si>
    <t>Revenue</t>
  </si>
  <si>
    <t>3yr: 2022→2025. 5yr: 2020→2025. 5yr inflated by COVID rebound.</t>
  </si>
  <si>
    <t>EPS</t>
  </si>
  <si>
    <t>3yr reflects margin compression 2022→2025. 5yr includes hyper-growth years.</t>
  </si>
  <si>
    <t>Shareholders Equity</t>
  </si>
  <si>
    <t>Rapidly compounding via retained earnings. NOT selected as primary rate.</t>
  </si>
  <si>
    <t>FCF (5yr, 2020→2025)</t>
  </si>
  <si>
    <t>—</t>
  </si>
  <si>
    <t>3yr distorted by near-zero FY2022 FCF base. FCF trend is strong and reliable.</t>
  </si>
  <si>
    <t>SELECTED RATE FOR DCF</t>
  </si>
  <si>
    <t>Revenue 3yr CAGR</t>
  </si>
  <si>
    <t>Used as anchor; DCF models FCF margins separately via revenue-FCF margin approach</t>
  </si>
  <si>
    <t>ANNUAL FINANCIALS (M USD)</t>
  </si>
  <si>
    <t>Fiscal Year</t>
  </si>
  <si>
    <t>2018</t>
  </si>
  <si>
    <t>2019</t>
  </si>
  <si>
    <t>2020</t>
  </si>
  <si>
    <t>2021</t>
  </si>
  <si>
    <t>2022</t>
  </si>
  <si>
    <t>2023</t>
  </si>
  <si>
    <t>2024</t>
  </si>
  <si>
    <t>2025</t>
  </si>
  <si>
    <t>Gross Profit</t>
  </si>
  <si>
    <t>Gross Margin %</t>
  </si>
  <si>
    <t>Operating Income</t>
  </si>
  <si>
    <t>Operating Margin %</t>
  </si>
  <si>
    <t>Net Income</t>
  </si>
  <si>
    <t>Free Cash Flow</t>
  </si>
  <si>
    <t>FCF Margin %</t>
  </si>
  <si>
    <t>Shareholders' Equity</t>
  </si>
  <si>
    <t>Cash &amp; Equivalents</t>
  </si>
  <si>
    <t>Total Debt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</si>
</sst>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#,##0.00"/>
    <numFmt numFmtId="166" formatCode="0.00%"/>
    <numFmt numFmtId="167" formatCode="#,##0.0"/>
    <numFmt numFmtId="168" formatCode="0.0%"/>
  </numFmts>
  <fonts count="6">
    <font>
      <sz val="11"/>
      <color theme="1"/>
      <name val="Calibri"/>
      <family val="2"/>
      <scheme val="minor"/>
    </font>
    <font>
      <b/>
      <sz val="18"/>
      <color rgb="FF2D3436"/>
      <name val="Calibri"/>
      <family val="2"/>
      <scheme val="minor"/>
    </font>
    <font>
      <i/>
      <sz val="10"/>
      <color rgb="FF636E7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636E7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D3436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636E72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55EFC4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FAB1A0"/>
        <bgColor indexed="64"/>
      </patternFill>
    </fill>
    <fill>
      <patternFill patternType="solid">
        <fgColor rgb="FFB2EBF2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FCDD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2" xfId="0" applyFont="1" applyBorder="1"/>
    <xf numFmtId="164" fontId="0" fillId="3" borderId="2" xfId="0" applyNumberFormat="1" applyFill="1" applyBorder="1"/>
    <xf numFmtId="0" fontId="5" fillId="0" borderId="0" xfId="0" applyFont="1" applyAlignment="1">
      <alignment wrapText="1"/>
    </xf>
    <xf numFmtId="165" fontId="0" fillId="3" borderId="2" xfId="0" applyNumberFormat="1" applyFill="1" applyBorder="1"/>
    <xf numFmtId="165" fontId="0" fillId="0" borderId="2" xfId="0" applyNumberFormat="1" applyBorder="1"/>
    <xf numFmtId="166" fontId="0" fillId="3" borderId="2" xfId="0" applyNumberFormat="1" applyFill="1" applyBorder="1"/>
    <xf numFmtId="0" fontId="3" fillId="4" borderId="2" xfId="0" applyFont="1" applyFill="1" applyBorder="1" applyAlignment="1">
      <alignment horizontal="center"/>
    </xf>
    <xf numFmtId="167" fontId="0" fillId="0" borderId="2" xfId="0" applyNumberFormat="1" applyBorder="1"/>
    <xf numFmtId="0" fontId="0" fillId="0" borderId="2" xfId="0" applyBorder="1"/>
    <xf numFmtId="164" fontId="3" fillId="5" borderId="3" xfId="0" applyNumberFormat="1" applyFont="1" applyFill="1" applyBorder="1"/>
    <xf numFmtId="168" fontId="3" fillId="5" borderId="3" xfId="0" applyNumberFormat="1" applyFont="1" applyFill="1" applyBorder="1"/>
    <xf numFmtId="164" fontId="0" fillId="0" borderId="2" xfId="0" applyNumberFormat="1" applyBorder="1"/>
    <xf numFmtId="164" fontId="3" fillId="6" borderId="3" xfId="0" applyNumberFormat="1" applyFont="1" applyFill="1" applyBorder="1"/>
    <xf numFmtId="166" fontId="0" fillId="0" borderId="2" xfId="0" applyNumberFormat="1" applyBorder="1"/>
    <xf numFmtId="0" fontId="3" fillId="5" borderId="2" xfId="0" applyFont="1" applyFill="1" applyBorder="1" applyAlignment="1">
      <alignment horizontal="center"/>
    </xf>
    <xf numFmtId="168" fontId="0" fillId="0" borderId="2" xfId="0" applyNumberFormat="1" applyBorder="1"/>
    <xf numFmtId="168" fontId="4" fillId="7" borderId="2" xfId="0" applyNumberFormat="1" applyFont="1" applyFill="1" applyBorder="1"/>
    <xf numFmtId="0" fontId="3" fillId="6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168" fontId="4" fillId="9" borderId="2" xfId="0" applyNumberFormat="1" applyFont="1" applyFill="1" applyBorder="1"/>
    <xf numFmtId="164" fontId="3" fillId="8" borderId="3" xfId="0" applyNumberFormat="1" applyFont="1" applyFill="1" applyBorder="1"/>
    <xf numFmtId="164" fontId="0" fillId="7" borderId="2" xfId="0" applyNumberFormat="1" applyFill="1" applyBorder="1"/>
    <xf numFmtId="164" fontId="0" fillId="10" borderId="2" xfId="0" applyNumberFormat="1" applyFill="1" applyBorder="1"/>
    <xf numFmtId="164" fontId="0" fillId="11" borderId="2" xfId="0" applyNumberFormat="1" applyFill="1" applyBorder="1"/>
    <xf numFmtId="164" fontId="0" fillId="12" borderId="2" xfId="0" applyNumberFormat="1" applyFill="1" applyBorder="1"/>
    <xf numFmtId="0" fontId="0" fillId="7" borderId="2" xfId="0" applyFill="1" applyBorder="1"/>
    <xf numFmtId="0" fontId="0" fillId="0" borderId="2" xfId="0" applyBorder="1" applyAlignment="1">
      <alignment horizontal="left" indent="1"/>
    </xf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1" width="28.7109375" customWidth="1"/>
    <col min="2" max="2" width="15.7109375" customWidth="1"/>
    <col min="3" max="8" width="13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5" spans="1:8">
      <c r="A5" s="3" t="s">
        <v>2</v>
      </c>
      <c r="B5" s="3"/>
      <c r="C5" s="3"/>
      <c r="D5" s="3"/>
      <c r="E5" s="3"/>
      <c r="F5" s="3"/>
      <c r="G5" s="3"/>
      <c r="H5" s="3"/>
    </row>
    <row r="6" spans="1:8">
      <c r="A6" s="4" t="s">
        <v>3</v>
      </c>
      <c r="B6" s="5">
        <v>45.84</v>
      </c>
      <c r="C6" s="6" t="s">
        <v>4</v>
      </c>
    </row>
    <row r="7" spans="1:8">
      <c r="A7" s="4" t="s">
        <v>5</v>
      </c>
      <c r="B7" s="7">
        <v>27.7</v>
      </c>
    </row>
    <row r="8" spans="1:8">
      <c r="A8" s="4" t="s">
        <v>6</v>
      </c>
      <c r="B8" s="7">
        <v>45.1</v>
      </c>
    </row>
    <row r="9" spans="1:8">
      <c r="A9" s="4" t="s">
        <v>7</v>
      </c>
      <c r="B9" s="7">
        <v>0</v>
      </c>
    </row>
    <row r="10" spans="1:8">
      <c r="A10" s="4" t="s">
        <v>8</v>
      </c>
      <c r="B10" s="8">
        <f>B9-B8</f>
        <v>0</v>
      </c>
    </row>
    <row r="11" spans="1:8">
      <c r="A11" s="4" t="s">
        <v>9</v>
      </c>
      <c r="B11" s="7">
        <v>62.93</v>
      </c>
    </row>
    <row r="12" spans="1:8">
      <c r="A12" s="4" t="s">
        <v>10</v>
      </c>
      <c r="B12" s="7">
        <v>476.2</v>
      </c>
    </row>
    <row r="13" spans="1:8">
      <c r="A13" s="4" t="s">
        <v>11</v>
      </c>
      <c r="B13" s="9">
        <v>0.105</v>
      </c>
    </row>
    <row r="14" spans="1:8">
      <c r="A14" s="4" t="s">
        <v>12</v>
      </c>
      <c r="B14" s="9">
        <v>0.03</v>
      </c>
    </row>
    <row r="16" spans="1:8">
      <c r="A16" s="3" t="s">
        <v>13</v>
      </c>
      <c r="B16" s="3"/>
      <c r="C16" s="3"/>
      <c r="D16" s="3"/>
      <c r="E16" s="3"/>
      <c r="F16" s="3"/>
      <c r="G16" s="3"/>
      <c r="H16" s="3"/>
    </row>
    <row r="17" spans="1:8">
      <c r="A17" s="10"/>
      <c r="B17" s="10" t="s">
        <v>14</v>
      </c>
      <c r="C17" s="10" t="s">
        <v>15</v>
      </c>
      <c r="D17" s="10" t="s">
        <v>16</v>
      </c>
      <c r="E17" s="10" t="s">
        <v>17</v>
      </c>
      <c r="F17" s="10" t="s">
        <v>18</v>
      </c>
    </row>
    <row r="18" spans="1:8">
      <c r="A18" s="4" t="s">
        <v>19</v>
      </c>
      <c r="B18" s="9">
        <v>0.13</v>
      </c>
      <c r="C18" s="9">
        <v>0.12</v>
      </c>
      <c r="D18" s="9">
        <v>0.1</v>
      </c>
      <c r="E18" s="9">
        <v>0.09</v>
      </c>
      <c r="F18" s="9">
        <v>0.08</v>
      </c>
    </row>
    <row r="19" spans="1:8">
      <c r="A19" s="4" t="s">
        <v>20</v>
      </c>
      <c r="B19" s="9">
        <v>0.12</v>
      </c>
      <c r="C19" s="9">
        <v>0.125</v>
      </c>
      <c r="D19" s="9">
        <v>0.14</v>
      </c>
      <c r="E19" s="9">
        <v>0.155</v>
      </c>
      <c r="F19" s="9">
        <v>0.165</v>
      </c>
    </row>
    <row r="21" spans="1:8">
      <c r="A21" s="3" t="s">
        <v>21</v>
      </c>
      <c r="B21" s="3"/>
      <c r="C21" s="3"/>
      <c r="D21" s="3"/>
      <c r="E21" s="3"/>
      <c r="F21" s="3"/>
      <c r="G21" s="3"/>
      <c r="H21" s="3"/>
    </row>
    <row r="22" spans="1:8">
      <c r="A22" s="10"/>
      <c r="B22" s="10" t="s">
        <v>22</v>
      </c>
      <c r="C22" s="10" t="s">
        <v>14</v>
      </c>
      <c r="D22" s="10" t="s">
        <v>15</v>
      </c>
      <c r="E22" s="10" t="s">
        <v>16</v>
      </c>
      <c r="F22" s="10" t="s">
        <v>17</v>
      </c>
      <c r="G22" s="10" t="s">
        <v>18</v>
      </c>
    </row>
    <row r="23" spans="1:8">
      <c r="A23" s="4" t="s">
        <v>23</v>
      </c>
      <c r="B23" s="11">
        <f>B12</f>
        <v>0</v>
      </c>
      <c r="C23" s="11">
        <f>B23*(1+B18)</f>
        <v>0</v>
      </c>
      <c r="D23" s="11">
        <f>C23*(1+C18)</f>
        <v>0</v>
      </c>
      <c r="E23" s="11">
        <f>D23*(1+D18)</f>
        <v>0</v>
      </c>
      <c r="F23" s="11">
        <f>E23*(1+E18)</f>
        <v>0</v>
      </c>
      <c r="G23" s="11">
        <f>F23*(1+F18)</f>
        <v>0</v>
      </c>
    </row>
    <row r="24" spans="1:8">
      <c r="A24" s="4" t="s">
        <v>24</v>
      </c>
      <c r="B24" s="11">
        <f>B11</f>
        <v>0</v>
      </c>
      <c r="C24" s="11">
        <f>C23*B19</f>
        <v>0</v>
      </c>
      <c r="D24" s="11">
        <f>D23*C19</f>
        <v>0</v>
      </c>
      <c r="E24" s="11">
        <f>E23*D19</f>
        <v>0</v>
      </c>
      <c r="F24" s="11">
        <f>F23*E19</f>
        <v>0</v>
      </c>
      <c r="G24" s="11">
        <f>G23*F19</f>
        <v>0</v>
      </c>
    </row>
    <row r="25" spans="1:8">
      <c r="A25" s="4" t="s">
        <v>25</v>
      </c>
      <c r="B25" s="12"/>
      <c r="C25" s="8">
        <f>1/(1+B13)^1</f>
        <v>0</v>
      </c>
      <c r="D25" s="8">
        <f>1/(1+B13)^2</f>
        <v>0</v>
      </c>
      <c r="E25" s="8">
        <f>1/(1+B13)^3</f>
        <v>0</v>
      </c>
      <c r="F25" s="8">
        <f>1/(1+B13)^4</f>
        <v>0</v>
      </c>
      <c r="G25" s="8">
        <f>1/(1+B13)^5</f>
        <v>0</v>
      </c>
    </row>
    <row r="26" spans="1:8">
      <c r="A26" s="4" t="s">
        <v>26</v>
      </c>
      <c r="B26" s="12"/>
      <c r="C26" s="11">
        <f>C24*C25</f>
        <v>0</v>
      </c>
      <c r="D26" s="11">
        <f>D24*D25</f>
        <v>0</v>
      </c>
      <c r="E26" s="11">
        <f>E24*E25</f>
        <v>0</v>
      </c>
      <c r="F26" s="11">
        <f>F24*F25</f>
        <v>0</v>
      </c>
      <c r="G26" s="11">
        <f>G24*G25</f>
        <v>0</v>
      </c>
    </row>
    <row r="28" spans="1:8">
      <c r="A28" s="3" t="s">
        <v>27</v>
      </c>
      <c r="B28" s="3"/>
      <c r="C28" s="3"/>
      <c r="D28" s="3"/>
      <c r="E28" s="3"/>
      <c r="F28" s="3"/>
      <c r="G28" s="3"/>
      <c r="H28" s="3"/>
    </row>
    <row r="29" spans="1:8">
      <c r="A29" s="4" t="s">
        <v>28</v>
      </c>
      <c r="B29" s="11">
        <f>SUM(C26:G26)</f>
        <v>0</v>
      </c>
    </row>
    <row r="30" spans="1:8">
      <c r="A30" s="4" t="s">
        <v>29</v>
      </c>
      <c r="B30" s="11">
        <f>G24*(1+B14)</f>
        <v>0</v>
      </c>
    </row>
    <row r="31" spans="1:8">
      <c r="A31" s="4" t="s">
        <v>30</v>
      </c>
      <c r="B31" s="11">
        <f>B30/(B13-B14)</f>
        <v>0</v>
      </c>
    </row>
    <row r="32" spans="1:8">
      <c r="A32" s="4" t="s">
        <v>31</v>
      </c>
      <c r="B32" s="11">
        <f>B31*G25</f>
        <v>0</v>
      </c>
    </row>
    <row r="33" spans="1:8">
      <c r="A33" s="4" t="s">
        <v>32</v>
      </c>
      <c r="B33" s="11">
        <f>B29+B32</f>
        <v>0</v>
      </c>
    </row>
    <row r="34" spans="1:8">
      <c r="A34" s="4" t="s">
        <v>33</v>
      </c>
      <c r="B34" s="8">
        <f>B10</f>
        <v>0</v>
      </c>
    </row>
    <row r="35" spans="1:8">
      <c r="A35" s="4" t="s">
        <v>34</v>
      </c>
      <c r="B35" s="11">
        <f>B33-B10</f>
        <v>0</v>
      </c>
    </row>
    <row r="36" spans="1:8">
      <c r="A36" s="4" t="s">
        <v>35</v>
      </c>
      <c r="B36" s="13">
        <f>B35/B7</f>
        <v>0</v>
      </c>
    </row>
    <row r="37" spans="1:8">
      <c r="A37" s="4" t="s">
        <v>36</v>
      </c>
      <c r="B37" s="14">
        <f>(B36-B6)/B6</f>
        <v>0</v>
      </c>
    </row>
    <row r="39" spans="1:8">
      <c r="A39" s="3" t="s">
        <v>37</v>
      </c>
      <c r="B39" s="3"/>
      <c r="C39" s="3"/>
      <c r="D39" s="3"/>
      <c r="E39" s="3"/>
      <c r="F39" s="3"/>
      <c r="G39" s="3"/>
      <c r="H39" s="3"/>
    </row>
    <row r="40" spans="1:8">
      <c r="A40" s="4" t="s">
        <v>38</v>
      </c>
      <c r="B40" s="15">
        <f>B31/B7</f>
        <v>0</v>
      </c>
    </row>
    <row r="41" spans="1:8">
      <c r="A41" s="4" t="s">
        <v>39</v>
      </c>
      <c r="B41" s="16">
        <f>B40/(1.15^5)</f>
        <v>0</v>
      </c>
    </row>
    <row r="42" spans="1:8">
      <c r="A42" s="4" t="s">
        <v>40</v>
      </c>
      <c r="B42" s="17">
        <f>(B6-B41)/B41</f>
        <v>0</v>
      </c>
      <c r="C42" s="6" t="s">
        <v>41</v>
      </c>
    </row>
    <row r="44" spans="1:8">
      <c r="A44" s="3" t="s">
        <v>42</v>
      </c>
      <c r="B44" s="3"/>
      <c r="C44" s="3"/>
      <c r="D44" s="3"/>
      <c r="E44" s="3"/>
      <c r="F44" s="3"/>
      <c r="G44" s="3"/>
      <c r="H44" s="3"/>
    </row>
    <row r="45" spans="1:8">
      <c r="A45" s="10" t="s">
        <v>43</v>
      </c>
      <c r="B45" s="10" t="s">
        <v>11</v>
      </c>
      <c r="C45" s="10" t="s">
        <v>44</v>
      </c>
      <c r="D45" s="10" t="s">
        <v>45</v>
      </c>
      <c r="E45" s="10" t="s">
        <v>46</v>
      </c>
      <c r="F45" s="10" t="s">
        <v>47</v>
      </c>
      <c r="G45" s="10" t="s">
        <v>48</v>
      </c>
      <c r="H45" s="10" t="s">
        <v>49</v>
      </c>
    </row>
    <row r="46" spans="1:8">
      <c r="A46" s="18" t="s">
        <v>50</v>
      </c>
      <c r="B46" s="17">
        <v>0.095</v>
      </c>
      <c r="C46" s="17">
        <v>0.035</v>
      </c>
      <c r="D46" s="19">
        <v>0.13</v>
      </c>
      <c r="E46" s="19">
        <v>0.215</v>
      </c>
      <c r="F46" s="15">
        <v>99.95999999999999</v>
      </c>
      <c r="G46" s="20">
        <v>1.1805</v>
      </c>
      <c r="H46" s="19">
        <v>0.25</v>
      </c>
    </row>
    <row r="47" spans="1:8">
      <c r="A47" s="21" t="s">
        <v>51</v>
      </c>
      <c r="B47" s="17">
        <v>0.105</v>
      </c>
      <c r="C47" s="17">
        <v>0.03</v>
      </c>
      <c r="D47" s="19">
        <v>0.12</v>
      </c>
      <c r="E47" s="19">
        <v>0.165</v>
      </c>
      <c r="F47" s="15">
        <v>52.73</v>
      </c>
      <c r="G47" s="20">
        <v>0.1504</v>
      </c>
      <c r="H47" s="19">
        <v>0.5</v>
      </c>
    </row>
    <row r="48" spans="1:8">
      <c r="A48" s="22" t="s">
        <v>52</v>
      </c>
      <c r="B48" s="17">
        <v>0.12</v>
      </c>
      <c r="C48" s="17">
        <v>0.025</v>
      </c>
      <c r="D48" s="19">
        <v>0.105</v>
      </c>
      <c r="E48" s="19">
        <v>0.12</v>
      </c>
      <c r="F48" s="15">
        <v>26.19</v>
      </c>
      <c r="G48" s="23">
        <v>-0.4287</v>
      </c>
      <c r="H48" s="19">
        <v>0.25</v>
      </c>
    </row>
    <row r="49" spans="1:8">
      <c r="A49" s="4" t="s">
        <v>53</v>
      </c>
      <c r="F49" s="13">
        <v>57.9</v>
      </c>
      <c r="G49" s="20">
        <v>0.263</v>
      </c>
      <c r="H49" s="4" t="s">
        <v>54</v>
      </c>
    </row>
    <row r="51" spans="1:8">
      <c r="A51" s="6" t="s">
        <v>55</v>
      </c>
      <c r="B51" s="6"/>
      <c r="C51" s="6"/>
      <c r="D51" s="6"/>
      <c r="E51" s="6"/>
      <c r="F51" s="6"/>
      <c r="G51" s="6"/>
      <c r="H51" s="6"/>
    </row>
  </sheetData>
  <mergeCells count="9">
    <mergeCell ref="A1:H1"/>
    <mergeCell ref="A2:H2"/>
    <mergeCell ref="A5:H5"/>
    <mergeCell ref="A16:H16"/>
    <mergeCell ref="A21:H21"/>
    <mergeCell ref="A28:H28"/>
    <mergeCell ref="A39:H39"/>
    <mergeCell ref="A44:H44"/>
    <mergeCell ref="A51:H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zoomScale="90" zoomScaleNormal="90" workbookViewId="0"/>
  </sheetViews>
  <sheetFormatPr defaultRowHeight="15"/>
  <cols>
    <col min="1" max="1" width="28.7109375" customWidth="1"/>
    <col min="2" max="8" width="13.7109375" customWidth="1"/>
  </cols>
  <sheetData>
    <row r="1" spans="1:7">
      <c r="A1" s="1" t="s">
        <v>56</v>
      </c>
      <c r="B1" s="1"/>
      <c r="C1" s="1"/>
      <c r="D1" s="1"/>
      <c r="E1" s="1"/>
      <c r="F1" s="1"/>
      <c r="G1" s="1"/>
    </row>
    <row r="2" spans="1:7">
      <c r="A2" s="2" t="s">
        <v>57</v>
      </c>
      <c r="B2" s="2"/>
      <c r="C2" s="2"/>
      <c r="D2" s="2"/>
      <c r="E2" s="2"/>
      <c r="F2" s="2"/>
      <c r="G2" s="2"/>
    </row>
    <row r="4" spans="1:7">
      <c r="A4" s="3" t="s">
        <v>58</v>
      </c>
      <c r="B4" s="3"/>
      <c r="C4" s="3"/>
      <c r="D4" s="3"/>
      <c r="E4" s="3"/>
      <c r="F4" s="3"/>
      <c r="G4" s="3"/>
    </row>
    <row r="5" spans="1:7">
      <c r="A5" s="4" t="s">
        <v>11</v>
      </c>
      <c r="B5" s="7" t="s">
        <v>59</v>
      </c>
    </row>
    <row r="6" spans="1:7">
      <c r="A6" s="4" t="s">
        <v>12</v>
      </c>
      <c r="B6" s="7" t="s">
        <v>60</v>
      </c>
    </row>
    <row r="7" spans="1:7">
      <c r="A7" s="4" t="s">
        <v>61</v>
      </c>
      <c r="B7" s="7" t="s">
        <v>62</v>
      </c>
    </row>
    <row r="9" spans="1:7">
      <c r="A9" s="3" t="s">
        <v>21</v>
      </c>
      <c r="B9" s="3"/>
      <c r="C9" s="3"/>
      <c r="D9" s="3"/>
      <c r="E9" s="3"/>
      <c r="F9" s="3"/>
      <c r="G9" s="3"/>
    </row>
    <row r="10" spans="1:7">
      <c r="A10" s="18"/>
      <c r="B10" s="18" t="s">
        <v>22</v>
      </c>
      <c r="C10" s="18" t="s">
        <v>14</v>
      </c>
      <c r="D10" s="18" t="s">
        <v>15</v>
      </c>
      <c r="E10" s="18" t="s">
        <v>16</v>
      </c>
      <c r="F10" s="18" t="s">
        <v>17</v>
      </c>
      <c r="G10" s="18" t="s">
        <v>18</v>
      </c>
    </row>
    <row r="11" spans="1:7">
      <c r="A11" s="4" t="s">
        <v>19</v>
      </c>
      <c r="B11" s="12" t="s">
        <v>63</v>
      </c>
      <c r="C11" s="17">
        <v>0.18</v>
      </c>
      <c r="D11" s="17">
        <v>0.17</v>
      </c>
      <c r="E11" s="17">
        <v>0.15</v>
      </c>
      <c r="F11" s="17">
        <v>0.13</v>
      </c>
      <c r="G11" s="17">
        <v>0.11</v>
      </c>
    </row>
    <row r="12" spans="1:7">
      <c r="A12" s="4" t="s">
        <v>64</v>
      </c>
      <c r="B12" s="12" t="s">
        <v>63</v>
      </c>
      <c r="C12" s="17">
        <v>0.13</v>
      </c>
      <c r="D12" s="17">
        <v>0.145</v>
      </c>
      <c r="E12" s="17">
        <v>0.17</v>
      </c>
      <c r="F12" s="17">
        <v>0.195</v>
      </c>
      <c r="G12" s="17">
        <v>0.215</v>
      </c>
    </row>
    <row r="13" spans="1:7">
      <c r="A13" s="4" t="s">
        <v>23</v>
      </c>
      <c r="B13" s="11">
        <v>476.2</v>
      </c>
      <c r="C13" s="11">
        <v>561.9</v>
      </c>
      <c r="D13" s="11">
        <v>657.4</v>
      </c>
      <c r="E13" s="11">
        <v>756.1</v>
      </c>
      <c r="F13" s="11">
        <v>854.4</v>
      </c>
      <c r="G13" s="11">
        <v>948.3</v>
      </c>
    </row>
    <row r="14" spans="1:7">
      <c r="A14" s="4" t="s">
        <v>24</v>
      </c>
      <c r="B14" s="11">
        <v>62.93</v>
      </c>
      <c r="C14" s="11">
        <v>73.05</v>
      </c>
      <c r="D14" s="11">
        <v>95.33</v>
      </c>
      <c r="E14" s="11">
        <v>128.53</v>
      </c>
      <c r="F14" s="11">
        <v>166.6</v>
      </c>
      <c r="G14" s="11">
        <v>203.89</v>
      </c>
    </row>
    <row r="15" spans="1:7">
      <c r="A15" s="4" t="s">
        <v>65</v>
      </c>
      <c r="B15" s="12"/>
      <c r="C15" s="8">
        <v>0.9132</v>
      </c>
      <c r="D15" s="8">
        <v>0.834</v>
      </c>
      <c r="E15" s="8">
        <v>0.7617</v>
      </c>
      <c r="F15" s="8">
        <v>0.6956</v>
      </c>
      <c r="G15" s="8">
        <v>0.6352</v>
      </c>
    </row>
    <row r="16" spans="1:7">
      <c r="A16" s="4" t="s">
        <v>26</v>
      </c>
      <c r="B16" s="12"/>
      <c r="C16" s="11">
        <v>66.70999999999999</v>
      </c>
      <c r="D16" s="11">
        <v>79.51000000000001</v>
      </c>
      <c r="E16" s="11">
        <v>97.90000000000001</v>
      </c>
      <c r="F16" s="11">
        <v>115.88</v>
      </c>
      <c r="G16" s="11">
        <v>129.52</v>
      </c>
    </row>
    <row r="18" spans="1:7">
      <c r="A18" s="3" t="s">
        <v>66</v>
      </c>
      <c r="B18" s="3"/>
      <c r="C18" s="3"/>
      <c r="D18" s="3"/>
      <c r="E18" s="3"/>
      <c r="F18" s="3"/>
      <c r="G18" s="3"/>
    </row>
    <row r="19" spans="1:7">
      <c r="A19" s="4" t="s">
        <v>28</v>
      </c>
      <c r="B19" s="11">
        <v>489.51</v>
      </c>
    </row>
    <row r="20" spans="1:7">
      <c r="A20" s="4" t="s">
        <v>67</v>
      </c>
      <c r="B20" s="11">
        <v>211.03</v>
      </c>
    </row>
    <row r="21" spans="1:7">
      <c r="A21" s="4" t="s">
        <v>30</v>
      </c>
      <c r="B21" s="11">
        <v>3517.09</v>
      </c>
    </row>
    <row r="22" spans="1:7">
      <c r="A22" s="4" t="s">
        <v>31</v>
      </c>
      <c r="B22" s="11">
        <v>2234.16</v>
      </c>
    </row>
    <row r="23" spans="1:7">
      <c r="A23" s="4" t="s">
        <v>32</v>
      </c>
      <c r="B23" s="11">
        <v>2723.67</v>
      </c>
    </row>
    <row r="24" spans="1:7">
      <c r="A24" s="4" t="s">
        <v>68</v>
      </c>
      <c r="B24" s="11">
        <v>-45.1</v>
      </c>
    </row>
    <row r="25" spans="1:7">
      <c r="A25" s="4" t="s">
        <v>34</v>
      </c>
      <c r="B25" s="11">
        <v>2768.77</v>
      </c>
    </row>
    <row r="26" spans="1:7">
      <c r="A26" s="4" t="s">
        <v>35</v>
      </c>
      <c r="B26" s="13">
        <v>99.95999999999999</v>
      </c>
    </row>
    <row r="27" spans="1:7">
      <c r="A27" s="4" t="s">
        <v>69</v>
      </c>
      <c r="B27" s="20">
        <v>1.1805</v>
      </c>
    </row>
    <row r="28" spans="1:7">
      <c r="A28" s="4" t="s">
        <v>70</v>
      </c>
      <c r="B28" s="15">
        <v>126.97</v>
      </c>
    </row>
    <row r="29" spans="1:7">
      <c r="A29" s="4" t="s">
        <v>71</v>
      </c>
      <c r="B29" s="16">
        <v>63.13</v>
      </c>
    </row>
  </sheetData>
  <mergeCells count="5">
    <mergeCell ref="A1:G1"/>
    <mergeCell ref="A2:G2"/>
    <mergeCell ref="A4:G4"/>
    <mergeCell ref="A9:G9"/>
    <mergeCell ref="A18:G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zoomScale="90" zoomScaleNormal="90" workbookViewId="0"/>
  </sheetViews>
  <sheetFormatPr defaultRowHeight="15"/>
  <cols>
    <col min="1" max="1" width="28.7109375" customWidth="1"/>
    <col min="2" max="8" width="13.7109375" customWidth="1"/>
  </cols>
  <sheetData>
    <row r="1" spans="1:7">
      <c r="A1" s="1" t="s">
        <v>72</v>
      </c>
      <c r="B1" s="1"/>
      <c r="C1" s="1"/>
      <c r="D1" s="1"/>
      <c r="E1" s="1"/>
      <c r="F1" s="1"/>
      <c r="G1" s="1"/>
    </row>
    <row r="2" spans="1:7">
      <c r="A2" s="2" t="s">
        <v>73</v>
      </c>
      <c r="B2" s="2"/>
      <c r="C2" s="2"/>
      <c r="D2" s="2"/>
      <c r="E2" s="2"/>
      <c r="F2" s="2"/>
      <c r="G2" s="2"/>
    </row>
    <row r="4" spans="1:7">
      <c r="A4" s="3" t="s">
        <v>74</v>
      </c>
      <c r="B4" s="3"/>
      <c r="C4" s="3"/>
      <c r="D4" s="3"/>
      <c r="E4" s="3"/>
      <c r="F4" s="3"/>
      <c r="G4" s="3"/>
    </row>
    <row r="5" spans="1:7">
      <c r="A5" s="4" t="s">
        <v>11</v>
      </c>
      <c r="B5" s="7" t="s">
        <v>75</v>
      </c>
    </row>
    <row r="6" spans="1:7">
      <c r="A6" s="4" t="s">
        <v>12</v>
      </c>
      <c r="B6" s="7" t="s">
        <v>76</v>
      </c>
    </row>
    <row r="7" spans="1:7">
      <c r="A7" s="4" t="s">
        <v>61</v>
      </c>
      <c r="B7" s="7" t="s">
        <v>77</v>
      </c>
    </row>
    <row r="9" spans="1:7">
      <c r="A9" s="3" t="s">
        <v>21</v>
      </c>
      <c r="B9" s="3"/>
      <c r="C9" s="3"/>
      <c r="D9" s="3"/>
      <c r="E9" s="3"/>
      <c r="F9" s="3"/>
      <c r="G9" s="3"/>
    </row>
    <row r="10" spans="1:7">
      <c r="A10" s="22"/>
      <c r="B10" s="22" t="s">
        <v>22</v>
      </c>
      <c r="C10" s="22" t="s">
        <v>14</v>
      </c>
      <c r="D10" s="22" t="s">
        <v>15</v>
      </c>
      <c r="E10" s="22" t="s">
        <v>16</v>
      </c>
      <c r="F10" s="22" t="s">
        <v>17</v>
      </c>
      <c r="G10" s="22" t="s">
        <v>18</v>
      </c>
    </row>
    <row r="11" spans="1:7">
      <c r="A11" s="4" t="s">
        <v>19</v>
      </c>
      <c r="B11" s="12" t="s">
        <v>63</v>
      </c>
      <c r="C11" s="17">
        <v>0.08</v>
      </c>
      <c r="D11" s="17">
        <v>0.07000000000000001</v>
      </c>
      <c r="E11" s="17">
        <v>0.05</v>
      </c>
      <c r="F11" s="17">
        <v>0.04</v>
      </c>
      <c r="G11" s="17">
        <v>0.03</v>
      </c>
    </row>
    <row r="12" spans="1:7">
      <c r="A12" s="4" t="s">
        <v>64</v>
      </c>
      <c r="B12" s="12" t="s">
        <v>63</v>
      </c>
      <c r="C12" s="17">
        <v>0.105</v>
      </c>
      <c r="D12" s="17">
        <v>0.105</v>
      </c>
      <c r="E12" s="17">
        <v>0.11</v>
      </c>
      <c r="F12" s="17">
        <v>0.115</v>
      </c>
      <c r="G12" s="17">
        <v>0.12</v>
      </c>
    </row>
    <row r="13" spans="1:7">
      <c r="A13" s="4" t="s">
        <v>23</v>
      </c>
      <c r="B13" s="11">
        <v>476.2</v>
      </c>
      <c r="C13" s="11">
        <v>514.3</v>
      </c>
      <c r="D13" s="11">
        <v>550.3</v>
      </c>
      <c r="E13" s="11">
        <v>577.8</v>
      </c>
      <c r="F13" s="11">
        <v>600.9</v>
      </c>
      <c r="G13" s="11">
        <v>619</v>
      </c>
    </row>
    <row r="14" spans="1:7">
      <c r="A14" s="4" t="s">
        <v>24</v>
      </c>
      <c r="B14" s="11">
        <v>62.93</v>
      </c>
      <c r="C14" s="11">
        <v>54</v>
      </c>
      <c r="D14" s="11">
        <v>57.78</v>
      </c>
      <c r="E14" s="11">
        <v>63.56</v>
      </c>
      <c r="F14" s="11">
        <v>69.11</v>
      </c>
      <c r="G14" s="11">
        <v>74.27</v>
      </c>
    </row>
    <row r="15" spans="1:7">
      <c r="A15" s="4" t="s">
        <v>78</v>
      </c>
      <c r="B15" s="12"/>
      <c r="C15" s="8">
        <v>0.8929</v>
      </c>
      <c r="D15" s="8">
        <v>0.7972</v>
      </c>
      <c r="E15" s="8">
        <v>0.7118</v>
      </c>
      <c r="F15" s="8">
        <v>0.6355</v>
      </c>
      <c r="G15" s="8">
        <v>0.5674</v>
      </c>
    </row>
    <row r="16" spans="1:7">
      <c r="A16" s="4" t="s">
        <v>26</v>
      </c>
      <c r="B16" s="12"/>
      <c r="C16" s="11">
        <v>48.22</v>
      </c>
      <c r="D16" s="11">
        <v>46.06</v>
      </c>
      <c r="E16" s="11">
        <v>45.24</v>
      </c>
      <c r="F16" s="11">
        <v>43.92</v>
      </c>
      <c r="G16" s="11">
        <v>42.15</v>
      </c>
    </row>
    <row r="18" spans="1:7">
      <c r="A18" s="3" t="s">
        <v>79</v>
      </c>
      <c r="B18" s="3"/>
      <c r="C18" s="3"/>
      <c r="D18" s="3"/>
      <c r="E18" s="3"/>
      <c r="F18" s="3"/>
      <c r="G18" s="3"/>
    </row>
    <row r="19" spans="1:7">
      <c r="A19" s="4" t="s">
        <v>28</v>
      </c>
      <c r="B19" s="11">
        <v>225.58</v>
      </c>
    </row>
    <row r="20" spans="1:7">
      <c r="A20" s="4" t="s">
        <v>80</v>
      </c>
      <c r="B20" s="11">
        <v>76.13</v>
      </c>
    </row>
    <row r="21" spans="1:7">
      <c r="A21" s="4" t="s">
        <v>30</v>
      </c>
      <c r="B21" s="11">
        <v>801.38</v>
      </c>
    </row>
    <row r="22" spans="1:7">
      <c r="A22" s="4" t="s">
        <v>31</v>
      </c>
      <c r="B22" s="11">
        <v>454.72</v>
      </c>
    </row>
    <row r="23" spans="1:7">
      <c r="A23" s="4" t="s">
        <v>32</v>
      </c>
      <c r="B23" s="11">
        <v>680.3099999999999</v>
      </c>
    </row>
    <row r="24" spans="1:7">
      <c r="A24" s="4" t="s">
        <v>68</v>
      </c>
      <c r="B24" s="11">
        <v>-45.1</v>
      </c>
    </row>
    <row r="25" spans="1:7">
      <c r="A25" s="4" t="s">
        <v>34</v>
      </c>
      <c r="B25" s="11">
        <v>725.41</v>
      </c>
    </row>
    <row r="26" spans="1:7">
      <c r="A26" s="4" t="s">
        <v>35</v>
      </c>
      <c r="B26" s="24">
        <v>26.19</v>
      </c>
    </row>
    <row r="27" spans="1:7">
      <c r="A27" s="4" t="s">
        <v>81</v>
      </c>
      <c r="B27" s="23">
        <v>-0.4287</v>
      </c>
    </row>
    <row r="28" spans="1:7">
      <c r="A28" s="4" t="s">
        <v>70</v>
      </c>
      <c r="B28" s="15">
        <v>28.93</v>
      </c>
    </row>
    <row r="29" spans="1:7">
      <c r="A29" s="4" t="s">
        <v>71</v>
      </c>
      <c r="B29" s="24">
        <v>14.38</v>
      </c>
    </row>
  </sheetData>
  <mergeCells count="5">
    <mergeCell ref="A1:G1"/>
    <mergeCell ref="A2:G2"/>
    <mergeCell ref="A4:G4"/>
    <mergeCell ref="A9:G9"/>
    <mergeCell ref="A18:G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7" width="14.7109375" customWidth="1"/>
  </cols>
  <sheetData>
    <row r="1" spans="1:6">
      <c r="A1" s="1" t="s">
        <v>82</v>
      </c>
      <c r="B1" s="1"/>
      <c r="C1" s="1"/>
      <c r="D1" s="1"/>
      <c r="E1" s="1"/>
      <c r="F1" s="1"/>
    </row>
    <row r="2" spans="1:6">
      <c r="A2" s="2" t="s">
        <v>83</v>
      </c>
      <c r="B2" s="2"/>
      <c r="C2" s="2"/>
      <c r="D2" s="2"/>
      <c r="E2" s="2"/>
      <c r="F2" s="2"/>
    </row>
    <row r="4" spans="1:6">
      <c r="A4" s="10" t="s">
        <v>84</v>
      </c>
      <c r="B4" s="10" t="s">
        <v>85</v>
      </c>
      <c r="C4" s="10" t="s">
        <v>76</v>
      </c>
      <c r="D4" s="10" t="s">
        <v>86</v>
      </c>
      <c r="E4" s="10" t="s">
        <v>60</v>
      </c>
      <c r="F4" s="10" t="s">
        <v>87</v>
      </c>
    </row>
    <row r="5" spans="1:6">
      <c r="A5" s="10" t="s">
        <v>88</v>
      </c>
      <c r="B5" s="25">
        <v>63.23</v>
      </c>
      <c r="C5" s="25">
        <v>67.53</v>
      </c>
      <c r="D5" s="25">
        <v>72.62</v>
      </c>
      <c r="E5" s="25">
        <v>78.72</v>
      </c>
      <c r="F5" s="25">
        <v>86.17</v>
      </c>
    </row>
    <row r="6" spans="1:6">
      <c r="A6" s="10" t="s">
        <v>59</v>
      </c>
      <c r="B6" s="25">
        <v>54.5</v>
      </c>
      <c r="C6" s="25">
        <v>57.58</v>
      </c>
      <c r="D6" s="25">
        <v>61.14</v>
      </c>
      <c r="E6" s="25">
        <v>65.28</v>
      </c>
      <c r="F6" s="25">
        <v>70.18000000000001</v>
      </c>
    </row>
    <row r="7" spans="1:6">
      <c r="A7" s="10" t="s">
        <v>89</v>
      </c>
      <c r="B7" s="26">
        <v>47.84</v>
      </c>
      <c r="C7" s="26">
        <v>50.14</v>
      </c>
      <c r="D7" s="25">
        <v>52.73</v>
      </c>
      <c r="E7" s="25">
        <v>55.7</v>
      </c>
      <c r="F7" s="25">
        <v>59.13</v>
      </c>
    </row>
    <row r="8" spans="1:6">
      <c r="A8" s="10" t="s">
        <v>90</v>
      </c>
      <c r="B8" s="27">
        <v>42.6</v>
      </c>
      <c r="C8" s="27">
        <v>44.36</v>
      </c>
      <c r="D8" s="26">
        <v>46.32</v>
      </c>
      <c r="E8" s="26">
        <v>48.54</v>
      </c>
      <c r="F8" s="26">
        <v>51.04</v>
      </c>
    </row>
    <row r="9" spans="1:6">
      <c r="A9" s="10" t="s">
        <v>91</v>
      </c>
      <c r="B9" s="28">
        <v>38.37</v>
      </c>
      <c r="C9" s="27">
        <v>39.75</v>
      </c>
      <c r="D9" s="27">
        <v>41.28</v>
      </c>
      <c r="E9" s="27">
        <v>42.97</v>
      </c>
      <c r="F9" s="27">
        <v>44.87</v>
      </c>
    </row>
    <row r="11" spans="1:6">
      <c r="A11" s="4" t="s">
        <v>92</v>
      </c>
    </row>
    <row r="12" spans="1:6">
      <c r="A12" s="29" t="s">
        <v>93</v>
      </c>
      <c r="B12" s="30" t="s">
        <v>94</v>
      </c>
    </row>
    <row r="13" spans="1:6">
      <c r="A13" s="31" t="s">
        <v>95</v>
      </c>
      <c r="B13" s="30" t="s">
        <v>96</v>
      </c>
    </row>
    <row r="14" spans="1:6">
      <c r="A14" s="32" t="s">
        <v>97</v>
      </c>
      <c r="B14" s="30" t="s">
        <v>98</v>
      </c>
    </row>
    <row r="15" spans="1:6">
      <c r="A15" s="33" t="s">
        <v>99</v>
      </c>
      <c r="B15" s="30" t="s">
        <v>100</v>
      </c>
    </row>
    <row r="17" spans="1:1">
      <c r="A17" s="6" t="s">
        <v>101</v>
      </c>
    </row>
    <row r="18" spans="1:1">
      <c r="A18" s="6" t="s">
        <v>102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4"/>
  <sheetViews>
    <sheetView zoomScale="90" zoomScaleNormal="90" workbookViewId="0"/>
  </sheetViews>
  <sheetFormatPr defaultRowHeight="15"/>
  <cols>
    <col min="1" max="1" width="22.7109375" customWidth="1"/>
    <col min="2" max="3" width="13.7109375" customWidth="1"/>
    <col min="4" max="4" width="50.7109375" customWidth="1"/>
    <col min="5" max="9" width="13.7109375" customWidth="1"/>
  </cols>
  <sheetData>
    <row r="1" spans="1:9">
      <c r="A1" s="1" t="s">
        <v>103</v>
      </c>
      <c r="B1" s="1"/>
      <c r="C1" s="1"/>
      <c r="D1" s="1"/>
      <c r="E1" s="1"/>
      <c r="F1" s="1"/>
      <c r="G1" s="1"/>
      <c r="H1" s="1"/>
    </row>
    <row r="3" spans="1:9">
      <c r="A3" s="3" t="s">
        <v>104</v>
      </c>
      <c r="B3" s="3"/>
      <c r="C3" s="3"/>
    </row>
    <row r="4" spans="1:9">
      <c r="A4" s="10" t="s">
        <v>105</v>
      </c>
      <c r="B4" s="10" t="s">
        <v>106</v>
      </c>
      <c r="C4" s="10" t="s">
        <v>107</v>
      </c>
      <c r="D4" s="10" t="s">
        <v>108</v>
      </c>
    </row>
    <row r="5" spans="1:9">
      <c r="A5" s="4" t="s">
        <v>109</v>
      </c>
      <c r="B5" s="17">
        <v>0.137</v>
      </c>
      <c r="C5" s="17">
        <v>0.245</v>
      </c>
      <c r="D5" s="6" t="s">
        <v>110</v>
      </c>
    </row>
    <row r="6" spans="1:9">
      <c r="A6" s="4" t="s">
        <v>111</v>
      </c>
      <c r="B6" s="17">
        <v>0.07200000000000001</v>
      </c>
      <c r="C6" s="17">
        <v>0.229</v>
      </c>
      <c r="D6" s="6" t="s">
        <v>112</v>
      </c>
    </row>
    <row r="7" spans="1:9">
      <c r="A7" s="4" t="s">
        <v>113</v>
      </c>
      <c r="B7" s="17">
        <v>0.31</v>
      </c>
      <c r="C7" s="17">
        <v>0.393</v>
      </c>
      <c r="D7" s="6" t="s">
        <v>114</v>
      </c>
    </row>
    <row r="8" spans="1:9">
      <c r="A8" s="4" t="s">
        <v>115</v>
      </c>
      <c r="B8" s="12" t="s">
        <v>116</v>
      </c>
      <c r="C8" s="17">
        <v>0.304</v>
      </c>
      <c r="D8" s="6" t="s">
        <v>117</v>
      </c>
    </row>
    <row r="9" spans="1:9">
      <c r="A9" s="4" t="s">
        <v>118</v>
      </c>
      <c r="B9" s="4" t="s">
        <v>119</v>
      </c>
      <c r="C9" s="13">
        <v>0.137</v>
      </c>
      <c r="D9" s="6" t="s">
        <v>120</v>
      </c>
    </row>
    <row r="11" spans="1:9">
      <c r="A11" s="3" t="s">
        <v>121</v>
      </c>
      <c r="B11" s="3"/>
      <c r="C11" s="3"/>
      <c r="D11" s="3"/>
      <c r="E11" s="3"/>
      <c r="F11" s="3"/>
      <c r="G11" s="3"/>
      <c r="H11" s="3"/>
    </row>
    <row r="12" spans="1:9">
      <c r="A12" s="10" t="s">
        <v>122</v>
      </c>
      <c r="B12" s="10" t="s">
        <v>123</v>
      </c>
      <c r="C12" s="10" t="s">
        <v>124</v>
      </c>
      <c r="D12" s="10" t="s">
        <v>125</v>
      </c>
      <c r="E12" s="10" t="s">
        <v>126</v>
      </c>
      <c r="F12" s="10" t="s">
        <v>127</v>
      </c>
      <c r="G12" s="10" t="s">
        <v>128</v>
      </c>
      <c r="H12" s="10" t="s">
        <v>129</v>
      </c>
      <c r="I12" s="10" t="s">
        <v>130</v>
      </c>
    </row>
    <row r="13" spans="1:9">
      <c r="A13" s="4" t="s">
        <v>109</v>
      </c>
      <c r="B13" s="8">
        <v>109.92</v>
      </c>
      <c r="C13" s="8">
        <v>129.93</v>
      </c>
      <c r="D13" s="8">
        <v>158.92</v>
      </c>
      <c r="E13" s="8">
        <v>259.26</v>
      </c>
      <c r="F13" s="8">
        <v>323.99</v>
      </c>
      <c r="G13" s="8">
        <v>396.29</v>
      </c>
      <c r="H13" s="8">
        <v>420.4</v>
      </c>
      <c r="I13" s="8">
        <v>476.2</v>
      </c>
    </row>
    <row r="14" spans="1:9">
      <c r="A14" s="4" t="s">
        <v>131</v>
      </c>
      <c r="B14" s="8">
        <v>33.44</v>
      </c>
      <c r="C14" s="8">
        <v>43.51</v>
      </c>
      <c r="D14" s="8">
        <v>54.02</v>
      </c>
      <c r="E14" s="8">
        <v>92.68000000000001</v>
      </c>
      <c r="F14" s="8">
        <v>127.51</v>
      </c>
      <c r="G14" s="8">
        <v>162.41</v>
      </c>
      <c r="H14" s="8">
        <v>177.36</v>
      </c>
      <c r="I14" s="8">
        <v>201.02</v>
      </c>
    </row>
    <row r="15" spans="1:9">
      <c r="A15" s="4" t="s">
        <v>132</v>
      </c>
      <c r="B15" s="17">
        <v>0.304</v>
      </c>
      <c r="C15" s="17">
        <v>0.335</v>
      </c>
      <c r="D15" s="17">
        <v>0.34</v>
      </c>
      <c r="E15" s="17">
        <v>0.357</v>
      </c>
      <c r="F15" s="17">
        <v>0.394</v>
      </c>
      <c r="G15" s="17">
        <v>0.41</v>
      </c>
      <c r="H15" s="17">
        <v>0.422</v>
      </c>
      <c r="I15" s="17">
        <v>0.422</v>
      </c>
    </row>
    <row r="16" spans="1:9">
      <c r="A16" s="4" t="s">
        <v>133</v>
      </c>
      <c r="B16" s="8">
        <v>11.81</v>
      </c>
      <c r="C16" s="8">
        <v>17.09</v>
      </c>
      <c r="D16" s="8">
        <v>23.37</v>
      </c>
      <c r="E16" s="8">
        <v>40.12</v>
      </c>
      <c r="F16" s="8">
        <v>53.94</v>
      </c>
      <c r="G16" s="8">
        <v>66.97</v>
      </c>
      <c r="H16" s="8">
        <v>59.15</v>
      </c>
      <c r="I16" s="8">
        <v>62.65</v>
      </c>
    </row>
    <row r="17" spans="1:9">
      <c r="A17" s="4" t="s">
        <v>134</v>
      </c>
      <c r="B17" s="17">
        <v>0.107</v>
      </c>
      <c r="C17" s="17">
        <v>0.132</v>
      </c>
      <c r="D17" s="17">
        <v>0.147</v>
      </c>
      <c r="E17" s="17">
        <v>0.155</v>
      </c>
      <c r="F17" s="17">
        <v>0.166</v>
      </c>
      <c r="G17" s="17">
        <v>0.169</v>
      </c>
      <c r="H17" s="17">
        <v>0.141</v>
      </c>
      <c r="I17" s="17">
        <v>0.132</v>
      </c>
    </row>
    <row r="18" spans="1:9">
      <c r="A18" s="4" t="s">
        <v>135</v>
      </c>
      <c r="B18" s="8">
        <v>8.710000000000001</v>
      </c>
      <c r="C18" s="8">
        <v>13.98</v>
      </c>
      <c r="D18" s="8">
        <v>18.28</v>
      </c>
      <c r="E18" s="8">
        <v>31.57</v>
      </c>
      <c r="F18" s="8">
        <v>41.38</v>
      </c>
      <c r="G18" s="8">
        <v>52.8</v>
      </c>
      <c r="H18" s="8">
        <v>45.49</v>
      </c>
      <c r="I18" s="8">
        <v>51.23</v>
      </c>
    </row>
    <row r="19" spans="1:9">
      <c r="A19" s="4" t="s">
        <v>111</v>
      </c>
      <c r="B19" s="12" t="s">
        <v>116</v>
      </c>
      <c r="C19" s="8">
        <v>0.51</v>
      </c>
      <c r="D19" s="8">
        <v>0.66</v>
      </c>
      <c r="E19" s="8">
        <v>1.14</v>
      </c>
      <c r="F19" s="8">
        <v>1.5</v>
      </c>
      <c r="G19" s="8">
        <v>1.91</v>
      </c>
      <c r="H19" s="8">
        <v>1.65</v>
      </c>
      <c r="I19" s="8">
        <v>1.85</v>
      </c>
    </row>
    <row r="20" spans="1:9">
      <c r="A20" s="4" t="s">
        <v>136</v>
      </c>
      <c r="B20" s="8">
        <v>4.77</v>
      </c>
      <c r="C20" s="8">
        <v>9.4</v>
      </c>
      <c r="D20" s="8">
        <v>16.68</v>
      </c>
      <c r="E20" s="8">
        <v>11.54</v>
      </c>
      <c r="F20" s="8">
        <v>4.12</v>
      </c>
      <c r="G20" s="8">
        <v>31.03</v>
      </c>
      <c r="H20" s="8">
        <v>41.11</v>
      </c>
      <c r="I20" s="8">
        <v>62.93</v>
      </c>
    </row>
    <row r="21" spans="1:9">
      <c r="A21" s="4" t="s">
        <v>137</v>
      </c>
      <c r="B21" s="17">
        <v>0.043</v>
      </c>
      <c r="C21" s="17">
        <v>0.07200000000000001</v>
      </c>
      <c r="D21" s="17">
        <v>0.105</v>
      </c>
      <c r="E21" s="17">
        <v>0.045</v>
      </c>
      <c r="F21" s="17">
        <v>0.013</v>
      </c>
      <c r="G21" s="17">
        <v>0.078</v>
      </c>
      <c r="H21" s="17">
        <v>0.098</v>
      </c>
      <c r="I21" s="17">
        <v>0.132</v>
      </c>
    </row>
    <row r="22" spans="1:9">
      <c r="A22" s="4" t="s">
        <v>138</v>
      </c>
      <c r="B22" s="8">
        <v>20.8</v>
      </c>
      <c r="C22" s="8">
        <v>35.06</v>
      </c>
      <c r="D22" s="8">
        <v>53.38</v>
      </c>
      <c r="E22" s="8">
        <v>84.45999999999999</v>
      </c>
      <c r="F22" s="8">
        <v>124.72</v>
      </c>
      <c r="G22" s="8">
        <v>179.99</v>
      </c>
      <c r="H22" s="8">
        <v>225.46</v>
      </c>
      <c r="I22" s="8">
        <v>280.28</v>
      </c>
    </row>
    <row r="23" spans="1:9">
      <c r="A23" s="4" t="s">
        <v>139</v>
      </c>
      <c r="B23" s="8">
        <v>3.97</v>
      </c>
      <c r="C23" s="8">
        <v>11.5</v>
      </c>
      <c r="D23" s="8">
        <v>29.03</v>
      </c>
      <c r="E23" s="8">
        <v>9.640000000000001</v>
      </c>
      <c r="F23" s="8">
        <v>8.06</v>
      </c>
      <c r="G23" s="8">
        <v>11.61</v>
      </c>
      <c r="H23" s="8">
        <v>22.09</v>
      </c>
      <c r="I23" s="8">
        <v>50.86</v>
      </c>
    </row>
    <row r="24" spans="1:9">
      <c r="A24" s="4" t="s">
        <v>140</v>
      </c>
      <c r="B24" s="8">
        <v>0</v>
      </c>
      <c r="C24" s="8">
        <v>0.8100000000000001</v>
      </c>
      <c r="D24" s="8">
        <v>6.48</v>
      </c>
      <c r="E24" s="8">
        <v>0.46</v>
      </c>
      <c r="F24" s="8">
        <v>0</v>
      </c>
      <c r="G24" s="8">
        <v>0</v>
      </c>
      <c r="H24" s="8">
        <v>0</v>
      </c>
      <c r="I24" s="8">
        <v>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Bull Case</vt:lpstr>
      <vt:lpstr>Bear Case</vt:lpstr>
      <vt:lpstr>Sensitivity</vt:lpstr>
      <vt:lpstr>Historical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2026-06-25T04:26:30Z</dcterms:created>
  <dcterms:modified xsi:type="dcterms:W3CDTF">2026-06-25T04:26:30Z</dcterms:modified>
</cp:coreProperties>
</file>