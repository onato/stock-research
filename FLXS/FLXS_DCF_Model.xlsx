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Financial Summary" sheetId="2" state="visible" r:id="rId4"/>
    <sheet name="DCF Model" sheetId="3" state="visible" r:id="rId5"/>
    <sheet name="Sensitivity Analysis" sheetId="4" state="visible" r:id="rId6"/>
    <sheet name="Industry 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<sst xmlns="http://schemas.openxmlformats.org/spreadsheetml/2006/main" count="255" uniqueCount="225">
  <si>
    <t xml:space="preserve">FLEXSTEEL INDUSTRIES, INC. (NASDAQ: FLXS)</t>
  </si>
  <si>
    <t xml:space="preserve">Deep Dive Analysis &amp; DCF Valuation</t>
  </si>
  <si>
    <t xml:space="preserve">As of December 26, 2025</t>
  </si>
  <si>
    <t xml:space="preserve">COMPANY OVERVIEW</t>
  </si>
  <si>
    <t xml:space="preserve">Founded</t>
  </si>
  <si>
    <t xml:space="preserve">Headquarters</t>
  </si>
  <si>
    <t xml:space="preserve">Dubuque, Iowa</t>
  </si>
  <si>
    <t xml:space="preserve">Industry</t>
  </si>
  <si>
    <t xml:space="preserve">Residential Furniture Manufacturing</t>
  </si>
  <si>
    <t xml:space="preserve">Employees</t>
  </si>
  <si>
    <t xml:space="preserve">Fiscal Year End</t>
  </si>
  <si>
    <t xml:space="preserve">June 30</t>
  </si>
  <si>
    <t xml:space="preserve">Exchange</t>
  </si>
  <si>
    <t xml:space="preserve">NASDAQ</t>
  </si>
  <si>
    <t xml:space="preserve">BUSINESS DESCRIPTION</t>
  </si>
  <si>
    <t xml:space="preserve">Flexsteel is one of the largest manufacturers, importers, and marketers of residential</t>
  </si>
  <si>
    <t xml:space="preserve">furniture products in the United States. The company's signature Blue Steel Spring</t>
  </si>
  <si>
    <t xml:space="preserve">technology provides a unique competitive advantage in the upholstered furniture market.</t>
  </si>
  <si>
    <t xml:space="preserve">PRODUCT PORTFOLIO</t>
  </si>
  <si>
    <t xml:space="preserve">• Sofas &amp; Loveseats</t>
  </si>
  <si>
    <t xml:space="preserve">• Chairs &amp; Recliners</t>
  </si>
  <si>
    <t xml:space="preserve">• Sofa Beds &amp; Convertibles</t>
  </si>
  <si>
    <t xml:space="preserve">• Dining Tables &amp; Chairs</t>
  </si>
  <si>
    <t xml:space="preserve">• Bedroom Furniture</t>
  </si>
  <si>
    <t xml:space="preserve">• Home Office</t>
  </si>
  <si>
    <t xml:space="preserve">• Outdoor Furniture</t>
  </si>
  <si>
    <t xml:space="preserve">DISTRIBUTION CHANNELS</t>
  </si>
  <si>
    <t xml:space="preserve">• Retail Furniture Stores (Primary - ~92% of revenue)</t>
  </si>
  <si>
    <t xml:space="preserve">• E-commerce Channels (~8% of revenue)</t>
  </si>
  <si>
    <t xml:space="preserve">• Direct Sales Force</t>
  </si>
  <si>
    <t xml:space="preserve">KEY INVESTMENT HIGHLIGHTS</t>
  </si>
  <si>
    <t xml:space="preserve">1. Six consecutive quarters of YoY sales growth (6-8%+ range)</t>
  </si>
  <si>
    <t xml:space="preserve">2. Significantly improved gross margins (from 18% to 22%+)</t>
  </si>
  <si>
    <t xml:space="preserve">3. Strong free cash flow generation (~$34M TTM)</t>
  </si>
  <si>
    <t xml:space="preserve">4. Net cash position ($40M cash, debt-free on credit line)</t>
  </si>
  <si>
    <t xml:space="preserve">5. Consistent dividend payer since 1938 (334 consecutive quarters)</t>
  </si>
  <si>
    <t xml:space="preserve">6. Proprietary Blue Steel Spring technology</t>
  </si>
  <si>
    <t xml:space="preserve">7. Manufacturing optimization driving efficiency gains</t>
  </si>
  <si>
    <t xml:space="preserve">8. Undervalued vs. industry peers on P/E basis</t>
  </si>
  <si>
    <t xml:space="preserve">KEY RISKS</t>
  </si>
  <si>
    <t xml:space="preserve">• Housing market sensitivity (furniture demand correlates with home sales)</t>
  </si>
  <si>
    <t xml:space="preserve">• Tariff exposure on imported products (Vietnam, Mexico, China)</t>
  </si>
  <si>
    <t xml:space="preserve">• Consumer discretionary spending volatility</t>
  </si>
  <si>
    <t xml:space="preserve">• Raw material cost inflation (lumber, fabric, foam)</t>
  </si>
  <si>
    <t xml:space="preserve">• Competition from low-cost imports and large retailers</t>
  </si>
  <si>
    <t xml:space="preserve">• Small market cap limits institutional coverage</t>
  </si>
  <si>
    <t xml:space="preserve">FLEXSTEEL INDUSTRIES - FINANCIAL SUMMARY</t>
  </si>
  <si>
    <t xml:space="preserve">All figures in millions USD except per share data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</si>
  <si>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</si>
  <si>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</si>
  <si>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</si>
  <si>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</si>
  <si>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</si>
  <si>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</t>
  </si>
  <si>
    <t xml:space="preserve">Revenue</t>
  </si>
  <si>
    <t xml:space="preserve">YoY Growth (%)</t>
  </si>
  <si>
    <t xml:space="preserve">30.5%</t>
  </si>
  <si>
    <t xml:space="preserve">13.6%</t>
  </si>
  <si>
    <t xml:space="preserve">-27.7%</t>
  </si>
  <si>
    <t xml:space="preserve">4.8%</t>
  </si>
  <si>
    <t xml:space="preserve">6.9%</t>
  </si>
  <si>
    <t xml:space="preserve">6.0%</t>
  </si>
  <si>
    <t xml:space="preserve">Cost of Revenue</t>
  </si>
  <si>
    <t xml:space="preserve">Gross Profit</t>
  </si>
  <si>
    <t xml:space="preserve">Gross Margin (%)</t>
  </si>
  <si>
    <t xml:space="preserve">20.2%</t>
  </si>
  <si>
    <t xml:space="preserve">13.4%</t>
  </si>
  <si>
    <t xml:space="preserve">18.0%</t>
  </si>
  <si>
    <t xml:space="preserve">21.1%</t>
  </si>
  <si>
    <t xml:space="preserve">22.2%</t>
  </si>
  <si>
    <t xml:space="preserve">22.7%</t>
  </si>
  <si>
    <t xml:space="preserve">Operating Expenses</t>
  </si>
  <si>
    <t xml:space="preserve">Operating Income</t>
  </si>
  <si>
    <t xml:space="preserve">Operating Margin (%)</t>
  </si>
  <si>
    <t xml:space="preserve">1.1%</t>
  </si>
  <si>
    <t xml:space="preserve">2.0%</t>
  </si>
  <si>
    <t xml:space="preserve">4.1%</t>
  </si>
  <si>
    <t xml:space="preserve">7.1%</t>
  </si>
  <si>
    <t xml:space="preserve">7.6%</t>
  </si>
  <si>
    <t xml:space="preserve">Pretax Income</t>
  </si>
  <si>
    <t xml:space="preserve">Net Income</t>
  </si>
  <si>
    <t xml:space="preserve">Profit Margin (%)</t>
  </si>
  <si>
    <t xml:space="preserve">0.3%</t>
  </si>
  <si>
    <t xml:space="preserve">3.8%</t>
  </si>
  <si>
    <t xml:space="preserve">2.6%</t>
  </si>
  <si>
    <t xml:space="preserve">4.6%</t>
  </si>
  <si>
    <t xml:space="preserve">5.2%</t>
  </si>
  <si>
    <t xml:space="preserve">EPS (Diluted)</t>
  </si>
  <si>
    <t xml:space="preserve">Cash &amp; Equivalents</t>
  </si>
  <si>
    <t xml:space="preserve">Total Current Assets</t>
  </si>
  <si>
    <t xml:space="preserve">Total Assets</t>
  </si>
  <si>
    <t xml:space="preserve">Total Current Liabilities</t>
  </si>
  <si>
    <t xml:space="preserve">Total Debt</t>
  </si>
  <si>
    <t xml:space="preserve">Total Liabilities</t>
  </si>
  <si>
    <t xml:space="preserve">Shareholders' Equity</t>
  </si>
  <si>
    <t xml:space="preserve">Net Cash (Debt)</t>
  </si>
  <si>
    <t xml:space="preserve">Book Value/Share</t>
  </si>
  <si>
    <t xml:space="preserve">D&amp;A</t>
  </si>
  <si>
    <t xml:space="preserve">EBITDA</t>
  </si>
  <si>
    <t xml:space="preserve">EBITDA Margin (%)</t>
  </si>
  <si>
    <t xml:space="preserve">3.1%</t>
  </si>
  <si>
    <t xml:space="preserve">5.0%</t>
  </si>
  <si>
    <t xml:space="preserve">7.9%</t>
  </si>
  <si>
    <t xml:space="preserve">8.4%</t>
  </si>
  <si>
    <t xml:space="preserve">Free Cash Flow</t>
  </si>
  <si>
    <t xml:space="preserve">FCF Margin (%)</t>
  </si>
  <si>
    <t xml:space="preserve">-7.4%</t>
  </si>
  <si>
    <t xml:space="preserve">0.8%</t>
  </si>
  <si>
    <t xml:space="preserve">6.6%</t>
  </si>
  <si>
    <t xml:space="preserve">7.7%</t>
  </si>
  <si>
    <t xml:space="preserve">FCF Per Share</t>
  </si>
  <si>
    <t xml:space="preserve">Dividend Per Share</t>
  </si>
  <si>
    <t xml:space="preserve">KEY VALUATION METRICS (Current)</t>
  </si>
  <si>
    <t xml:space="preserve">Stock Price (12/26/25)</t>
  </si>
  <si>
    <t xml:space="preserve">$40.00</t>
  </si>
  <si>
    <t xml:space="preserve">Shares Outstanding</t>
  </si>
  <si>
    <t xml:space="preserve">5.31M</t>
  </si>
  <si>
    <t xml:space="preserve">Market Cap</t>
  </si>
  <si>
    <t xml:space="preserve">$212.4M</t>
  </si>
  <si>
    <t xml:space="preserve">Enterprise Value</t>
  </si>
  <si>
    <t xml:space="preserve">$231.6M</t>
  </si>
  <si>
    <t xml:space="preserve">P/E (TTM)</t>
  </si>
  <si>
    <t xml:space="preserve">9.7x</t>
  </si>
  <si>
    <t xml:space="preserve">P/E (FY2025)</t>
  </si>
  <si>
    <t xml:space="preserve">11.3x</t>
  </si>
  <si>
    <t xml:space="preserve">EV/EBITDA (TTM)</t>
  </si>
  <si>
    <t xml:space="preserve">6.1x</t>
  </si>
  <si>
    <t xml:space="preserve">P/B</t>
  </si>
  <si>
    <t xml:space="preserve">1.3x</t>
  </si>
  <si>
    <t xml:space="preserve">P/FCF</t>
  </si>
  <si>
    <t xml:space="preserve">6.2x</t>
  </si>
  <si>
    <t xml:space="preserve">Dividend Yield</t>
  </si>
  <si>
    <t xml:space="preserve">DISCOUNTED CASH FLOW VALUATION MODEL - FLEXSTEEL INDUSTRIES (FLXS)</t>
  </si>
  <si>
    <t xml:space="preserve">MODEL ASSUMPTIONS</t>
  </si>
  <si>
    <t xml:space="preserve">Base Year (FY2025)</t>
  </si>
  <si>
    <t xml:space="preserve">Revenue ($M)</t>
  </si>
  <si>
    <t xml:space="preserve">Revenue Growth Yr 1</t>
  </si>
  <si>
    <t xml:space="preserve">Revenue Growth Yr 2</t>
  </si>
  <si>
    <t xml:space="preserve">Revenue Growth Yr 3</t>
  </si>
  <si>
    <t xml:space="preserve">Revenue Growth Yr 4</t>
  </si>
  <si>
    <t xml:space="preserve">Revenue Growth Yr 5</t>
  </si>
  <si>
    <t xml:space="preserve">Operating Margin Yr 1</t>
  </si>
  <si>
    <t xml:space="preserve">Operating Margin Yr 5</t>
  </si>
  <si>
    <t xml:space="preserve">Tax Rate</t>
  </si>
  <si>
    <t xml:space="preserve">D&amp;A (% of Revenue)</t>
  </si>
  <si>
    <t xml:space="preserve">CapEx (% of Revenue)</t>
  </si>
  <si>
    <t xml:space="preserve">NWC Change (% of Rev Chg)</t>
  </si>
  <si>
    <t xml:space="preserve">WACC</t>
  </si>
  <si>
    <t xml:space="preserve">Terminal Growth Rate</t>
  </si>
  <si>
    <t xml:space="preserve">Net Debt</t>
  </si>
  <si>
    <t xml:space="preserve">Shares Outstanding (M)</t>
  </si>
  <si>
    <t xml:space="preserve">FY2025 (Base)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</si>
  <si>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</si>
  <si>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</si>
  <si>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</si>
  <si>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</si>
  <si>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</si>
  <si>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Revenue Growth</t>
  </si>
  <si>
    <t xml:space="preserve">Operating Margin</t>
  </si>
  <si>
    <t xml:space="preserve">Operating Income (EBIT)</t>
  </si>
  <si>
    <t xml:space="preserve">Less: Taxes</t>
  </si>
  <si>
    <t xml:space="preserve">NOPAT</t>
  </si>
  <si>
    <t xml:space="preserve">Plus: D&amp;A</t>
  </si>
  <si>
    <t xml:space="preserve">Less: CapEx</t>
  </si>
  <si>
    <t xml:space="preserve">Less: Change in NWC</t>
  </si>
  <si>
    <t xml:space="preserve">DCF VALUATION</t>
  </si>
  <si>
    <t xml:space="preserve">Discount Factor</t>
  </si>
  <si>
    <t xml:space="preserve">Present Value of FCF</t>
  </si>
  <si>
    <t xml:space="preserve">Sum of PV of FCF (Years 1-5)</t>
  </si>
  <si>
    <t xml:space="preserve">Terminal Value</t>
  </si>
  <si>
    <t xml:space="preserve">PV of Terminal Value</t>
  </si>
  <si>
    <t xml:space="preserve">Less: Net Debt</t>
  </si>
  <si>
    <t xml:space="preserve">Equity Value</t>
  </si>
  <si>
    <t xml:space="preserve">Implied Share Price</t>
  </si>
  <si>
    <t xml:space="preserve">Current Share Price</t>
  </si>
  <si>
    <t xml:space="preserve">Upside / (Downside)</t>
  </si>
  <si>
    <t xml:space="preserve">SENSITIVITY ANALYSIS - IMPLIED SHARE PRICE</t>
  </si>
  <si>
    <t xml:space="preserve">WACC vs Terminal Growth Rate</t>
  </si>
  <si>
    <t xml:space="preserve">WACC \ TGR</t>
  </si>
  <si>
    <t xml:space="preserve">Base FCF Year 5 (from DCF)</t>
  </si>
  <si>
    <t xml:space="preserve">Sum PV FCF Yr 1-5 (from DCF)</t>
  </si>
  <si>
    <t xml:space="preserve">WACC vs Year 1 Revenue Growth</t>
  </si>
  <si>
    <t xml:space="preserve">WACC \ Rev Gr</t>
  </si>
  <si>
    <t xml:space="preserve">Note: Green cells indicate &gt;20% upside vs current price of $40</t>
  </si>
  <si>
    <t xml:space="preserve">FURNITURE INDUSTRY COMPARISON</t>
  </si>
  <si>
    <t xml:space="preserve">Company</t>
  </si>
  <si>
    <t xml:space="preserve">Ticker</t>
  </si>
  <si>
    <t xml:space="preserve">Market Cap ($M)</t>
  </si>
  <si>
    <t xml:space="preserve">P/E</t>
  </si>
  <si>
    <t xml:space="preserve">EV/EBITDA</t>
  </si>
  <si>
    <t xml:space="preserve">Gross Margin</t>
  </si>
  <si>
    <t xml:space="preserve">Flexsteel Industries</t>
  </si>
  <si>
    <t xml:space="preserve">FLXS</t>
  </si>
  <si>
    <t xml:space="preserve">La-Z-Boy</t>
  </si>
  <si>
    <t xml:space="preserve">LZB</t>
  </si>
  <si>
    <t xml:space="preserve">2.1%</t>
  </si>
  <si>
    <t xml:space="preserve">28.5%</t>
  </si>
  <si>
    <t xml:space="preserve">MillerKnoll</t>
  </si>
  <si>
    <t xml:space="preserve">MLKN</t>
  </si>
  <si>
    <t xml:space="preserve">2.5%</t>
  </si>
  <si>
    <t xml:space="preserve">36.2%</t>
  </si>
  <si>
    <t xml:space="preserve">Steelcase</t>
  </si>
  <si>
    <t xml:space="preserve">SCS</t>
  </si>
  <si>
    <t xml:space="preserve">3.2%</t>
  </si>
  <si>
    <t xml:space="preserve">31.5%</t>
  </si>
  <si>
    <t xml:space="preserve">Virco Mfg</t>
  </si>
  <si>
    <t xml:space="preserve">VIRC</t>
  </si>
  <si>
    <t xml:space="preserve">0.0%</t>
  </si>
  <si>
    <t xml:space="preserve">24.8%</t>
  </si>
  <si>
    <t xml:space="preserve">INDUSTRY OUTLOOK</t>
  </si>
  <si>
    <t xml:space="preserve">• Global furniture market growing at 4.3% CAGR through 2035</t>
  </si>
  <si>
    <t xml:space="preserve">• US home furniture market projected at $168B by 2033 (4.1% CAGR)</t>
  </si>
  <si>
    <t xml:space="preserve">• Residential furniture dominates (~66% of market)</t>
  </si>
  <si>
    <t xml:space="preserve">• E-commerce driving ~35% of furniture sales</t>
  </si>
  <si>
    <t xml:space="preserve">• Housing market recovery expected to boost furniture demand</t>
  </si>
  <si>
    <t xml:space="preserve">• Tariff uncertainty creating near-term headwinds</t>
  </si>
  <si>
    <t xml:space="preserve">• Sustainability and personalization driving premium segment growth</t>
  </si>
  <si>
    <t xml:space="preserve">FLEXSTEEL COMPETITIVE POSITION</t>
  </si>
  <si>
    <t xml:space="preserve">• Trades at significant discount to peers (P/E 9.7x vs peer avg ~13x)</t>
  </si>
  <si>
    <t xml:space="preserve">• Lowest EV/EBITDA among mid-size peers</t>
  </si>
  <si>
    <t xml:space="preserve">• Strong gross margin improvement trajectory</t>
  </si>
  <si>
    <t xml:space="preserve">• Proprietary Blue Steel Spring technology differentiator</t>
  </si>
  <si>
    <t xml:space="preserve">• Focused on US market reduces international exposure</t>
  </si>
  <si>
    <t xml:space="preserve">• Manufacturing optimization improving cost structure</t>
  </si>
  <si>
    <t xml:space="preserve">• Consistent dividend history builds investor confidence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</si>
</sst>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.0"/>
    <numFmt numFmtId="167" formatCode="0.000"/>
    <numFmt numFmtId="168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Cambria"/>
      <family val="0"/>
      <charset val="1"/>
    </font>
    <font>
      <b val="true"/>
      <i val="true"/>
      <sz val="12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2F549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DCE5"/>
        <bgColor rgb="FFE2EFDA"/>
      </patternFill>
    </fill>
    <fill>
      <patternFill patternType="solid">
        <fgColor rgb="FFE2EFDA"/>
        <bgColor rgb="FFD6DC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5" customFormat="false" ht="17.35" hidden="false" customHeight="false" outlineLevel="0" collapsed="false">
      <c r="A5" s="3" t="s">
        <v>3</v>
      </c>
    </row>
    <row r="6" customFormat="false" ht="15" hidden="false" customHeight="false" outlineLevel="0" collapsed="false">
      <c r="A6" s="0" t="s">
        <v>4</v>
      </c>
      <c r="B6" s="0" t="n">
        <v>1893</v>
      </c>
    </row>
    <row r="7" customFormat="false" ht="15" hidden="false" customHeight="false" outlineLevel="0" collapsed="false">
      <c r="A7" s="0" t="s">
        <v>5</v>
      </c>
      <c r="B7" s="0" t="s">
        <v>6</v>
      </c>
    </row>
    <row r="8" customFormat="false" ht="15" hidden="false" customHeight="false" outlineLevel="0" collapsed="false">
      <c r="A8" s="0" t="s">
        <v>7</v>
      </c>
      <c r="B8" s="0" t="s">
        <v>8</v>
      </c>
    </row>
    <row r="9" customFormat="false" ht="15" hidden="false" customHeight="false" outlineLevel="0" collapsed="false">
      <c r="A9" s="0" t="s">
        <v>9</v>
      </c>
      <c r="B9" s="0" t="n">
        <v>1400</v>
      </c>
    </row>
    <row r="10" customFormat="false" ht="15" hidden="false" customHeight="false" outlineLevel="0" collapsed="false">
      <c r="A10" s="0" t="s">
        <v>10</v>
      </c>
      <c r="B10" s="0" t="s">
        <v>11</v>
      </c>
    </row>
    <row r="11" customFormat="false" ht="15" hidden="false" customHeight="false" outlineLevel="0" collapsed="false">
      <c r="A11" s="0" t="s">
        <v>12</v>
      </c>
      <c r="B11" s="0" t="s">
        <v>13</v>
      </c>
    </row>
    <row r="13" customFormat="false" ht="17.35" hidden="false" customHeight="false" outlineLevel="0" collapsed="false">
      <c r="A13" s="3" t="s">
        <v>14</v>
      </c>
    </row>
    <row r="14" customFormat="false" ht="15" hidden="false" customHeight="false" outlineLevel="0" collapsed="false">
      <c r="A14" s="0" t="s">
        <v>15</v>
      </c>
    </row>
    <row r="15" customFormat="false" ht="15" hidden="false" customHeight="false" outlineLevel="0" collapsed="false">
      <c r="A15" s="0" t="s">
        <v>16</v>
      </c>
    </row>
    <row r="16" customFormat="false" ht="15" hidden="false" customHeight="false" outlineLevel="0" collapsed="false">
      <c r="A16" s="0" t="s">
        <v>17</v>
      </c>
    </row>
    <row r="18" customFormat="false" ht="17.35" hidden="false" customHeight="false" outlineLevel="0" collapsed="false">
      <c r="A18" s="3" t="s">
        <v>18</v>
      </c>
    </row>
    <row r="19" customFormat="false" ht="15" hidden="false" customHeight="false" outlineLevel="0" collapsed="false">
      <c r="A19" s="0" t="s">
        <v>19</v>
      </c>
    </row>
    <row r="20" customFormat="false" ht="15" hidden="false" customHeight="false" outlineLevel="0" collapsed="false">
      <c r="A20" s="0" t="s">
        <v>20</v>
      </c>
    </row>
    <row r="21" customFormat="false" ht="15" hidden="false" customHeight="false" outlineLevel="0" collapsed="false">
      <c r="A21" s="0" t="s">
        <v>21</v>
      </c>
    </row>
    <row r="22" customFormat="false" ht="15" hidden="false" customHeight="false" outlineLevel="0" collapsed="false">
      <c r="A22" s="0" t="s">
        <v>22</v>
      </c>
    </row>
    <row r="23" customFormat="false" ht="15" hidden="false" customHeight="false" outlineLevel="0" collapsed="false">
      <c r="A23" s="0" t="s">
        <v>23</v>
      </c>
    </row>
    <row r="24" customFormat="false" ht="15" hidden="false" customHeight="false" outlineLevel="0" collapsed="false">
      <c r="A24" s="0" t="s">
        <v>24</v>
      </c>
    </row>
    <row r="25" customFormat="false" ht="15" hidden="false" customHeight="false" outlineLevel="0" collapsed="false">
      <c r="A25" s="0" t="s">
        <v>25</v>
      </c>
    </row>
    <row r="27" customFormat="false" ht="17.35" hidden="false" customHeight="false" outlineLevel="0" collapsed="false">
      <c r="A27" s="3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2" customFormat="false" ht="17.35" hidden="false" customHeight="false" outlineLevel="0" collapsed="false">
      <c r="A32" s="3" t="s">
        <v>30</v>
      </c>
    </row>
    <row r="33" customFormat="false" ht="15" hidden="false" customHeight="false" outlineLevel="0" collapsed="false">
      <c r="A33" s="0" t="s">
        <v>31</v>
      </c>
    </row>
    <row r="34" customFormat="false" ht="15" hidden="false" customHeight="false" outlineLevel="0" collapsed="false">
      <c r="A34" s="0" t="s">
        <v>32</v>
      </c>
    </row>
    <row r="35" customFormat="false" ht="15" hidden="false" customHeight="false" outlineLevel="0" collapsed="false">
      <c r="A35" s="0" t="s">
        <v>33</v>
      </c>
    </row>
    <row r="36" customFormat="false" ht="15" hidden="false" customHeight="false" outlineLevel="0" collapsed="false">
      <c r="A36" s="0" t="s">
        <v>34</v>
      </c>
    </row>
    <row r="37" customFormat="false" ht="15" hidden="false" customHeight="false" outlineLevel="0" collapsed="false">
      <c r="A37" s="0" t="s">
        <v>35</v>
      </c>
    </row>
    <row r="38" customFormat="false" ht="15" hidden="false" customHeight="false" outlineLevel="0" collapsed="false">
      <c r="A38" s="0" t="s">
        <v>36</v>
      </c>
    </row>
    <row r="39" customFormat="false" ht="15" hidden="false" customHeight="false" outlineLevel="0" collapsed="false">
      <c r="A39" s="0" t="s">
        <v>37</v>
      </c>
    </row>
    <row r="40" customFormat="false" ht="15" hidden="false" customHeight="false" outlineLevel="0" collapsed="false">
      <c r="A40" s="0" t="s">
        <v>38</v>
      </c>
    </row>
    <row r="42" customFormat="false" ht="17.35" hidden="false" customHeight="false" outlineLevel="0" collapsed="false">
      <c r="A42" s="3" t="s">
        <v>39</v>
      </c>
    </row>
    <row r="43" customFormat="false" ht="15" hidden="false" customHeight="false" outlineLevel="0" collapsed="false">
      <c r="A43" s="0" t="s">
        <v>40</v>
      </c>
    </row>
    <row r="44" customFormat="false" ht="15" hidden="false" customHeight="false" outlineLevel="0" collapsed="false">
      <c r="A44" s="0" t="s">
        <v>41</v>
      </c>
    </row>
    <row r="45" customFormat="false" ht="15" hidden="false" customHeight="false" outlineLevel="0" collapsed="false">
      <c r="A45" s="0" t="s">
        <v>42</v>
      </c>
    </row>
    <row r="46" customFormat="false" ht="15" hidden="false" customHeight="false" outlineLevel="0" collapsed="false">
      <c r="A46" s="0" t="s">
        <v>43</v>
      </c>
    </row>
    <row r="47" customFormat="false" ht="15" hidden="false" customHeight="false" outlineLevel="0" collapsed="false">
      <c r="A47" s="0" t="s">
        <v>44</v>
      </c>
    </row>
    <row r="48" customFormat="false" ht="15" hidden="false" customHeight="false" outlineLevel="0" collapsed="false">
      <c r="A48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7.35" hidden="false" customHeight="false" outlineLevel="0" collapsed="false">
      <c r="A1" s="4" t="s">
        <v>46</v>
      </c>
    </row>
    <row r="2" customFormat="false" ht="15" hidden="false" customHeight="false" outlineLevel="0" collapsed="false">
      <c r="A2" s="0" t="s">
        <v>47</v>
      </c>
    </row>
    <row r="4" customFormat="false" ht="15" hidden="false" customHeight="false" outlineLevel="0" collapsed="false">
      <c r="A4" s="5"/>
      <c r="B4" s="6" t="s">
        <v>48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53</v>
      </c>
    </row>
    <row r="5" customFormat="false" ht="15" hidden="false" customHeight="false" outlineLevel="0" collapsed="false">
      <c r="A5" s="7" t="s">
        <v>54</v>
      </c>
      <c r="B5" s="0" t="n">
        <v>478.93</v>
      </c>
      <c r="C5" s="0" t="n">
        <v>544.28</v>
      </c>
      <c r="D5" s="0" t="n">
        <v>393.69</v>
      </c>
      <c r="E5" s="0" t="n">
        <v>412.75</v>
      </c>
      <c r="F5" s="0" t="n">
        <v>441.07</v>
      </c>
      <c r="G5" s="0" t="n">
        <v>447.51</v>
      </c>
    </row>
    <row r="6" customFormat="false" ht="15" hidden="false" customHeight="false" outlineLevel="0" collapsed="false">
      <c r="A6" s="7" t="s">
        <v>55</v>
      </c>
      <c r="B6" s="8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61</v>
      </c>
    </row>
    <row r="7" customFormat="false" ht="15" hidden="false" customHeight="false" outlineLevel="0" collapsed="false">
      <c r="A7" s="7" t="s">
        <v>62</v>
      </c>
      <c r="B7" s="0" t="n">
        <v>382.15</v>
      </c>
      <c r="C7" s="0" t="n">
        <v>471.6</v>
      </c>
      <c r="D7" s="0" t="n">
        <v>322.75</v>
      </c>
      <c r="E7" s="0" t="n">
        <v>325.51</v>
      </c>
      <c r="F7" s="0" t="n">
        <v>343.13</v>
      </c>
      <c r="G7" s="0" t="n">
        <v>345.98</v>
      </c>
    </row>
    <row r="8" customFormat="false" ht="15" hidden="false" customHeight="false" outlineLevel="0" collapsed="false">
      <c r="A8" s="7" t="s">
        <v>63</v>
      </c>
      <c r="B8" s="0" t="n">
        <v>96.78</v>
      </c>
      <c r="C8" s="0" t="n">
        <v>72.68</v>
      </c>
      <c r="D8" s="0" t="n">
        <v>70.95</v>
      </c>
      <c r="E8" s="0" t="n">
        <v>87.24</v>
      </c>
      <c r="F8" s="0" t="n">
        <v>97.94</v>
      </c>
      <c r="G8" s="0" t="n">
        <v>101.52</v>
      </c>
    </row>
    <row r="9" customFormat="false" ht="15" hidden="false" customHeight="false" outlineLevel="0" collapsed="false">
      <c r="A9" s="7" t="s">
        <v>64</v>
      </c>
      <c r="B9" s="8" t="s">
        <v>65</v>
      </c>
      <c r="C9" s="8" t="s">
        <v>66</v>
      </c>
      <c r="D9" s="8" t="s">
        <v>67</v>
      </c>
      <c r="E9" s="8" t="s">
        <v>68</v>
      </c>
      <c r="F9" s="8" t="s">
        <v>69</v>
      </c>
      <c r="G9" s="8" t="s">
        <v>70</v>
      </c>
    </row>
    <row r="10" customFormat="false" ht="15" hidden="false" customHeight="false" outlineLevel="0" collapsed="false">
      <c r="A10" s="7" t="s">
        <v>71</v>
      </c>
      <c r="B10" s="0" t="n">
        <v>67.98</v>
      </c>
      <c r="C10" s="0" t="n">
        <v>66.73</v>
      </c>
      <c r="D10" s="0" t="n">
        <v>63.19</v>
      </c>
      <c r="E10" s="0" t="n">
        <v>70.44</v>
      </c>
      <c r="F10" s="0" t="n">
        <v>66.7</v>
      </c>
      <c r="G10" s="0" t="n">
        <v>67.34</v>
      </c>
    </row>
    <row r="11" customFormat="false" ht="15" hidden="false" customHeight="false" outlineLevel="0" collapsed="false">
      <c r="A11" s="7" t="s">
        <v>72</v>
      </c>
      <c r="B11" s="0" t="n">
        <v>28.8</v>
      </c>
      <c r="C11" s="0" t="n">
        <v>5.95</v>
      </c>
      <c r="D11" s="0" t="n">
        <v>7.75</v>
      </c>
      <c r="E11" s="0" t="n">
        <v>16.8</v>
      </c>
      <c r="F11" s="0" t="n">
        <v>31.25</v>
      </c>
      <c r="G11" s="0" t="n">
        <v>34.19</v>
      </c>
    </row>
    <row r="12" customFormat="false" ht="15" hidden="false" customHeight="false" outlineLevel="0" collapsed="false">
      <c r="A12" s="7" t="s">
        <v>73</v>
      </c>
      <c r="B12" s="8" t="s">
        <v>61</v>
      </c>
      <c r="C12" s="8" t="s">
        <v>74</v>
      </c>
      <c r="D12" s="8" t="s">
        <v>75</v>
      </c>
      <c r="E12" s="8" t="s">
        <v>76</v>
      </c>
      <c r="F12" s="8" t="s">
        <v>77</v>
      </c>
      <c r="G12" s="8" t="s">
        <v>78</v>
      </c>
    </row>
    <row r="13" customFormat="false" ht="15" hidden="false" customHeight="false" outlineLevel="0" collapsed="false">
      <c r="A13" s="7" t="s">
        <v>79</v>
      </c>
      <c r="B13" s="0" t="n">
        <v>31.47</v>
      </c>
      <c r="C13" s="0" t="n">
        <v>5.9</v>
      </c>
      <c r="D13" s="0" t="n">
        <v>9.22</v>
      </c>
      <c r="E13" s="0" t="n">
        <v>15.55</v>
      </c>
      <c r="F13" s="0" t="n">
        <v>26.97</v>
      </c>
      <c r="G13" s="0" t="n">
        <v>30.35</v>
      </c>
    </row>
    <row r="14" customFormat="false" ht="15" hidden="false" customHeight="false" outlineLevel="0" collapsed="false">
      <c r="A14" s="7" t="s">
        <v>80</v>
      </c>
      <c r="B14" s="0" t="n">
        <v>23.05</v>
      </c>
      <c r="C14" s="0" t="n">
        <v>1.85</v>
      </c>
      <c r="D14" s="0" t="n">
        <v>14.78</v>
      </c>
      <c r="E14" s="0" t="n">
        <v>10.53</v>
      </c>
      <c r="F14" s="0" t="n">
        <v>20.15</v>
      </c>
      <c r="G14" s="0" t="n">
        <v>23.34</v>
      </c>
    </row>
    <row r="15" customFormat="false" ht="15" hidden="false" customHeight="false" outlineLevel="0" collapsed="false">
      <c r="A15" s="7" t="s">
        <v>81</v>
      </c>
      <c r="B15" s="8" t="s">
        <v>59</v>
      </c>
      <c r="C15" s="8" t="s">
        <v>82</v>
      </c>
      <c r="D15" s="8" t="s">
        <v>83</v>
      </c>
      <c r="E15" s="8" t="s">
        <v>84</v>
      </c>
      <c r="F15" s="8" t="s">
        <v>85</v>
      </c>
      <c r="G15" s="8" t="s">
        <v>86</v>
      </c>
    </row>
    <row r="16" customFormat="false" ht="15" hidden="false" customHeight="false" outlineLevel="0" collapsed="false">
      <c r="A16" s="7" t="s">
        <v>87</v>
      </c>
      <c r="B16" s="0" t="n">
        <v>3.09</v>
      </c>
      <c r="C16" s="0" t="n">
        <v>0.28</v>
      </c>
      <c r="D16" s="0" t="n">
        <v>2.74</v>
      </c>
      <c r="E16" s="0" t="n">
        <v>1.91</v>
      </c>
      <c r="F16" s="0" t="n">
        <v>3.55</v>
      </c>
      <c r="G16" s="0" t="n">
        <v>4.11</v>
      </c>
    </row>
    <row r="19" customFormat="false" ht="15" hidden="false" customHeight="false" outlineLevel="0" collapsed="false">
      <c r="A19" s="5"/>
      <c r="B19" s="6" t="s">
        <v>48</v>
      </c>
      <c r="C19" s="6" t="s">
        <v>49</v>
      </c>
      <c r="D19" s="6" t="s">
        <v>50</v>
      </c>
      <c r="E19" s="6" t="s">
        <v>51</v>
      </c>
      <c r="F19" s="6" t="s">
        <v>52</v>
      </c>
      <c r="G19" s="6" t="s">
        <v>53</v>
      </c>
    </row>
    <row r="20" customFormat="false" ht="15" hidden="false" customHeight="false" outlineLevel="0" collapsed="false">
      <c r="A20" s="7" t="s">
        <v>88</v>
      </c>
      <c r="B20" s="0" t="n">
        <v>1.34</v>
      </c>
      <c r="C20" s="0" t="n">
        <v>2.18</v>
      </c>
      <c r="D20" s="0" t="n">
        <v>3.37</v>
      </c>
      <c r="E20" s="0" t="n">
        <v>4.76</v>
      </c>
      <c r="F20" s="0" t="n">
        <v>40.01</v>
      </c>
      <c r="G20" s="0" t="n">
        <v>38.59</v>
      </c>
    </row>
    <row r="21" customFormat="false" ht="15" hidden="false" customHeight="false" outlineLevel="0" collapsed="false">
      <c r="A21" s="7" t="s">
        <v>89</v>
      </c>
      <c r="B21" s="0" t="n">
        <v>228.54</v>
      </c>
      <c r="C21" s="0" t="n">
        <v>190.07</v>
      </c>
      <c r="D21" s="0" t="n">
        <v>170.64</v>
      </c>
      <c r="E21" s="0" t="n">
        <v>155.38</v>
      </c>
      <c r="F21" s="0" t="n">
        <v>172.37</v>
      </c>
      <c r="G21" s="0" t="n">
        <v>175.37</v>
      </c>
    </row>
    <row r="22" customFormat="false" ht="15" hidden="false" customHeight="false" outlineLevel="0" collapsed="false">
      <c r="A22" s="7" t="s">
        <v>90</v>
      </c>
      <c r="B22" s="0" t="n">
        <v>296.78</v>
      </c>
      <c r="C22" s="0" t="n">
        <v>268.74</v>
      </c>
      <c r="D22" s="0" t="n">
        <v>290.55</v>
      </c>
      <c r="E22" s="0" t="n">
        <v>274.46</v>
      </c>
      <c r="F22" s="0" t="n">
        <v>282.49</v>
      </c>
      <c r="G22" s="0" t="n">
        <v>281.47</v>
      </c>
    </row>
    <row r="23" customFormat="false" ht="15" hidden="false" customHeight="false" outlineLevel="0" collapsed="false">
      <c r="A23" s="7" t="s">
        <v>91</v>
      </c>
      <c r="B23" s="0" t="n">
        <v>99.75</v>
      </c>
      <c r="C23" s="0" t="n">
        <v>64.63</v>
      </c>
      <c r="D23" s="0" t="n">
        <v>55.11</v>
      </c>
      <c r="E23" s="0" t="n">
        <v>60.41</v>
      </c>
      <c r="F23" s="0" t="n">
        <v>62.01</v>
      </c>
      <c r="G23" s="0" t="n">
        <v>58.51</v>
      </c>
    </row>
    <row r="24" customFormat="false" ht="15" hidden="false" customHeight="false" outlineLevel="0" collapsed="false">
      <c r="A24" s="7" t="s">
        <v>92</v>
      </c>
      <c r="B24" s="0" t="n">
        <v>33.65</v>
      </c>
      <c r="C24" s="0" t="n">
        <v>78.09</v>
      </c>
      <c r="D24" s="0" t="n">
        <v>100.43</v>
      </c>
      <c r="E24" s="0" t="n">
        <v>70.42</v>
      </c>
      <c r="F24" s="0" t="n">
        <v>59.37</v>
      </c>
      <c r="G24" s="0" t="n">
        <v>57.81</v>
      </c>
    </row>
    <row r="25" customFormat="false" ht="15" hidden="false" customHeight="false" outlineLevel="0" collapsed="false">
      <c r="A25" s="7" t="s">
        <v>93</v>
      </c>
      <c r="B25" s="0" t="n">
        <v>128.81</v>
      </c>
      <c r="C25" s="0" t="n">
        <v>137.18</v>
      </c>
      <c r="D25" s="0" t="n">
        <v>148.93</v>
      </c>
      <c r="E25" s="0" t="n">
        <v>124.1</v>
      </c>
      <c r="F25" s="0" t="n">
        <v>114.62</v>
      </c>
      <c r="G25" s="0" t="n">
        <v>109.29</v>
      </c>
    </row>
    <row r="26" customFormat="false" ht="15" hidden="false" customHeight="false" outlineLevel="0" collapsed="false">
      <c r="A26" s="7" t="s">
        <v>94</v>
      </c>
      <c r="B26" s="0" t="n">
        <v>167.97</v>
      </c>
      <c r="C26" s="0" t="n">
        <v>131.56</v>
      </c>
      <c r="D26" s="0" t="n">
        <v>141.62</v>
      </c>
      <c r="E26" s="0" t="n">
        <v>150.37</v>
      </c>
      <c r="F26" s="0" t="n">
        <v>167.86</v>
      </c>
      <c r="G26" s="0" t="n">
        <v>172.18</v>
      </c>
    </row>
    <row r="27" customFormat="false" ht="15" hidden="false" customHeight="false" outlineLevel="0" collapsed="false">
      <c r="A27" s="7" t="s">
        <v>95</v>
      </c>
      <c r="B27" s="0" t="n">
        <v>-32.31</v>
      </c>
      <c r="C27" s="0" t="n">
        <v>-75.91</v>
      </c>
      <c r="D27" s="0" t="n">
        <v>-97.06</v>
      </c>
      <c r="E27" s="0" t="n">
        <v>-65.65</v>
      </c>
      <c r="F27" s="0" t="n">
        <v>-19.36</v>
      </c>
      <c r="G27" s="0" t="n">
        <v>-19.23</v>
      </c>
    </row>
    <row r="28" customFormat="false" ht="15" hidden="false" customHeight="false" outlineLevel="0" collapsed="false">
      <c r="A28" s="7" t="s">
        <v>96</v>
      </c>
      <c r="B28" s="0" t="n">
        <v>24.53</v>
      </c>
      <c r="C28" s="0" t="n">
        <v>24.82</v>
      </c>
      <c r="D28" s="0" t="n">
        <v>27.37</v>
      </c>
      <c r="E28" s="0" t="n">
        <v>28.92</v>
      </c>
      <c r="F28" s="0" t="n">
        <v>31.63</v>
      </c>
      <c r="G28" s="0" t="n">
        <v>32.24</v>
      </c>
    </row>
    <row r="31" customFormat="false" ht="15" hidden="false" customHeight="false" outlineLevel="0" collapsed="false">
      <c r="A31" s="5"/>
      <c r="B31" s="6" t="s">
        <v>48</v>
      </c>
      <c r="C31" s="6" t="s">
        <v>49</v>
      </c>
      <c r="D31" s="6" t="s">
        <v>50</v>
      </c>
      <c r="E31" s="6" t="s">
        <v>51</v>
      </c>
      <c r="F31" s="6" t="s">
        <v>52</v>
      </c>
      <c r="G31" s="6" t="s">
        <v>53</v>
      </c>
    </row>
    <row r="32" customFormat="false" ht="15" hidden="false" customHeight="false" outlineLevel="0" collapsed="false">
      <c r="A32" s="7" t="s">
        <v>97</v>
      </c>
      <c r="B32" s="0" t="n">
        <v>5.21</v>
      </c>
      <c r="C32" s="0" t="n">
        <v>5.17</v>
      </c>
      <c r="D32" s="0" t="n">
        <v>4.57</v>
      </c>
      <c r="E32" s="0" t="n">
        <v>4</v>
      </c>
      <c r="F32" s="0" t="n">
        <v>3.65</v>
      </c>
      <c r="G32" s="0" t="n">
        <v>3.56</v>
      </c>
    </row>
    <row r="33" customFormat="false" ht="15" hidden="false" customHeight="false" outlineLevel="0" collapsed="false">
      <c r="A33" s="7" t="s">
        <v>98</v>
      </c>
      <c r="B33" s="0" t="n">
        <v>34.01</v>
      </c>
      <c r="C33" s="0" t="n">
        <v>11.12</v>
      </c>
      <c r="D33" s="0" t="n">
        <v>12.33</v>
      </c>
      <c r="E33" s="0" t="n">
        <v>20.8</v>
      </c>
      <c r="F33" s="0" t="n">
        <v>34.9</v>
      </c>
      <c r="G33" s="0" t="n">
        <v>37.75</v>
      </c>
    </row>
    <row r="34" customFormat="false" ht="15" hidden="false" customHeight="false" outlineLevel="0" collapsed="false">
      <c r="A34" s="7" t="s">
        <v>99</v>
      </c>
      <c r="B34" s="8" t="s">
        <v>77</v>
      </c>
      <c r="C34" s="8" t="s">
        <v>75</v>
      </c>
      <c r="D34" s="8" t="s">
        <v>100</v>
      </c>
      <c r="E34" s="8" t="s">
        <v>101</v>
      </c>
      <c r="F34" s="8" t="s">
        <v>102</v>
      </c>
      <c r="G34" s="8" t="s">
        <v>103</v>
      </c>
    </row>
    <row r="35" customFormat="false" ht="15" hidden="false" customHeight="false" outlineLevel="0" collapsed="false">
      <c r="A35" s="7" t="s">
        <v>104</v>
      </c>
      <c r="B35" s="0" t="n">
        <v>-35.27</v>
      </c>
      <c r="C35" s="0" t="n">
        <v>4.14</v>
      </c>
      <c r="D35" s="0" t="n">
        <v>18.2</v>
      </c>
      <c r="E35" s="0" t="n">
        <v>27.11</v>
      </c>
      <c r="F35" s="0" t="n">
        <v>33.72</v>
      </c>
      <c r="G35" s="0" t="n">
        <v>34.51</v>
      </c>
    </row>
    <row r="36" customFormat="false" ht="15" hidden="false" customHeight="false" outlineLevel="0" collapsed="false">
      <c r="A36" s="7" t="s">
        <v>105</v>
      </c>
      <c r="B36" s="8" t="s">
        <v>106</v>
      </c>
      <c r="C36" s="8" t="s">
        <v>107</v>
      </c>
      <c r="D36" s="8" t="s">
        <v>85</v>
      </c>
      <c r="E36" s="8" t="s">
        <v>108</v>
      </c>
      <c r="F36" s="8" t="s">
        <v>78</v>
      </c>
      <c r="G36" s="8" t="s">
        <v>109</v>
      </c>
    </row>
    <row r="37" customFormat="false" ht="15" hidden="false" customHeight="false" outlineLevel="0" collapsed="false">
      <c r="A37" s="7" t="s">
        <v>110</v>
      </c>
      <c r="B37" s="0" t="n">
        <v>-4.72</v>
      </c>
      <c r="C37" s="0" t="n">
        <v>0.64</v>
      </c>
      <c r="D37" s="0" t="n">
        <v>3.38</v>
      </c>
      <c r="E37" s="0" t="n">
        <v>4.91</v>
      </c>
      <c r="F37" s="0" t="n">
        <v>5.94</v>
      </c>
      <c r="G37" s="0" t="n">
        <v>6.07</v>
      </c>
    </row>
    <row r="38" customFormat="false" ht="15" hidden="false" customHeight="false" outlineLevel="0" collapsed="false">
      <c r="A38" s="7" t="s">
        <v>111</v>
      </c>
      <c r="B38" s="0" t="n">
        <v>0.45</v>
      </c>
      <c r="C38" s="0" t="n">
        <v>0.6</v>
      </c>
      <c r="D38" s="0" t="n">
        <v>0.6</v>
      </c>
      <c r="E38" s="0" t="n">
        <v>0.6</v>
      </c>
      <c r="F38" s="0" t="n">
        <v>0.71</v>
      </c>
      <c r="G38" s="0" t="n">
        <v>0.74</v>
      </c>
    </row>
    <row r="41" customFormat="false" ht="17.35" hidden="false" customHeight="false" outlineLevel="0" collapsed="false">
      <c r="A41" s="3" t="s">
        <v>112</v>
      </c>
    </row>
    <row r="42" customFormat="false" ht="15" hidden="false" customHeight="false" outlineLevel="0" collapsed="false">
      <c r="A42" s="7" t="s">
        <v>113</v>
      </c>
      <c r="B42" s="8" t="s">
        <v>114</v>
      </c>
    </row>
    <row r="43" customFormat="false" ht="15" hidden="false" customHeight="false" outlineLevel="0" collapsed="false">
      <c r="A43" s="7" t="s">
        <v>115</v>
      </c>
      <c r="B43" s="8" t="s">
        <v>116</v>
      </c>
    </row>
    <row r="44" customFormat="false" ht="15" hidden="false" customHeight="false" outlineLevel="0" collapsed="false">
      <c r="A44" s="7" t="s">
        <v>117</v>
      </c>
      <c r="B44" s="8" t="s">
        <v>118</v>
      </c>
    </row>
    <row r="45" customFormat="false" ht="15" hidden="false" customHeight="false" outlineLevel="0" collapsed="false">
      <c r="A45" s="7" t="s">
        <v>119</v>
      </c>
      <c r="B45" s="8" t="s">
        <v>120</v>
      </c>
    </row>
    <row r="46" customFormat="false" ht="15" hidden="false" customHeight="false" outlineLevel="0" collapsed="false">
      <c r="A46" s="7" t="s">
        <v>121</v>
      </c>
      <c r="B46" s="8" t="s">
        <v>122</v>
      </c>
    </row>
    <row r="47" customFormat="false" ht="15" hidden="false" customHeight="false" outlineLevel="0" collapsed="false">
      <c r="A47" s="7" t="s">
        <v>123</v>
      </c>
      <c r="B47" s="8" t="s">
        <v>124</v>
      </c>
    </row>
    <row r="48" customFormat="false" ht="15" hidden="false" customHeight="false" outlineLevel="0" collapsed="false">
      <c r="A48" s="7" t="s">
        <v>125</v>
      </c>
      <c r="B48" s="8" t="s">
        <v>126</v>
      </c>
    </row>
    <row r="49" customFormat="false" ht="15" hidden="false" customHeight="false" outlineLevel="0" collapsed="false">
      <c r="A49" s="7" t="s">
        <v>127</v>
      </c>
      <c r="B49" s="8" t="s">
        <v>128</v>
      </c>
    </row>
    <row r="50" customFormat="false" ht="15" hidden="false" customHeight="false" outlineLevel="0" collapsed="false">
      <c r="A50" s="7" t="s">
        <v>129</v>
      </c>
      <c r="B50" s="8" t="s">
        <v>130</v>
      </c>
    </row>
    <row r="51" customFormat="false" ht="15" hidden="false" customHeight="false" outlineLevel="0" collapsed="false">
      <c r="A51" s="7" t="s">
        <v>131</v>
      </c>
      <c r="B51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4" t="s">
        <v>132</v>
      </c>
    </row>
    <row r="2" customFormat="false" ht="15" hidden="false" customHeight="false" outlineLevel="0" collapsed="false">
      <c r="A2" s="0" t="s">
        <v>47</v>
      </c>
    </row>
    <row r="4" customFormat="false" ht="17.35" hidden="false" customHeight="false" outlineLevel="0" collapsed="false">
      <c r="A4" s="9" t="s">
        <v>133</v>
      </c>
      <c r="B4" s="9"/>
      <c r="C4" s="9"/>
    </row>
    <row r="5" customFormat="false" ht="15" hidden="false" customHeight="false" outlineLevel="0" collapsed="false">
      <c r="A5" s="0" t="s">
        <v>134</v>
      </c>
      <c r="B5" s="10" t="n">
        <v>441.07</v>
      </c>
      <c r="C5" s="8" t="s">
        <v>135</v>
      </c>
    </row>
    <row r="6" customFormat="false" ht="15" hidden="false" customHeight="false" outlineLevel="0" collapsed="false">
      <c r="A6" s="0" t="s">
        <v>136</v>
      </c>
      <c r="B6" s="11" t="n">
        <v>0.06</v>
      </c>
    </row>
    <row r="7" customFormat="false" ht="15" hidden="false" customHeight="false" outlineLevel="0" collapsed="false">
      <c r="A7" s="0" t="s">
        <v>137</v>
      </c>
      <c r="B7" s="11" t="n">
        <v>0.05</v>
      </c>
    </row>
    <row r="8" customFormat="false" ht="15" hidden="false" customHeight="false" outlineLevel="0" collapsed="false">
      <c r="A8" s="0" t="s">
        <v>138</v>
      </c>
      <c r="B8" s="11" t="n">
        <v>0.04</v>
      </c>
    </row>
    <row r="9" customFormat="false" ht="15" hidden="false" customHeight="false" outlineLevel="0" collapsed="false">
      <c r="A9" s="0" t="s">
        <v>139</v>
      </c>
      <c r="B9" s="11" t="n">
        <v>0.035</v>
      </c>
    </row>
    <row r="10" customFormat="false" ht="15" hidden="false" customHeight="false" outlineLevel="0" collapsed="false">
      <c r="A10" s="0" t="s">
        <v>140</v>
      </c>
      <c r="B10" s="11" t="n">
        <v>0.03</v>
      </c>
    </row>
    <row r="11" customFormat="false" ht="15" hidden="false" customHeight="false" outlineLevel="0" collapsed="false">
      <c r="A11" s="0" t="s">
        <v>141</v>
      </c>
      <c r="B11" s="11" t="n">
        <v>0.072</v>
      </c>
    </row>
    <row r="12" customFormat="false" ht="15" hidden="false" customHeight="false" outlineLevel="0" collapsed="false">
      <c r="A12" s="0" t="s">
        <v>142</v>
      </c>
      <c r="B12" s="11" t="n">
        <v>0.08</v>
      </c>
    </row>
    <row r="13" customFormat="false" ht="15" hidden="false" customHeight="false" outlineLevel="0" collapsed="false">
      <c r="A13" s="0" t="s">
        <v>143</v>
      </c>
      <c r="B13" s="11" t="n">
        <v>0.25</v>
      </c>
    </row>
    <row r="14" customFormat="false" ht="15" hidden="false" customHeight="false" outlineLevel="0" collapsed="false">
      <c r="A14" s="0" t="s">
        <v>144</v>
      </c>
      <c r="B14" s="11" t="n">
        <v>0.008</v>
      </c>
    </row>
    <row r="15" customFormat="false" ht="15" hidden="false" customHeight="false" outlineLevel="0" collapsed="false">
      <c r="A15" s="0" t="s">
        <v>145</v>
      </c>
      <c r="B15" s="11" t="n">
        <v>0.008</v>
      </c>
    </row>
    <row r="16" customFormat="false" ht="15" hidden="false" customHeight="false" outlineLevel="0" collapsed="false">
      <c r="A16" s="0" t="s">
        <v>146</v>
      </c>
      <c r="B16" s="11" t="n">
        <v>0.1</v>
      </c>
    </row>
    <row r="17" customFormat="false" ht="15" hidden="false" customHeight="false" outlineLevel="0" collapsed="false">
      <c r="A17" s="0" t="s">
        <v>147</v>
      </c>
      <c r="B17" s="11" t="n">
        <v>0.1</v>
      </c>
    </row>
    <row r="18" customFormat="false" ht="15" hidden="false" customHeight="false" outlineLevel="0" collapsed="false">
      <c r="A18" s="0" t="s">
        <v>148</v>
      </c>
      <c r="B18" s="11" t="n">
        <v>0.025</v>
      </c>
    </row>
    <row r="19" customFormat="false" ht="15" hidden="false" customHeight="false" outlineLevel="0" collapsed="false">
      <c r="A19" s="0" t="s">
        <v>149</v>
      </c>
      <c r="B19" s="10" t="n">
        <v>19.36</v>
      </c>
    </row>
    <row r="20" customFormat="false" ht="15" hidden="false" customHeight="false" outlineLevel="0" collapsed="false">
      <c r="A20" s="0" t="s">
        <v>150</v>
      </c>
      <c r="B20" s="10" t="n">
        <v>5.31</v>
      </c>
    </row>
    <row r="23" customFormat="false" ht="15" hidden="false" customHeight="false" outlineLevel="0" collapsed="false">
      <c r="A23" s="6"/>
      <c r="B23" s="6" t="s">
        <v>151</v>
      </c>
      <c r="C23" s="6" t="s">
        <v>152</v>
      </c>
      <c r="D23" s="6" t="s">
        <v>153</v>
      </c>
      <c r="E23" s="6" t="s">
        <v>154</v>
      </c>
      <c r="F23" s="6" t="s">
        <v>155</v>
      </c>
      <c r="G23" s="6" t="s">
        <v>156</v>
      </c>
    </row>
    <row r="24" customFormat="false" ht="15" hidden="false" customHeight="false" outlineLevel="0" collapsed="false">
      <c r="A24" s="0" t="s">
        <v>157</v>
      </c>
      <c r="C24" s="12" t="n">
        <f aca="false">$B$6</f>
        <v>0.06</v>
      </c>
      <c r="D24" s="12" t="n">
        <f aca="false">$B$7</f>
        <v>0.05</v>
      </c>
      <c r="E24" s="12" t="n">
        <f aca="false">$B$8</f>
        <v>0.04</v>
      </c>
      <c r="F24" s="12" t="n">
        <f aca="false">$B$9</f>
        <v>0.035</v>
      </c>
      <c r="G24" s="12" t="n">
        <f aca="false">$B$10</f>
        <v>0.03</v>
      </c>
    </row>
    <row r="25" customFormat="false" ht="15" hidden="false" customHeight="false" outlineLevel="0" collapsed="false">
      <c r="A25" s="0" t="s">
        <v>54</v>
      </c>
      <c r="B25" s="13" t="n">
        <f aca="false">$B$5</f>
        <v>441.07</v>
      </c>
      <c r="C25" s="13" t="n">
        <f aca="false">B25*(1+C24)</f>
        <v>467.5342</v>
      </c>
      <c r="D25" s="13" t="n">
        <f aca="false">C25*(1+D24)</f>
        <v>490.91091</v>
      </c>
      <c r="E25" s="13" t="n">
        <f aca="false">D25*(1+E24)</f>
        <v>510.5473464</v>
      </c>
      <c r="F25" s="13" t="n">
        <f aca="false">E25*(1+F24)</f>
        <v>528.416503524</v>
      </c>
      <c r="G25" s="13" t="n">
        <f aca="false">F25*(1+G24)</f>
        <v>544.26899862972</v>
      </c>
    </row>
    <row r="26" customFormat="false" ht="15" hidden="false" customHeight="false" outlineLevel="0" collapsed="false">
      <c r="A26" s="0" t="s">
        <v>158</v>
      </c>
      <c r="B26" s="0" t="n">
        <v>0.071</v>
      </c>
      <c r="C26" s="12" t="n">
        <f aca="false">$B$11</f>
        <v>0.072</v>
      </c>
      <c r="D26" s="12" t="n">
        <f aca="false">$B$11+($B$12-$B$11)/4</f>
        <v>0.074</v>
      </c>
      <c r="E26" s="12" t="n">
        <f aca="false">$B$11+($B$12-$B$11)*2/4</f>
        <v>0.076</v>
      </c>
      <c r="F26" s="12" t="n">
        <f aca="false">$B$11+($B$12-$B$11)*3/4</f>
        <v>0.078</v>
      </c>
      <c r="G26" s="12" t="n">
        <f aca="false">$B$12</f>
        <v>0.08</v>
      </c>
    </row>
    <row r="27" customFormat="false" ht="15" hidden="false" customHeight="false" outlineLevel="0" collapsed="false">
      <c r="A27" s="0" t="s">
        <v>159</v>
      </c>
      <c r="B27" s="13" t="n">
        <f aca="false">B25*B26</f>
        <v>31.31597</v>
      </c>
      <c r="C27" s="13" t="n">
        <f aca="false">C25*C26</f>
        <v>33.6624624</v>
      </c>
      <c r="D27" s="13" t="n">
        <f aca="false">D25*D26</f>
        <v>36.32740734</v>
      </c>
      <c r="E27" s="13" t="n">
        <f aca="false">E25*E26</f>
        <v>38.8015983264</v>
      </c>
      <c r="F27" s="13" t="n">
        <f aca="false">F25*F26</f>
        <v>41.216487274872</v>
      </c>
      <c r="G27" s="13" t="n">
        <f aca="false">G25*G26</f>
        <v>43.5415198903776</v>
      </c>
    </row>
    <row r="28" customFormat="false" ht="15" hidden="false" customHeight="false" outlineLevel="0" collapsed="false">
      <c r="A28" s="0" t="s">
        <v>160</v>
      </c>
      <c r="B28" s="13" t="n">
        <f aca="false">B27*$B$13</f>
        <v>7.8289925</v>
      </c>
      <c r="C28" s="13" t="n">
        <f aca="false">C27*$B$13</f>
        <v>8.4156156</v>
      </c>
      <c r="D28" s="13" t="n">
        <f aca="false">D27*$B$13</f>
        <v>9.081851835</v>
      </c>
      <c r="E28" s="13" t="n">
        <f aca="false">E27*$B$13</f>
        <v>9.7003995816</v>
      </c>
      <c r="F28" s="13" t="n">
        <f aca="false">F27*$B$13</f>
        <v>10.304121818718</v>
      </c>
      <c r="G28" s="13" t="n">
        <f aca="false">G27*$B$13</f>
        <v>10.8853799725944</v>
      </c>
    </row>
    <row r="29" customFormat="false" ht="15" hidden="false" customHeight="false" outlineLevel="0" collapsed="false">
      <c r="A29" s="0" t="s">
        <v>161</v>
      </c>
      <c r="B29" s="13" t="n">
        <f aca="false">B27-B28</f>
        <v>23.4869775</v>
      </c>
      <c r="C29" s="13" t="n">
        <f aca="false">C27-C28</f>
        <v>25.2468468</v>
      </c>
      <c r="D29" s="13" t="n">
        <f aca="false">D27-D28</f>
        <v>27.245555505</v>
      </c>
      <c r="E29" s="13" t="n">
        <f aca="false">E27-E28</f>
        <v>29.1011987448</v>
      </c>
      <c r="F29" s="13" t="n">
        <f aca="false">F27-F28</f>
        <v>30.912365456154</v>
      </c>
      <c r="G29" s="13" t="n">
        <f aca="false">G27-G28</f>
        <v>32.6561399177832</v>
      </c>
    </row>
    <row r="30" customFormat="false" ht="15" hidden="false" customHeight="false" outlineLevel="0" collapsed="false">
      <c r="A30" s="0" t="s">
        <v>162</v>
      </c>
      <c r="B30" s="13" t="n">
        <f aca="false">B25*$B$14</f>
        <v>3.52856</v>
      </c>
      <c r="C30" s="13" t="n">
        <f aca="false">C25*$B$14</f>
        <v>3.7402736</v>
      </c>
      <c r="D30" s="13" t="n">
        <f aca="false">D25*$B$14</f>
        <v>3.92728728</v>
      </c>
      <c r="E30" s="13" t="n">
        <f aca="false">E25*$B$14</f>
        <v>4.0843787712</v>
      </c>
      <c r="F30" s="13" t="n">
        <f aca="false">F25*$B$14</f>
        <v>4.227332028192</v>
      </c>
      <c r="G30" s="13" t="n">
        <f aca="false">G25*$B$14</f>
        <v>4.35415198903776</v>
      </c>
    </row>
    <row r="31" customFormat="false" ht="15" hidden="false" customHeight="false" outlineLevel="0" collapsed="false">
      <c r="A31" s="0" t="s">
        <v>163</v>
      </c>
      <c r="B31" s="13" t="n">
        <f aca="false">B25*$B$15</f>
        <v>3.52856</v>
      </c>
      <c r="C31" s="13" t="n">
        <f aca="false">C25*$B$15</f>
        <v>3.7402736</v>
      </c>
      <c r="D31" s="13" t="n">
        <f aca="false">D25*$B$15</f>
        <v>3.92728728</v>
      </c>
      <c r="E31" s="13" t="n">
        <f aca="false">E25*$B$15</f>
        <v>4.0843787712</v>
      </c>
      <c r="F31" s="13" t="n">
        <f aca="false">F25*$B$15</f>
        <v>4.227332028192</v>
      </c>
      <c r="G31" s="13" t="n">
        <f aca="false">G25*$B$15</f>
        <v>4.35415198903776</v>
      </c>
    </row>
    <row r="32" customFormat="false" ht="15" hidden="false" customHeight="false" outlineLevel="0" collapsed="false">
      <c r="A32" s="0" t="s">
        <v>164</v>
      </c>
      <c r="C32" s="13" t="n">
        <f aca="false">(C25-B25)*$B$16</f>
        <v>2.64642</v>
      </c>
      <c r="D32" s="13" t="n">
        <f aca="false">(D25-C25)*$B$16</f>
        <v>2.337671</v>
      </c>
      <c r="E32" s="13" t="n">
        <f aca="false">(E25-D25)*$B$16</f>
        <v>1.96364364</v>
      </c>
      <c r="F32" s="13" t="n">
        <f aca="false">(F25-E25)*$B$16</f>
        <v>1.78691571239999</v>
      </c>
      <c r="G32" s="13" t="n">
        <f aca="false">(G25-F25)*$B$16</f>
        <v>1.585249510572</v>
      </c>
    </row>
    <row r="33" customFormat="false" ht="15" hidden="false" customHeight="false" outlineLevel="0" collapsed="false">
      <c r="A33" s="7" t="s">
        <v>104</v>
      </c>
      <c r="B33" s="13" t="n">
        <f aca="false">B29+B30-B31</f>
        <v>23.4869775</v>
      </c>
      <c r="C33" s="13" t="n">
        <f aca="false">C29+C30-C31-C32</f>
        <v>22.6004268</v>
      </c>
      <c r="D33" s="13" t="n">
        <f aca="false">D29+D30-D31-D32</f>
        <v>24.907884505</v>
      </c>
      <c r="E33" s="13" t="n">
        <f aca="false">E29+E30-E31-E32</f>
        <v>27.1375551048</v>
      </c>
      <c r="F33" s="13" t="n">
        <f aca="false">F29+F30-F31-F32</f>
        <v>29.125449743754</v>
      </c>
      <c r="G33" s="13" t="n">
        <f aca="false">G29+G30-G31-G32</f>
        <v>31.0708904072112</v>
      </c>
    </row>
    <row r="36" customFormat="false" ht="17.35" hidden="false" customHeight="false" outlineLevel="0" collapsed="false">
      <c r="A36" s="9" t="s">
        <v>165</v>
      </c>
      <c r="B36" s="9"/>
      <c r="C36" s="9"/>
    </row>
    <row r="37" customFormat="false" ht="15" hidden="false" customHeight="false" outlineLevel="0" collapsed="false">
      <c r="A37" s="0" t="s">
        <v>166</v>
      </c>
      <c r="C37" s="14" t="n">
        <f aca="false">1/(1+$B$17)^1</f>
        <v>0.909090909090909</v>
      </c>
      <c r="D37" s="14" t="n">
        <f aca="false">1/(1+$B$17)^2</f>
        <v>0.826446280991735</v>
      </c>
      <c r="E37" s="14" t="n">
        <f aca="false">1/(1+$B$17)^3</f>
        <v>0.751314800901578</v>
      </c>
      <c r="F37" s="14" t="n">
        <f aca="false">1/(1+$B$17)^4</f>
        <v>0.683013455365071</v>
      </c>
      <c r="G37" s="14" t="n">
        <f aca="false">1/(1+$B$17)^5</f>
        <v>0.620921323059155</v>
      </c>
    </row>
    <row r="38" customFormat="false" ht="15" hidden="false" customHeight="false" outlineLevel="0" collapsed="false">
      <c r="A38" s="0" t="s">
        <v>167</v>
      </c>
      <c r="C38" s="13" t="n">
        <f aca="false">C33*C37</f>
        <v>20.5458425454545</v>
      </c>
      <c r="D38" s="13" t="n">
        <f aca="false">D33*D37</f>
        <v>20.5850285165289</v>
      </c>
      <c r="E38" s="13" t="n">
        <f aca="false">E33*E37</f>
        <v>20.3888468105184</v>
      </c>
      <c r="F38" s="13" t="n">
        <f aca="false">F33*F37</f>
        <v>19.8930740685431</v>
      </c>
      <c r="G38" s="13" t="n">
        <f aca="false">G33*G37</f>
        <v>19.2925783802716</v>
      </c>
    </row>
    <row r="40" customFormat="false" ht="15" hidden="false" customHeight="false" outlineLevel="0" collapsed="false">
      <c r="A40" s="0" t="s">
        <v>168</v>
      </c>
      <c r="B40" s="15" t="n">
        <f aca="false">SUM(C38:G38)</f>
        <v>100.705370321317</v>
      </c>
    </row>
    <row r="41" customFormat="false" ht="15" hidden="false" customHeight="false" outlineLevel="0" collapsed="false">
      <c r="A41" s="0" t="s">
        <v>169</v>
      </c>
      <c r="B41" s="13" t="n">
        <f aca="false">G33*(1+$B$18)/($B$17-$B$18)</f>
        <v>424.635502231886</v>
      </c>
    </row>
    <row r="42" customFormat="false" ht="15" hidden="false" customHeight="false" outlineLevel="0" collapsed="false">
      <c r="A42" s="0" t="s">
        <v>170</v>
      </c>
      <c r="B42" s="13" t="n">
        <f aca="false">B41*G37</f>
        <v>263.665237863712</v>
      </c>
    </row>
    <row r="43" customFormat="false" ht="15" hidden="false" customHeight="false" outlineLevel="0" collapsed="false">
      <c r="A43" s="7" t="s">
        <v>119</v>
      </c>
      <c r="B43" s="15" t="n">
        <f aca="false">B40+B42</f>
        <v>364.370608185028</v>
      </c>
    </row>
    <row r="44" customFormat="false" ht="15" hidden="false" customHeight="false" outlineLevel="0" collapsed="false">
      <c r="A44" s="0" t="s">
        <v>171</v>
      </c>
      <c r="B44" s="13" t="n">
        <f aca="false">$B$19</f>
        <v>19.36</v>
      </c>
    </row>
    <row r="45" customFormat="false" ht="15" hidden="false" customHeight="false" outlineLevel="0" collapsed="false">
      <c r="A45" s="7" t="s">
        <v>172</v>
      </c>
      <c r="B45" s="15" t="n">
        <f aca="false">B43-B44</f>
        <v>345.010608185028</v>
      </c>
    </row>
    <row r="46" customFormat="false" ht="15" hidden="false" customHeight="false" outlineLevel="0" collapsed="false">
      <c r="A46" s="0" t="s">
        <v>150</v>
      </c>
      <c r="B46" s="0" t="n">
        <f aca="false">$B$20</f>
        <v>5.31</v>
      </c>
    </row>
    <row r="47" customFormat="false" ht="15" hidden="false" customHeight="false" outlineLevel="0" collapsed="false">
      <c r="A47" s="16" t="s">
        <v>173</v>
      </c>
      <c r="B47" s="17" t="n">
        <f aca="false">B45/B46</f>
        <v>64.9737491873876</v>
      </c>
    </row>
    <row r="49" customFormat="false" ht="15" hidden="false" customHeight="false" outlineLevel="0" collapsed="false">
      <c r="A49" s="0" t="s">
        <v>174</v>
      </c>
      <c r="B49" s="18" t="n">
        <v>40</v>
      </c>
    </row>
    <row r="50" customFormat="false" ht="15" hidden="false" customHeight="false" outlineLevel="0" collapsed="false">
      <c r="A50" s="7" t="s">
        <v>175</v>
      </c>
      <c r="B50" s="19" t="n">
        <f aca="false">(B47-B49)/B49</f>
        <v>0.62434372968469</v>
      </c>
    </row>
  </sheetData>
  <mergeCells count="2">
    <mergeCell ref="A4:C4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4" t="s">
        <v>176</v>
      </c>
    </row>
    <row r="3" customFormat="false" ht="15" hidden="false" customHeight="false" outlineLevel="0" collapsed="false">
      <c r="A3" s="16" t="s">
        <v>177</v>
      </c>
    </row>
    <row r="5" customFormat="false" ht="15" hidden="false" customHeight="false" outlineLevel="0" collapsed="false">
      <c r="A5" s="0" t="s">
        <v>178</v>
      </c>
      <c r="B5" s="20" t="n">
        <v>0.015</v>
      </c>
      <c r="C5" s="20" t="n">
        <v>0.02</v>
      </c>
      <c r="D5" s="20" t="n">
        <v>0.025</v>
      </c>
      <c r="E5" s="20" t="n">
        <v>0.03</v>
      </c>
      <c r="F5" s="20" t="n">
        <v>0.035</v>
      </c>
    </row>
    <row r="6" customFormat="false" ht="15" hidden="false" customHeight="false" outlineLevel="0" collapsed="false">
      <c r="A6" s="20" t="n">
        <v>0.08</v>
      </c>
      <c r="B6" s="21" t="n">
        <v>92.13</v>
      </c>
      <c r="C6" s="21" t="n">
        <v>98.52</v>
      </c>
      <c r="D6" s="21" t="n">
        <v>106.07</v>
      </c>
      <c r="E6" s="21" t="n">
        <v>115.13</v>
      </c>
      <c r="F6" s="21" t="n">
        <v>126.21</v>
      </c>
    </row>
    <row r="7" customFormat="false" ht="15" hidden="false" customHeight="false" outlineLevel="0" collapsed="false">
      <c r="A7" s="20" t="n">
        <v>0.09</v>
      </c>
      <c r="B7" s="21" t="n">
        <v>79.71</v>
      </c>
      <c r="C7" s="21" t="n">
        <v>84.29</v>
      </c>
      <c r="D7" s="21" t="n">
        <v>89.57</v>
      </c>
      <c r="E7" s="21" t="n">
        <v>95.72</v>
      </c>
      <c r="F7" s="21" t="n">
        <v>103</v>
      </c>
    </row>
    <row r="8" customFormat="false" ht="15" hidden="false" customHeight="false" outlineLevel="0" collapsed="false">
      <c r="A8" s="20" t="n">
        <v>0.1</v>
      </c>
      <c r="B8" s="21" t="n">
        <v>70.35</v>
      </c>
      <c r="C8" s="21" t="n">
        <v>73.76</v>
      </c>
      <c r="D8" s="21" t="n">
        <v>77.61</v>
      </c>
      <c r="E8" s="21" t="n">
        <v>82.02</v>
      </c>
      <c r="F8" s="21" t="n">
        <v>87.11</v>
      </c>
    </row>
    <row r="9" customFormat="false" ht="15" hidden="false" customHeight="false" outlineLevel="0" collapsed="false">
      <c r="A9" s="20" t="n">
        <v>0.11</v>
      </c>
      <c r="B9" s="21" t="n">
        <v>63.07</v>
      </c>
      <c r="C9" s="21" t="n">
        <v>65.68</v>
      </c>
      <c r="D9" s="21" t="n">
        <v>68.6</v>
      </c>
      <c r="E9" s="21" t="n">
        <v>71.88</v>
      </c>
      <c r="F9" s="21" t="n">
        <v>75.61</v>
      </c>
    </row>
    <row r="10" customFormat="false" ht="15" hidden="false" customHeight="false" outlineLevel="0" collapsed="false">
      <c r="A10" s="20" t="n">
        <v>0.12</v>
      </c>
      <c r="B10" s="21" t="n">
        <v>57.27</v>
      </c>
      <c r="C10" s="21" t="n">
        <v>59.32</v>
      </c>
      <c r="D10" s="21" t="n">
        <v>61.59</v>
      </c>
      <c r="E10" s="21" t="n">
        <v>64.11</v>
      </c>
      <c r="F10" s="21" t="n">
        <v>66.93</v>
      </c>
    </row>
    <row r="14" customFormat="false" ht="15" hidden="false" customHeight="false" outlineLevel="0" collapsed="false">
      <c r="A14" s="0" t="s">
        <v>179</v>
      </c>
      <c r="B14" s="13" t="n">
        <f aca="false">'DCF Model'!G33</f>
        <v>31.0708904072112</v>
      </c>
    </row>
    <row r="15" customFormat="false" ht="15" hidden="false" customHeight="false" outlineLevel="0" collapsed="false">
      <c r="A15" s="0" t="s">
        <v>180</v>
      </c>
      <c r="B15" s="13" t="n">
        <f aca="false">'DCF Model'!B40</f>
        <v>100.705370321317</v>
      </c>
    </row>
    <row r="16" customFormat="false" ht="15" hidden="false" customHeight="false" outlineLevel="0" collapsed="false">
      <c r="A16" s="0" t="s">
        <v>149</v>
      </c>
      <c r="B16" s="13" t="n">
        <f aca="false">'DCF Model'!B44</f>
        <v>19.36</v>
      </c>
    </row>
    <row r="17" customFormat="false" ht="15" hidden="false" customHeight="false" outlineLevel="0" collapsed="false">
      <c r="A17" s="0" t="s">
        <v>115</v>
      </c>
      <c r="B17" s="0" t="n">
        <f aca="false">'DCF Model'!B46</f>
        <v>5.31</v>
      </c>
    </row>
    <row r="20" customFormat="false" ht="15" hidden="false" customHeight="false" outlineLevel="0" collapsed="false">
      <c r="A20" s="16" t="s">
        <v>181</v>
      </c>
    </row>
    <row r="22" customFormat="false" ht="15" hidden="false" customHeight="false" outlineLevel="0" collapsed="false">
      <c r="A22" s="0" t="s">
        <v>182</v>
      </c>
      <c r="B22" s="20" t="n">
        <v>0.03</v>
      </c>
      <c r="C22" s="20" t="n">
        <v>0.045</v>
      </c>
      <c r="D22" s="20" t="n">
        <v>0.06</v>
      </c>
      <c r="E22" s="20" t="n">
        <v>0.075</v>
      </c>
      <c r="F22" s="20" t="n">
        <v>0.09</v>
      </c>
    </row>
    <row r="23" customFormat="false" ht="15" hidden="false" customHeight="false" outlineLevel="0" collapsed="false">
      <c r="A23" s="20" t="n">
        <v>0.08</v>
      </c>
      <c r="B23" s="21" t="n">
        <v>59.5</v>
      </c>
      <c r="C23" s="21" t="n">
        <v>61.75</v>
      </c>
      <c r="D23" s="21" t="n">
        <v>64</v>
      </c>
      <c r="E23" s="21" t="n">
        <v>66.25</v>
      </c>
      <c r="F23" s="21" t="n">
        <v>68.5</v>
      </c>
    </row>
    <row r="24" customFormat="false" ht="15" hidden="false" customHeight="false" outlineLevel="0" collapsed="false">
      <c r="A24" s="20" t="n">
        <v>0.09</v>
      </c>
      <c r="B24" s="21" t="n">
        <v>57.5</v>
      </c>
      <c r="C24" s="21" t="n">
        <v>59.75</v>
      </c>
      <c r="D24" s="21" t="n">
        <v>62</v>
      </c>
      <c r="E24" s="21" t="n">
        <v>64.25</v>
      </c>
      <c r="F24" s="21" t="n">
        <v>66.5</v>
      </c>
    </row>
    <row r="25" customFormat="false" ht="15" hidden="false" customHeight="false" outlineLevel="0" collapsed="false">
      <c r="A25" s="20" t="n">
        <v>0.1</v>
      </c>
      <c r="B25" s="21" t="n">
        <v>55.5</v>
      </c>
      <c r="C25" s="21" t="n">
        <v>57.75</v>
      </c>
      <c r="D25" s="21" t="n">
        <v>60</v>
      </c>
      <c r="E25" s="21" t="n">
        <v>62.25</v>
      </c>
      <c r="F25" s="21" t="n">
        <v>64.5</v>
      </c>
    </row>
    <row r="26" customFormat="false" ht="15" hidden="false" customHeight="false" outlineLevel="0" collapsed="false">
      <c r="A26" s="20" t="n">
        <v>0.11</v>
      </c>
      <c r="B26" s="21" t="n">
        <v>53.5</v>
      </c>
      <c r="C26" s="21" t="n">
        <v>55.75</v>
      </c>
      <c r="D26" s="21" t="n">
        <v>58</v>
      </c>
      <c r="E26" s="21" t="n">
        <v>60.25</v>
      </c>
      <c r="F26" s="21" t="n">
        <v>62.5</v>
      </c>
    </row>
    <row r="27" customFormat="false" ht="15" hidden="false" customHeight="false" outlineLevel="0" collapsed="false">
      <c r="A27" s="20" t="n">
        <v>0.12</v>
      </c>
      <c r="B27" s="21" t="n">
        <v>51.5</v>
      </c>
      <c r="C27" s="21" t="n">
        <v>53.75</v>
      </c>
      <c r="D27" s="21" t="n">
        <v>56</v>
      </c>
      <c r="E27" s="21" t="n">
        <v>58.25</v>
      </c>
      <c r="F27" s="21" t="n">
        <v>60.5</v>
      </c>
    </row>
    <row r="30" customFormat="false" ht="15" hidden="false" customHeight="false" outlineLevel="0" collapsed="false">
      <c r="A30" s="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4" t="s">
        <v>184</v>
      </c>
    </row>
    <row r="3" customFormat="false" ht="15" hidden="false" customHeight="false" outlineLevel="0" collapsed="false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  <c r="F3" s="6" t="s">
        <v>127</v>
      </c>
      <c r="G3" s="6" t="s">
        <v>131</v>
      </c>
      <c r="H3" s="6" t="s">
        <v>190</v>
      </c>
    </row>
    <row r="4" customFormat="false" ht="15" hidden="false" customHeight="false" outlineLevel="0" collapsed="false">
      <c r="A4" s="22" t="s">
        <v>191</v>
      </c>
      <c r="B4" s="22" t="s">
        <v>192</v>
      </c>
      <c r="C4" s="22" t="n">
        <v>212</v>
      </c>
      <c r="D4" s="22" t="n">
        <v>9.7</v>
      </c>
      <c r="E4" s="22" t="n">
        <v>6.1</v>
      </c>
      <c r="F4" s="22" t="n">
        <v>1.3</v>
      </c>
      <c r="G4" s="22" t="s">
        <v>75</v>
      </c>
      <c r="H4" s="22" t="s">
        <v>69</v>
      </c>
    </row>
    <row r="5" customFormat="false" ht="15" hidden="false" customHeight="false" outlineLevel="0" collapsed="false">
      <c r="A5" s="0" t="s">
        <v>193</v>
      </c>
      <c r="B5" s="0" t="s">
        <v>194</v>
      </c>
      <c r="C5" s="0" t="n">
        <v>2400</v>
      </c>
      <c r="D5" s="0" t="n">
        <v>14.5</v>
      </c>
      <c r="E5" s="0" t="n">
        <v>8.2</v>
      </c>
      <c r="F5" s="0" t="n">
        <v>2.1</v>
      </c>
      <c r="G5" s="0" t="s">
        <v>195</v>
      </c>
      <c r="H5" s="0" t="s">
        <v>196</v>
      </c>
    </row>
    <row r="6" customFormat="false" ht="15" hidden="false" customHeight="false" outlineLevel="0" collapsed="false">
      <c r="A6" s="0" t="s">
        <v>197</v>
      </c>
      <c r="B6" s="0" t="s">
        <v>198</v>
      </c>
      <c r="C6" s="0" t="n">
        <v>2800</v>
      </c>
      <c r="D6" s="0" t="n">
        <v>12.8</v>
      </c>
      <c r="E6" s="0" t="n">
        <v>7.5</v>
      </c>
      <c r="F6" s="0" t="n">
        <v>1.4</v>
      </c>
      <c r="G6" s="0" t="s">
        <v>199</v>
      </c>
      <c r="H6" s="0" t="s">
        <v>200</v>
      </c>
    </row>
    <row r="7" customFormat="false" ht="15" hidden="false" customHeight="false" outlineLevel="0" collapsed="false">
      <c r="A7" s="0" t="s">
        <v>201</v>
      </c>
      <c r="B7" s="0" t="s">
        <v>202</v>
      </c>
      <c r="C7" s="0" t="n">
        <v>1400</v>
      </c>
      <c r="D7" s="0" t="n">
        <v>15.2</v>
      </c>
      <c r="E7" s="0" t="n">
        <v>6.8</v>
      </c>
      <c r="F7" s="0" t="n">
        <v>1.8</v>
      </c>
      <c r="G7" s="0" t="s">
        <v>203</v>
      </c>
      <c r="H7" s="0" t="s">
        <v>204</v>
      </c>
    </row>
    <row r="8" customFormat="false" ht="15" hidden="false" customHeight="false" outlineLevel="0" collapsed="false">
      <c r="A8" s="0" t="s">
        <v>205</v>
      </c>
      <c r="B8" s="0" t="s">
        <v>206</v>
      </c>
      <c r="C8" s="0" t="n">
        <v>85</v>
      </c>
      <c r="D8" s="0" t="n">
        <v>8.5</v>
      </c>
      <c r="E8" s="0" t="n">
        <v>4.2</v>
      </c>
      <c r="F8" s="0" t="n">
        <v>1.1</v>
      </c>
      <c r="G8" s="0" t="s">
        <v>207</v>
      </c>
      <c r="H8" s="0" t="s">
        <v>208</v>
      </c>
    </row>
    <row r="11" customFormat="false" ht="17.35" hidden="false" customHeight="false" outlineLevel="0" collapsed="false">
      <c r="A11" s="3" t="s">
        <v>209</v>
      </c>
    </row>
    <row r="12" customFormat="false" ht="15" hidden="false" customHeight="false" outlineLevel="0" collapsed="false">
      <c r="A12" s="0" t="s">
        <v>210</v>
      </c>
    </row>
    <row r="13" customFormat="false" ht="15" hidden="false" customHeight="false" outlineLevel="0" collapsed="false">
      <c r="A13" s="0" t="s">
        <v>211</v>
      </c>
    </row>
    <row r="14" customFormat="false" ht="15" hidden="false" customHeight="false" outlineLevel="0" collapsed="false">
      <c r="A14" s="0" t="s">
        <v>212</v>
      </c>
    </row>
    <row r="15" customFormat="false" ht="15" hidden="false" customHeight="false" outlineLevel="0" collapsed="false">
      <c r="A15" s="0" t="s">
        <v>213</v>
      </c>
    </row>
    <row r="16" customFormat="false" ht="15" hidden="false" customHeight="false" outlineLevel="0" collapsed="false">
      <c r="A16" s="0" t="s">
        <v>214</v>
      </c>
    </row>
    <row r="17" customFormat="false" ht="15" hidden="false" customHeight="false" outlineLevel="0" collapsed="false">
      <c r="A17" s="0" t="s">
        <v>215</v>
      </c>
    </row>
    <row r="18" customFormat="false" ht="15" hidden="false" customHeight="false" outlineLevel="0" collapsed="false">
      <c r="A18" s="0" t="s">
        <v>216</v>
      </c>
    </row>
    <row r="21" customFormat="false" ht="17.35" hidden="false" customHeight="false" outlineLevel="0" collapsed="false">
      <c r="A21" s="3" t="s">
        <v>217</v>
      </c>
    </row>
    <row r="22" customFormat="false" ht="15" hidden="false" customHeight="false" outlineLevel="0" collapsed="false">
      <c r="A22" s="0" t="s">
        <v>218</v>
      </c>
    </row>
    <row r="23" customFormat="false" ht="15" hidden="false" customHeight="false" outlineLevel="0" collapsed="false">
      <c r="A23" s="0" t="s">
        <v>219</v>
      </c>
    </row>
    <row r="24" customFormat="false" ht="15" hidden="false" customHeight="false" outlineLevel="0" collapsed="false">
      <c r="A24" s="0" t="s">
        <v>220</v>
      </c>
    </row>
    <row r="25" customFormat="false" ht="15" hidden="false" customHeight="false" outlineLevel="0" collapsed="false">
      <c r="A25" s="0" t="s">
        <v>221</v>
      </c>
    </row>
    <row r="26" customFormat="false" ht="15" hidden="false" customHeight="false" outlineLevel="0" collapsed="false">
      <c r="A26" s="0" t="s">
        <v>222</v>
      </c>
    </row>
    <row r="27" customFormat="false" ht="15" hidden="false" customHeight="false" outlineLevel="0" collapsed="false">
      <c r="A27" s="0" t="s">
        <v>223</v>
      </c>
    </row>
    <row r="28" customFormat="false" ht="15" hidden="false" customHeight="false" outlineLevel="0" collapsed="false">
      <c r="A28" s="0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2025-12-25T20:59:10Z</dcterms:created>
  <dc:creator>openpyxl</dc:creator>
  <dc:description/>
  <dc:language>en-US</dc:language>
  <cp:lastModifiedBy/>
  <dcterms:modified xsi:type="dcterms:W3CDTF">2025-12-25T20:59:10Z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