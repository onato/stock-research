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um-of-Parts" sheetId="2" r:id="rId2"/>
    <sheet name="Sensitivity" sheetId="3" r:id="rId3"/>
    <sheet name="Scenarios" sheetId="4" r:id="rId4"/>
  </sheets>
  <calcPr calcId="124519" fullCalcOnLoad="1"/>
</workbook>
</file>

<file path=xl/sharedStrings.xml><?xml version="1.0" encoding="utf-8"?>
<sst xmlns="http://schemas.openxmlformats.org/spreadsheetml/2006/main" count="105" uniqueCount="92">
  <si>
    <t>LBTYA DCF Valuation Model</t>
  </si>
  <si>
    <t>Gray cells are INPUTS - adjust to see valuation change</t>
  </si>
  <si>
    <t>HYBRID MODEL: Combines JV distributions (~$650M annually) + Consolidated FCF (~$312M)</t>
  </si>
  <si>
    <t>KEY INPUTS</t>
  </si>
  <si>
    <t>Current Stock Price</t>
  </si>
  <si>
    <t>Shares Outstanding (M)</t>
  </si>
  <si>
    <t>Cash &amp; Equivalents (M)</t>
  </si>
  <si>
    <t>Total Debt (M)</t>
  </si>
  <si>
    <t>Net Debt (M)</t>
  </si>
  <si>
    <t>Liberty Growth Portfolio (M)</t>
  </si>
  <si>
    <t>JV Annual Distributions (M)</t>
  </si>
  <si>
    <t>Consolidated FCF Base (M)</t>
  </si>
  <si>
    <t>Total Distributable Cash (M)</t>
  </si>
  <si>
    <t>WACC</t>
  </si>
  <si>
    <t>Terminal Growth Rate</t>
  </si>
  <si>
    <t>GROWTH ASSUMPTIONS</t>
  </si>
  <si>
    <t>Cash Growth Rate</t>
  </si>
  <si>
    <t>Year 1</t>
  </si>
  <si>
    <t>Year 2</t>
  </si>
  <si>
    <t>Year 3</t>
  </si>
  <si>
    <t>Year 4</t>
  </si>
  <si>
    <t>Year 5</t>
  </si>
  <si>
    <t>PROJECTIONS</t>
  </si>
  <si>
    <t>Base Year</t>
  </si>
  <si>
    <t>Total Distributable Cash</t>
  </si>
  <si>
    <t>Discount Factor</t>
  </si>
  <si>
    <t>PV of Cash</t>
  </si>
  <si>
    <t>VALUATION</t>
  </si>
  <si>
    <t>Sum of PV of Cash (5 years)</t>
  </si>
  <si>
    <t>Terminal Cash Flow (Y5)</t>
  </si>
  <si>
    <t>Terminal Value</t>
  </si>
  <si>
    <t>PV of Terminal Value</t>
  </si>
  <si>
    <t>Enterprise Value</t>
  </si>
  <si>
    <t>Less: Net Debt</t>
  </si>
  <si>
    <t>Add: Liberty Growth Portfolio</t>
  </si>
  <si>
    <t>Equity Value</t>
  </si>
  <si>
    <t>INTRINSIC VALUE/SHARE</t>
  </si>
  <si>
    <t>Upside to IV</t>
  </si>
  <si>
    <t>ENTRY PRICE (15% CAGR Target)</t>
  </si>
  <si>
    <t>Terminal Value per Share</t>
  </si>
  <si>
    <t>Entry Price (15% CAGR)</t>
  </si>
  <si>
    <t>Discount from Current Price</t>
  </si>
  <si>
    <t>Sum-of-Parts Valuation</t>
  </si>
  <si>
    <t>Holding company structure - values components separately</t>
  </si>
  <si>
    <t>COMPONENTS</t>
  </si>
  <si>
    <t>Low</t>
  </si>
  <si>
    <t>Mid</t>
  </si>
  <si>
    <t>High</t>
  </si>
  <si>
    <t>Liberty Telecom Consolidated</t>
  </si>
  <si>
    <t>JV Stakes (50% VMO2 + VZG)</t>
  </si>
  <si>
    <t>Liberty Growth Portfolio</t>
  </si>
  <si>
    <t>Corporate Cost Perpetuity</t>
  </si>
  <si>
    <t>EQUITY VALUE</t>
  </si>
  <si>
    <t>VALUE PER SHARE</t>
  </si>
  <si>
    <t>Current Price</t>
  </si>
  <si>
    <t>UPSIDE</t>
  </si>
  <si>
    <t>Sensitivity Analysis</t>
  </si>
  <si>
    <t>Intrinsic Value by WACC &amp; Terminal Growth</t>
  </si>
  <si>
    <t>WACC \ Term G</t>
  </si>
  <si>
    <t>-1.0%</t>
  </si>
  <si>
    <t>-0.5%</t>
  </si>
  <si>
    <t>0.0%</t>
  </si>
  <si>
    <t>0.5%</t>
  </si>
  <si>
    <t>1.0%</t>
  </si>
  <si>
    <t>8.5%</t>
  </si>
  <si>
    <t>9.5%</t>
  </si>
  <si>
    <t>10.5%</t>
  </si>
  <si>
    <t>11.5%</t>
  </si>
  <si>
    <t>12.5%</t>
  </si>
  <si>
    <t>Base Case IV:</t>
  </si>
  <si>
    <t>Current Price:</t>
  </si>
  <si>
    <t>Scenario Analysis</t>
  </si>
  <si>
    <t>Bull / Base / Bear case intrinsic values</t>
  </si>
  <si>
    <t>SCENARIO</t>
  </si>
  <si>
    <t>Bull</t>
  </si>
  <si>
    <t>Base</t>
  </si>
  <si>
    <t>Bear</t>
  </si>
  <si>
    <t>Starting Cash (M)</t>
  </si>
  <si>
    <t>Growth Rates</t>
  </si>
  <si>
    <t>8%, 6%, 5%, 4%, 3%</t>
  </si>
  <si>
    <t>2%, 1%, 1%, 0%, 0%</t>
  </si>
  <si>
    <t>-5%, -5%, -3%, -2%, -1%</t>
  </si>
  <si>
    <t>12.0%</t>
  </si>
  <si>
    <t>Terminal Growth</t>
  </si>
  <si>
    <t>INTRINSIC VALUE</t>
  </si>
  <si>
    <t>Upside</t>
  </si>
  <si>
    <t>286.7%</t>
  </si>
  <si>
    <t>85.7%</t>
  </si>
  <si>
    <t>-43.4%</t>
  </si>
  <si>
    <t>PROBABILITY-WEIGHTED IV</t>
  </si>
  <si>
    <t>Weights: 30% / 50% / 20%</t>
  </si>
  <si>
    <t>120.3%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</si>
</sst>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$&quot;#,##0.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CB6E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  <xf numFmtId="0" fontId="4" fillId="0" borderId="1" xfId="0" applyFont="1" applyBorder="1"/>
    <xf numFmtId="164" fontId="0" fillId="3" borderId="2" xfId="0" applyNumberFormat="1" applyFill="1" applyBorder="1"/>
    <xf numFmtId="164" fontId="0" fillId="0" borderId="2" xfId="0" applyNumberFormat="1" applyBorder="1"/>
    <xf numFmtId="165" fontId="0" fillId="3" borderId="2" xfId="0" applyNumberFormat="1" applyFill="1" applyBorder="1"/>
    <xf numFmtId="0" fontId="5" fillId="4" borderId="2" xfId="0" applyFont="1" applyFill="1" applyBorder="1"/>
    <xf numFmtId="0" fontId="6" fillId="0" borderId="0" xfId="0" applyFont="1"/>
    <xf numFmtId="166" fontId="5" fillId="5" borderId="2" xfId="0" applyNumberFormat="1" applyFont="1" applyFill="1" applyBorder="1"/>
    <xf numFmtId="165" fontId="5" fillId="5" borderId="2" xfId="0" applyNumberFormat="1" applyFont="1" applyFill="1" applyBorder="1"/>
    <xf numFmtId="166" fontId="0" fillId="0" borderId="2" xfId="0" applyNumberFormat="1" applyBorder="1"/>
    <xf numFmtId="164" fontId="6" fillId="0" borderId="3" xfId="0" applyNumberFormat="1" applyFont="1" applyBorder="1"/>
    <xf numFmtId="164" fontId="5" fillId="5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cols>
    <col min="1" max="1" width="30.7109375" customWidth="1"/>
    <col min="2" max="8" width="14.7109375" customWidth="1"/>
  </cols>
  <sheetData>
    <row r="1" spans="1:8">
      <c r="A1" s="1" t="s">
        <v>0</v>
      </c>
    </row>
    <row r="2" spans="1:8">
      <c r="A2" s="2" t="s">
        <v>1</v>
      </c>
    </row>
    <row r="3" spans="1:8">
      <c r="A3" s="3" t="s">
        <v>2</v>
      </c>
      <c r="B3" s="3"/>
      <c r="C3" s="3"/>
      <c r="D3" s="3"/>
      <c r="E3" s="3"/>
      <c r="F3" s="3"/>
      <c r="G3" s="3"/>
      <c r="H3" s="3"/>
    </row>
    <row r="5" spans="1:8">
      <c r="A5" s="4" t="s">
        <v>3</v>
      </c>
    </row>
    <row r="6" spans="1:8">
      <c r="A6" t="s">
        <v>4</v>
      </c>
      <c r="B6" s="5">
        <v>10.27</v>
      </c>
    </row>
    <row r="7" spans="1:8">
      <c r="A7" t="s">
        <v>5</v>
      </c>
      <c r="B7" s="5">
        <v>349</v>
      </c>
    </row>
    <row r="8" spans="1:8">
      <c r="A8" t="s">
        <v>6</v>
      </c>
      <c r="B8" s="5">
        <v>1816.3</v>
      </c>
    </row>
    <row r="9" spans="1:8">
      <c r="A9" t="s">
        <v>7</v>
      </c>
      <c r="B9" s="5">
        <v>9066.9</v>
      </c>
    </row>
    <row r="10" spans="1:8">
      <c r="A10" t="s">
        <v>8</v>
      </c>
      <c r="B10" s="6">
        <f>B9-B8</f>
        <v>0</v>
      </c>
    </row>
    <row r="11" spans="1:8">
      <c r="A11" t="s">
        <v>9</v>
      </c>
      <c r="B11" s="5">
        <v>3400</v>
      </c>
    </row>
    <row r="13" spans="1:8">
      <c r="A13" t="s">
        <v>10</v>
      </c>
      <c r="B13" s="5">
        <v>650</v>
      </c>
    </row>
    <row r="14" spans="1:8">
      <c r="A14" t="s">
        <v>11</v>
      </c>
      <c r="B14" s="5">
        <v>311.7</v>
      </c>
    </row>
    <row r="15" spans="1:8">
      <c r="A15" t="s">
        <v>12</v>
      </c>
      <c r="B15" s="6">
        <f>B13+B14</f>
        <v>0</v>
      </c>
    </row>
    <row r="17" spans="1:7">
      <c r="A17" t="s">
        <v>13</v>
      </c>
      <c r="B17" s="7">
        <v>0.105</v>
      </c>
    </row>
    <row r="18" spans="1:7">
      <c r="A18" t="s">
        <v>14</v>
      </c>
      <c r="B18" s="7">
        <v>0</v>
      </c>
    </row>
    <row r="20" spans="1:7">
      <c r="A20" s="4" t="s">
        <v>15</v>
      </c>
      <c r="C20" s="8" t="s">
        <v>17</v>
      </c>
      <c r="D20" s="8" t="s">
        <v>18</v>
      </c>
      <c r="E20" s="8" t="s">
        <v>19</v>
      </c>
      <c r="F20" s="8" t="s">
        <v>20</v>
      </c>
      <c r="G20" s="8" t="s">
        <v>21</v>
      </c>
    </row>
    <row r="21" spans="1:7">
      <c r="A21" t="s">
        <v>16</v>
      </c>
      <c r="C21" s="7">
        <v>0.02</v>
      </c>
      <c r="D21" s="7">
        <v>0.01</v>
      </c>
      <c r="E21" s="7">
        <v>0.01</v>
      </c>
      <c r="F21" s="7">
        <v>0</v>
      </c>
      <c r="G21" s="7">
        <v>0</v>
      </c>
    </row>
    <row r="23" spans="1:7">
      <c r="A23" s="4" t="s">
        <v>22</v>
      </c>
    </row>
    <row r="24" spans="1:7">
      <c r="A24" s="8"/>
      <c r="B24" s="8" t="s">
        <v>23</v>
      </c>
      <c r="C24" s="8" t="s">
        <v>17</v>
      </c>
      <c r="D24" s="8" t="s">
        <v>18</v>
      </c>
      <c r="E24" s="8" t="s">
        <v>19</v>
      </c>
      <c r="F24" s="8" t="s">
        <v>20</v>
      </c>
      <c r="G24" s="8" t="s">
        <v>21</v>
      </c>
    </row>
    <row r="25" spans="1:7">
      <c r="A25" t="s">
        <v>24</v>
      </c>
      <c r="B25" s="6">
        <f>B15</f>
        <v>0</v>
      </c>
      <c r="C25" s="6">
        <f>B25*(1+C21)</f>
        <v>0</v>
      </c>
      <c r="D25" s="6">
        <f>C25*(1+D21)</f>
        <v>0</v>
      </c>
      <c r="E25" s="6">
        <f>D25*(1+E21)</f>
        <v>0</v>
      </c>
      <c r="F25" s="6">
        <f>E25*(1+F21)</f>
        <v>0</v>
      </c>
      <c r="G25" s="6">
        <f>F25*(1+G21)</f>
        <v>0</v>
      </c>
    </row>
    <row r="26" spans="1:7">
      <c r="A26" t="s">
        <v>25</v>
      </c>
      <c r="C26" s="6">
        <f>1/(1+$B$17)^1</f>
        <v>0</v>
      </c>
      <c r="D26" s="6">
        <f>1/(1+$B$17)^2</f>
        <v>0</v>
      </c>
      <c r="E26" s="6">
        <f>1/(1+$B$17)^3</f>
        <v>0</v>
      </c>
      <c r="F26" s="6">
        <f>1/(1+$B$17)^4</f>
        <v>0</v>
      </c>
      <c r="G26" s="6">
        <f>1/(1+$B$17)^5</f>
        <v>0</v>
      </c>
    </row>
    <row r="27" spans="1:7">
      <c r="A27" t="s">
        <v>26</v>
      </c>
      <c r="C27" s="6">
        <f>C25*C26</f>
        <v>0</v>
      </c>
      <c r="D27" s="6">
        <f>D25*D26</f>
        <v>0</v>
      </c>
      <c r="E27" s="6">
        <f>E25*E26</f>
        <v>0</v>
      </c>
      <c r="F27" s="6">
        <f>F25*F26</f>
        <v>0</v>
      </c>
      <c r="G27" s="6">
        <f>G25*G26</f>
        <v>0</v>
      </c>
    </row>
    <row r="29" spans="1:7">
      <c r="A29" s="4" t="s">
        <v>27</v>
      </c>
    </row>
    <row r="30" spans="1:7">
      <c r="A30" t="s">
        <v>28</v>
      </c>
      <c r="B30" s="6">
        <f>SUM(C27:G27)</f>
        <v>0</v>
      </c>
    </row>
    <row r="31" spans="1:7">
      <c r="A31" t="s">
        <v>29</v>
      </c>
      <c r="B31" s="6">
        <f>G25</f>
        <v>0</v>
      </c>
    </row>
    <row r="32" spans="1:7">
      <c r="A32" t="s">
        <v>30</v>
      </c>
      <c r="B32" s="6">
        <f>B31*(1+$B$18)/($B$17-$B$18)</f>
        <v>0</v>
      </c>
    </row>
    <row r="33" spans="1:2">
      <c r="A33" t="s">
        <v>31</v>
      </c>
      <c r="B33" s="6">
        <f>B32*G26</f>
        <v>0</v>
      </c>
    </row>
    <row r="34" spans="1:2">
      <c r="A34" t="s">
        <v>32</v>
      </c>
      <c r="B34" s="6">
        <f>B30+B33</f>
        <v>0</v>
      </c>
    </row>
    <row r="35" spans="1:2">
      <c r="A35" t="s">
        <v>33</v>
      </c>
      <c r="B35" s="6">
        <f>B10</f>
        <v>0</v>
      </c>
    </row>
    <row r="36" spans="1:2">
      <c r="A36" t="s">
        <v>34</v>
      </c>
      <c r="B36" s="6">
        <f>B11</f>
        <v>0</v>
      </c>
    </row>
    <row r="37" spans="1:2">
      <c r="A37" t="s">
        <v>35</v>
      </c>
      <c r="B37" s="6">
        <f>B34-B35+B36</f>
        <v>0</v>
      </c>
    </row>
    <row r="38" spans="1:2">
      <c r="A38" s="9" t="s">
        <v>36</v>
      </c>
      <c r="B38" s="10">
        <f>B37/B7</f>
        <v>0</v>
      </c>
    </row>
    <row r="39" spans="1:2">
      <c r="A39" t="s">
        <v>37</v>
      </c>
      <c r="B39" s="11">
        <f>(B38-B6)/B6</f>
        <v>0</v>
      </c>
    </row>
    <row r="41" spans="1:2">
      <c r="A41" s="4" t="s">
        <v>38</v>
      </c>
    </row>
    <row r="42" spans="1:2">
      <c r="A42" t="s">
        <v>39</v>
      </c>
      <c r="B42" s="12">
        <f>B32/B7</f>
        <v>0</v>
      </c>
    </row>
    <row r="43" spans="1:2">
      <c r="A43" t="s">
        <v>40</v>
      </c>
      <c r="B43" s="10">
        <f>B42/(1.15^5)</f>
        <v>0</v>
      </c>
    </row>
    <row r="44" spans="1:2">
      <c r="A44" t="s">
        <v>41</v>
      </c>
      <c r="B44" s="11">
        <f>(B6-B43)/B6</f>
        <v>0</v>
      </c>
    </row>
  </sheetData>
  <mergeCells count="1"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35.7109375" customWidth="1"/>
    <col min="2" max="4" width="15.7109375" customWidth="1"/>
  </cols>
  <sheetData>
    <row r="1" spans="1:4">
      <c r="A1" s="1" t="s">
        <v>42</v>
      </c>
    </row>
    <row r="2" spans="1:4">
      <c r="A2" t="s">
        <v>43</v>
      </c>
    </row>
    <row r="4" spans="1:4">
      <c r="A4" s="4" t="s">
        <v>44</v>
      </c>
      <c r="B4" s="8" t="s">
        <v>45</v>
      </c>
      <c r="C4" s="8" t="s">
        <v>46</v>
      </c>
      <c r="D4" s="8" t="s">
        <v>47</v>
      </c>
    </row>
    <row r="5" spans="1:4">
      <c r="A5" t="s">
        <v>48</v>
      </c>
      <c r="B5" s="6">
        <v>7000</v>
      </c>
      <c r="C5" s="6">
        <v>8400</v>
      </c>
      <c r="D5" s="6">
        <v>9800</v>
      </c>
    </row>
    <row r="6" spans="1:4">
      <c r="A6" t="s">
        <v>49</v>
      </c>
      <c r="B6" s="6">
        <v>8375</v>
      </c>
      <c r="C6" s="6">
        <v>8375</v>
      </c>
      <c r="D6" s="6">
        <v>8375</v>
      </c>
    </row>
    <row r="7" spans="1:4">
      <c r="A7" t="s">
        <v>50</v>
      </c>
      <c r="B7" s="6">
        <v>3400</v>
      </c>
      <c r="C7" s="6">
        <v>3400</v>
      </c>
      <c r="D7" s="6">
        <v>3400</v>
      </c>
    </row>
    <row r="8" spans="1:4">
      <c r="A8" t="s">
        <v>51</v>
      </c>
      <c r="B8" s="6">
        <v>-1000</v>
      </c>
      <c r="C8" s="6">
        <v>-1000</v>
      </c>
      <c r="D8" s="6">
        <v>-1000</v>
      </c>
    </row>
    <row r="9" spans="1:4">
      <c r="A9" s="9" t="s">
        <v>32</v>
      </c>
      <c r="B9" s="13">
        <f>SUM(B5:B8)</f>
        <v>0</v>
      </c>
      <c r="C9" s="13">
        <f>SUM(C5:C8)</f>
        <v>0</v>
      </c>
      <c r="D9" s="13">
        <f>SUM(D5:D8)</f>
        <v>0</v>
      </c>
    </row>
    <row r="10" spans="1:4">
      <c r="A10" s="9" t="s">
        <v>33</v>
      </c>
      <c r="B10" s="6">
        <v>-7251</v>
      </c>
      <c r="C10" s="6">
        <v>-7251</v>
      </c>
      <c r="D10" s="6">
        <v>-7251</v>
      </c>
    </row>
    <row r="11" spans="1:4">
      <c r="A11" s="9" t="s">
        <v>52</v>
      </c>
      <c r="B11" s="14">
        <f>B9+B10</f>
        <v>0</v>
      </c>
      <c r="C11" s="14">
        <f>C9+C10</f>
        <v>0</v>
      </c>
      <c r="D11" s="14">
        <f>D9+D10</f>
        <v>0</v>
      </c>
    </row>
    <row r="12" spans="1:4">
      <c r="A12" s="9" t="s">
        <v>53</v>
      </c>
      <c r="B12" s="10">
        <f>B11/349</f>
        <v>0</v>
      </c>
      <c r="C12" s="10">
        <f>C11/349</f>
        <v>0</v>
      </c>
      <c r="D12" s="10">
        <f>D11/349</f>
        <v>0</v>
      </c>
    </row>
    <row r="13" spans="1:4">
      <c r="A13" s="9" t="s">
        <v>54</v>
      </c>
      <c r="B13" s="12">
        <v>10.27</v>
      </c>
      <c r="C13" s="12">
        <v>10.27</v>
      </c>
      <c r="D13" s="12">
        <v>10.27</v>
      </c>
    </row>
    <row r="14" spans="1:4">
      <c r="A14" s="9" t="s">
        <v>55</v>
      </c>
      <c r="B14" s="11">
        <f>(B12-B13)/B13</f>
        <v>0</v>
      </c>
      <c r="C14" s="11">
        <f>(C12-C13)/C13</f>
        <v>0</v>
      </c>
      <c r="D14" s="11">
        <f>(D12-D13)/D13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56</v>
      </c>
    </row>
    <row r="2" spans="1:6">
      <c r="A2" t="s">
        <v>57</v>
      </c>
    </row>
    <row r="5" spans="1:6">
      <c r="A5" s="8" t="s">
        <v>58</v>
      </c>
      <c r="B5" s="8" t="s">
        <v>59</v>
      </c>
      <c r="C5" s="8" t="s">
        <v>60</v>
      </c>
      <c r="D5" s="8" t="s">
        <v>61</v>
      </c>
      <c r="E5" s="8" t="s">
        <v>62</v>
      </c>
      <c r="F5" s="8" t="s">
        <v>63</v>
      </c>
    </row>
    <row r="6" spans="1:6">
      <c r="A6" s="8" t="s">
        <v>64</v>
      </c>
      <c r="B6" s="12">
        <v>27.53</v>
      </c>
      <c r="C6" s="12">
        <v>29.31</v>
      </c>
      <c r="D6" s="12">
        <v>31.4</v>
      </c>
      <c r="E6" s="12">
        <v>33.87</v>
      </c>
      <c r="F6" s="12">
        <v>36.84</v>
      </c>
    </row>
    <row r="7" spans="1:6">
      <c r="A7" s="8" t="s">
        <v>65</v>
      </c>
      <c r="B7" s="12">
        <v>23.49</v>
      </c>
      <c r="C7" s="12">
        <v>24.87</v>
      </c>
      <c r="D7" s="12">
        <v>26.47</v>
      </c>
      <c r="E7" s="12">
        <v>28.34</v>
      </c>
      <c r="F7" s="12">
        <v>30.55</v>
      </c>
    </row>
    <row r="8" spans="1:6">
      <c r="A8" s="8" t="s">
        <v>66</v>
      </c>
      <c r="B8" s="12">
        <v>20.37</v>
      </c>
      <c r="C8" s="12">
        <v>21.45</v>
      </c>
      <c r="D8" s="12">
        <v>22.68</v>
      </c>
      <c r="E8" s="12">
        <v>24.09</v>
      </c>
      <c r="F8" s="12">
        <v>25.72</v>
      </c>
    </row>
    <row r="9" spans="1:6">
      <c r="A9" s="8" t="s">
        <v>67</v>
      </c>
      <c r="B9" s="12">
        <v>18</v>
      </c>
      <c r="C9" s="12">
        <v>18.86</v>
      </c>
      <c r="D9" s="12">
        <v>19.85</v>
      </c>
      <c r="E9" s="12">
        <v>20.97</v>
      </c>
      <c r="F9" s="12">
        <v>22.27</v>
      </c>
    </row>
    <row r="10" spans="1:6">
      <c r="A10" s="8" t="s">
        <v>68</v>
      </c>
      <c r="B10" s="12">
        <v>16.18</v>
      </c>
      <c r="C10" s="12">
        <v>16.89</v>
      </c>
      <c r="D10" s="12">
        <v>17.68</v>
      </c>
      <c r="E10" s="12">
        <v>18.57</v>
      </c>
      <c r="F10" s="12">
        <v>19.58</v>
      </c>
    </row>
    <row r="12" spans="1:6">
      <c r="A12" s="9" t="s">
        <v>69</v>
      </c>
      <c r="B12" s="10">
        <v>19.07</v>
      </c>
    </row>
    <row r="13" spans="1:6">
      <c r="A13" s="9" t="s">
        <v>70</v>
      </c>
      <c r="B13" s="12">
        <v>10.27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30.7109375" customWidth="1"/>
    <col min="2" max="4" width="15.7109375" customWidth="1"/>
  </cols>
  <sheetData>
    <row r="1" spans="1:4">
      <c r="A1" s="1" t="s">
        <v>71</v>
      </c>
    </row>
    <row r="2" spans="1:4">
      <c r="A2" t="s">
        <v>72</v>
      </c>
    </row>
    <row r="4" spans="1:4">
      <c r="A4" s="8" t="s">
        <v>73</v>
      </c>
      <c r="B4" s="8" t="s">
        <v>74</v>
      </c>
      <c r="C4" s="8" t="s">
        <v>75</v>
      </c>
      <c r="D4" s="8" t="s">
        <v>76</v>
      </c>
    </row>
    <row r="5" spans="1:4">
      <c r="A5" t="s">
        <v>77</v>
      </c>
      <c r="B5" s="6">
        <v>1111.7</v>
      </c>
      <c r="C5" s="6">
        <v>961.7</v>
      </c>
      <c r="D5" s="6">
        <v>811.7</v>
      </c>
    </row>
    <row r="6" spans="1:4">
      <c r="A6" t="s">
        <v>78</v>
      </c>
      <c r="B6" t="s">
        <v>79</v>
      </c>
      <c r="C6" t="s">
        <v>80</v>
      </c>
      <c r="D6" t="s">
        <v>81</v>
      </c>
    </row>
    <row r="7" spans="1:4">
      <c r="A7" t="s">
        <v>13</v>
      </c>
      <c r="B7" t="s">
        <v>65</v>
      </c>
      <c r="C7" t="s">
        <v>66</v>
      </c>
      <c r="D7" t="s">
        <v>82</v>
      </c>
    </row>
    <row r="8" spans="1:4">
      <c r="A8" t="s">
        <v>83</v>
      </c>
      <c r="B8" t="s">
        <v>63</v>
      </c>
      <c r="C8" t="s">
        <v>61</v>
      </c>
      <c r="D8" t="s">
        <v>59</v>
      </c>
    </row>
    <row r="10" spans="1:4">
      <c r="A10" s="9" t="s">
        <v>84</v>
      </c>
      <c r="B10" s="10">
        <v>39.72</v>
      </c>
      <c r="C10" s="10">
        <v>19.07</v>
      </c>
      <c r="D10" s="10">
        <v>5.81</v>
      </c>
    </row>
    <row r="11" spans="1:4">
      <c r="A11" t="s">
        <v>85</v>
      </c>
      <c r="B11" t="s">
        <v>86</v>
      </c>
      <c r="C11" t="s">
        <v>87</v>
      </c>
      <c r="D11" t="s">
        <v>88</v>
      </c>
    </row>
    <row r="13" spans="1:4">
      <c r="A13" s="9" t="s">
        <v>89</v>
      </c>
      <c r="B13" t="s">
        <v>90</v>
      </c>
      <c r="C13" s="10">
        <v>22.62</v>
      </c>
      <c r="D1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Sum-of-Parts</vt:lpstr>
      <vt:lpstr>Sensitivity</vt:lpstr>
      <vt:lpstr>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2026-01-22T07:41:36Z</dcterms:created>
  <dcterms:modified xsi:type="dcterms:W3CDTF">2026-01-22T07:41:36Z</dcterms:modified>
</cp:coreProperties>
</file>