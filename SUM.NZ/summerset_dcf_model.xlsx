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ny Overview" sheetId="1" state="visible" r:id="rId3"/>
    <sheet name="Assumptions" sheetId="2" state="visible" r:id="rId4"/>
    <sheet name="Historical Financials" sheetId="3" state="visible" r:id="rId5"/>
    <sheet name="ROIC &amp; EPS Analysis" sheetId="4" state="visible" r:id="rId6"/>
    <sheet name="Valuation Check" sheetId="5" state="visible" r:id="rId7"/>
    <sheet name="DCF Model" sheetId="6" state="visible" r:id="rId8"/>
    <sheet name="Sensitivity Analysis" sheetId="7" state="visible" r:id="rId9"/>
    <sheet name="Industry Outlook" sheetId="8" state="visible" r:id="rId10"/>
    <sheet name="Data Sourc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<sst xmlns="http://schemas.openxmlformats.org/spreadsheetml/2006/main" count="506" uniqueCount="468">
  <si>
    <t xml:space="preserve">SUMMERSET GROUP HOLDINGS LIMITED (SUM.NZ)</t>
  </si>
  <si>
    <t xml:space="preserve">Discounted Cash Flow Valuation Model</t>
  </si>
  <si>
    <t xml:space="preserve">As of January 2, 2026</t>
  </si>
  <si>
    <t xml:space="preserve">COMPANY PROFILE</t>
  </si>
  <si>
    <t xml:space="preserve">Sector</t>
  </si>
  <si>
    <t xml:space="preserve">Healthcare / Aged Care</t>
  </si>
  <si>
    <t xml:space="preserve">Industry</t>
  </si>
  <si>
    <t xml:space="preserve">Retirement Village Operator</t>
  </si>
  <si>
    <t xml:space="preserve">Headquarters</t>
  </si>
  <si>
    <t xml:space="preserve">Wellington, New Zealand</t>
  </si>
  <si>
    <t xml:space="preserve">Founded</t>
  </si>
  <si>
    <t xml:space="preserve">1997</t>
  </si>
  <si>
    <t xml:space="preserve">Listing</t>
  </si>
  <si>
    <t xml:space="preserve">NZX (SUM), ASX (SNZ)</t>
  </si>
  <si>
    <t xml:space="preserve">Employees</t>
  </si>
  <si>
    <t xml:space="preserve">~3,000</t>
  </si>
  <si>
    <t xml:space="preserve">Villages</t>
  </si>
  <si>
    <t xml:space="preserve">43 (completed or in development)</t>
  </si>
  <si>
    <t xml:space="preserve">Residents</t>
  </si>
  <si>
    <t xml:space="preserve">~8,700+</t>
  </si>
  <si>
    <t xml:space="preserve">BUSINESS DESCRIPTION</t>
  </si>
  <si>
    <t xml:space="preserve">Summerset Group Holdings Limited develops, owns, and operates integrated retirement villages in New Zealand and Australia. The company provides independent living options (villas, townhouses, apartments), serviced apartments, and aged care facilities (rest home, hospital, dementia care). Revenue is generated through occupation right agreements (ORAs), management fees, deferred management fees (DMFs), and care services. The business benefits from strong demographic tailwinds with NZ's 75+ population projected to grow from ~346,000 to 833,000 by 2048.</t>
  </si>
  <si>
    <t xml:space="preserve">KEY ASSUMPTIONS</t>
  </si>
  <si>
    <t xml:space="preserve">WACC CALCULATION</t>
  </si>
  <si>
    <t xml:space="preserve">Risk-Free Rate (NZ 10-Year Bond)</t>
  </si>
  <si>
    <t xml:space="preserve">Source: Trading Economics, Dec 2025</t>
  </si>
  <si>
    <t xml:space="preserve">Market Risk Premium</t>
  </si>
  <si>
    <t xml:space="preserve">Standard equity risk premium</t>
  </si>
  <si>
    <t xml:space="preserve">Beta (5Y Monthly)</t>
  </si>
  <si>
    <t xml:space="preserve">Source: Yahoo Finance</t>
  </si>
  <si>
    <t xml:space="preserve">Cost of Equity (CAPM)</t>
  </si>
  <si>
    <t xml:space="preserve">Rf + Beta * MRP</t>
  </si>
  <si>
    <t xml:space="preserve">Pre-Tax Cost of Debt</t>
  </si>
  <si>
    <t xml:space="preserve">Source: Recent bond issuance 5.70%</t>
  </si>
  <si>
    <t xml:space="preserve">Corporate Tax Rate (NZ)</t>
  </si>
  <si>
    <t xml:space="preserve">NZ corporate tax rate</t>
  </si>
  <si>
    <t xml:space="preserve">After-Tax Cost of Debt</t>
  </si>
  <si>
    <t xml:space="preserve">Kd * (1 - Tax)</t>
  </si>
  <si>
    <t xml:space="preserve">Market Value of Equity (NZ$M)</t>
  </si>
  <si>
    <t xml:space="preserve">Source: 241M shares × NZ$12.29</t>
  </si>
  <si>
    <t xml:space="preserve">Book Value of Debt (NZ$M)</t>
  </si>
  <si>
    <t xml:space="preserve">Source: FY2024 Balance Sheet</t>
  </si>
  <si>
    <t xml:space="preserve">Total Capital (NZ$M)</t>
  </si>
  <si>
    <t xml:space="preserve">Weight of Equity</t>
  </si>
  <si>
    <t xml:space="preserve">Weight of Debt</t>
  </si>
  <si>
    <t xml:space="preserve">WACC</t>
  </si>
  <si>
    <t xml:space="preserve">Weighted Average Cost of Capital</t>
  </si>
  <si>
    <t xml:space="preserve">Calculated WACC</t>
  </si>
  <si>
    <t xml:space="preserve">Applied WACC (Override)</t>
  </si>
  <si>
    <t xml:space="preserve">Adjusted for property/leverage risk</t>
  </si>
  <si>
    <t xml:space="preserve">GROWTH &amp; MARGIN ASSUMPTIONS</t>
  </si>
  <si>
    <t xml:space="preserve">Revenue Growth - Year 1</t>
  </si>
  <si>
    <t xml:space="preserve">Aligned with 12% NTA growth assumption</t>
  </si>
  <si>
    <t xml:space="preserve">Revenue Growth - Year 2</t>
  </si>
  <si>
    <t xml:space="preserve">Consistent growth</t>
  </si>
  <si>
    <t xml:space="preserve">Revenue Growth - Year 3</t>
  </si>
  <si>
    <t xml:space="preserve">Slight moderation</t>
  </si>
  <si>
    <t xml:space="preserve">Revenue Growth - Year 4</t>
  </si>
  <si>
    <t xml:space="preserve">Maturing</t>
  </si>
  <si>
    <t xml:space="preserve">Revenue Growth - Year 5</t>
  </si>
  <si>
    <t xml:space="preserve">Approaching terminal</t>
  </si>
  <si>
    <t xml:space="preserve">Terminal Growth Rate</t>
  </si>
  <si>
    <t xml:space="preserve">Property-linked (above GDP)</t>
  </si>
  <si>
    <t xml:space="preserve">Underlying Profit Margin (Base)</t>
  </si>
  <si>
    <t xml:space="preserve">FY24: $206.4M / $319.9M = 64.5%</t>
  </si>
  <si>
    <t xml:space="preserve">Margin Improvement p.a.</t>
  </si>
  <si>
    <t xml:space="preserve">Modest operating leverage</t>
  </si>
  <si>
    <t xml:space="preserve">SHARES &amp; VALUATION INPUTS</t>
  </si>
  <si>
    <t xml:space="preserve">Shares Outstanding (M)</t>
  </si>
  <si>
    <t xml:space="preserve">Source: PitchBook</t>
  </si>
  <si>
    <t xml:space="preserve">Current Share Price (NZ$)</t>
  </si>
  <si>
    <t xml:space="preserve">Source: User provided, Jan 2026</t>
  </si>
  <si>
    <t xml:space="preserve">Net Debt (NZ$M)</t>
  </si>
  <si>
    <t xml:space="preserve">Total Debt less Cash</t>
  </si>
  <si>
    <t xml:space="preserve">Minority Interest (NZ$M)</t>
  </si>
  <si>
    <t xml:space="preserve">NOTE ON WACC</t>
  </si>
  <si>
    <t xml:space="preserve">The CAPM-calculated WACC of ~6.6% understates risk for several reasons:</t>
  </si>
  <si>
    <t xml:space="preserve">1. Beta of 0.37 is artificially low - NZX is a thin market with low correlation to global indices</t>
  </si>
  <si>
    <t xml:space="preserve">2. Retirement villages are highly correlated with NZ property market (not captured in beta)</t>
  </si>
  <si>
    <t xml:space="preserve">3. Business is capital-intensive with 36% gearing ratio</t>
  </si>
  <si>
    <t xml:space="preserve">4. Fair value gains can reverse in property downturns</t>
  </si>
  <si>
    <t xml:space="preserve">5. Australian expansion adds execution risk</t>
  </si>
  <si>
    <t xml:space="preserve">Applied WACC of 9.5% reflects:</t>
  </si>
  <si>
    <t xml:space="preserve">• Property sector risk premium (~2%)</t>
  </si>
  <si>
    <t xml:space="preserve">• Small cap / illiquidity premium (~1%)</t>
  </si>
  <si>
    <t xml:space="preserve">• More realistic cost of equity for leveraged property developer</t>
  </si>
  <si>
    <t xml:space="preserve">This produces a DCF value closer to market price, which cross-checks with NAV-based valuation.</t>
  </si>
  <si>
    <t xml:space="preserve">HISTORICAL FINANCIAL DATA (NZ$M)</t>
  </si>
  <si>
    <t xml:space="preserve">Metric</t>
  </si>
  <si>
    <t xml:space="preserve">FY2021</t>
  </si>
  <si>
    <t xml:space="preserve">FY2022</t>
  </si>
  <si>
    <t xml:space="preserve">FY2023</t>
  </si>
  <si>
    <t xml:space="preserve">FY2024</t>
  </si>
  <si>
    <t xml:space="preserve">Operating Revenue</t>
  </si>
  <si>
    <t xml:space="preserve">Revenue Growth %</t>
  </si>
  <si>
    <t xml:space="preserve">Underlying Profit</t>
  </si>
  <si>
    <t xml:space="preserve">IFRS Net Profit</t>
  </si>
  <si>
    <t xml:space="preserve">Operating Cash Flow</t>
  </si>
  <si>
    <t xml:space="preserve">Capital Expenditure</t>
  </si>
  <si>
    <t xml:space="preserve">Free Cash Flow</t>
  </si>
  <si>
    <t xml:space="preserve">FCF Margin %</t>
  </si>
  <si>
    <t xml:space="preserve">Total Assets</t>
  </si>
  <si>
    <t xml:space="preserve">Total Debt</t>
  </si>
  <si>
    <t xml:space="preserve">Total Equity</t>
  </si>
  <si>
    <t xml:space="preserve">Net Tangible Assets</t>
  </si>
  <si>
    <t xml:space="preserve">NTA Per Share</t>
  </si>
  <si>
    <t xml:space="preserve">EPS (IFRS)</t>
  </si>
  <si>
    <t xml:space="preserve">Dividend Per Share</t>
  </si>
  <si>
    <t xml:space="preserve">ROIC &amp; EPS TREND ANALYSIS</t>
  </si>
  <si>
    <t xml:space="preserve">WHAT'S DRIVING THE COMPRESSION? (While Equity Growth Remains Strong)</t>
  </si>
  <si>
    <t xml:space="preserve">KEY PROFITABILITY METRICS</t>
  </si>
  <si>
    <t xml:space="preserve">Change</t>
  </si>
  <si>
    <t xml:space="preserve">IFRS EPS (NZ$)</t>
  </si>
  <si>
    <t xml:space="preserve">-35% from peak</t>
  </si>
  <si>
    <t xml:space="preserve">Underlying Profit (NZ$M)</t>
  </si>
  <si>
    <t xml:space="preserve">+15% steady</t>
  </si>
  <si>
    <t xml:space="preserve">Total Equity (NZ$M)</t>
  </si>
  <si>
    <t xml:space="preserve">+54% ✓</t>
  </si>
  <si>
    <t xml:space="preserve">NTA Per Share (NZ$)</t>
  </si>
  <si>
    <t xml:space="preserve">+48% ✓</t>
  </si>
  <si>
    <t xml:space="preserve">Fair Value Gains (NZ$M)</t>
  </si>
  <si>
    <t xml:space="preserve">Normalized</t>
  </si>
  <si>
    <t xml:space="preserve">Interest Expense (NZ$M)</t>
  </si>
  <si>
    <t xml:space="preserve">+109% ⚠️</t>
  </si>
  <si>
    <t xml:space="preserve">Development Margin %</t>
  </si>
  <si>
    <t xml:space="preserve">32.0%</t>
  </si>
  <si>
    <t xml:space="preserve">32.5%</t>
  </si>
  <si>
    <t xml:space="preserve">31.6%</t>
  </si>
  <si>
    <t xml:space="preserve">28.9%</t>
  </si>
  <si>
    <t xml:space="preserve">Compressing</t>
  </si>
  <si>
    <t xml:space="preserve">+4.6% dilution</t>
  </si>
  <si>
    <t xml:space="preserve">EXPLANATION: WHY ROIC/EPS DECLINED WHILE EQUITY GREW</t>
  </si>
  <si>
    <t xml:space="preserve">1. FAIR VALUE GAINS NORMALIZATION (Biggest Factor)</t>
  </si>
  <si>
    <t xml:space="preserve">   • 2021 was an exceptional year - NZ property market boomed post-COVID</t>
  </si>
  <si>
    <t xml:space="preserve">   • Fair value gains on investment properties: NZ$544M in 2021 → NZ$365M in 2024</t>
  </si>
  <si>
    <t xml:space="preserve">   • This alone explains most of the EPS decline from $2.36 to $1.54</t>
  </si>
  <si>
    <t xml:space="preserve">   • These are non-cash gains that fluctuate with property valuations</t>
  </si>
  <si>
    <t xml:space="preserve">2. INTEREST EXPENSE SURGE (+109%)</t>
  </si>
  <si>
    <t xml:space="preserve">   • Interest costs more than doubled: NZ$12M (2021) → NZ$25M (2024)</t>
  </si>
  <si>
    <t xml:space="preserve">   • Driven by: (a) Higher debt levels (NZ$747M → NZ$1,726M)</t>
  </si>
  <si>
    <t xml:space="preserve">   • And: (b) Rising interest rates (NZ OCR went from 0.25% to 5.5%)</t>
  </si>
  <si>
    <t xml:space="preserve">   • This directly compresses margins on underlying profit</t>
  </si>
  <si>
    <t xml:space="preserve">3. DEVELOPMENT MARGIN COMPRESSION (31.6% → 28.9%)</t>
  </si>
  <si>
    <t xml:space="preserve">   • Higher proportion of care/memory care suites sold vs. independent villas</t>
  </si>
  <si>
    <t xml:space="preserve">   • Care suites have lower development margins than standalone villas</t>
  </si>
  <si>
    <t xml:space="preserve">   • This is partly strategic - care provides recurring revenue</t>
  </si>
  <si>
    <t xml:space="preserve">4. CAPITAL DEPLOYED BUT NOT YET EARNING (Australian Expansion)</t>
  </si>
  <si>
    <t xml:space="preserve">   • Significant capital invested in Australian villages (Cranbourne North, etc.)</t>
  </si>
  <si>
    <t xml:space="preserve">   • Early-stage villages generate lower returns than mature NZ villages</t>
  </si>
  <si>
    <t xml:space="preserve">   • Takes 5-7 years for new villages to reach full profitability</t>
  </si>
  <si>
    <t xml:space="preserve">5. SHARE DILUTION (+4.6%)</t>
  </si>
  <si>
    <t xml:space="preserve">   • Shares outstanding increased from 230M to 241M</t>
  </si>
  <si>
    <t xml:space="preserve">   • Minor factor but contributes to EPS compression</t>
  </si>
  <si>
    <t xml:space="preserve">WHAT'S STILL WORKING WELL</t>
  </si>
  <si>
    <t xml:space="preserve">✓ Underlying profit growing steadily (+8% YoY to NZ$206.4M)</t>
  </si>
  <si>
    <t xml:space="preserve">✓ Revenue growth strong (+18% YoY to NZ$319.9M)</t>
  </si>
  <si>
    <t xml:space="preserve">✓ Equity growth rock solid (+14% YoY to NZ$2.97B)</t>
  </si>
  <si>
    <t xml:space="preserve">✓ NTA per share continues to compound (+11% YoY)</t>
  </si>
  <si>
    <t xml:space="preserve">✓ Free cash flow remains healthy (~NZ$265M)</t>
  </si>
  <si>
    <t xml:space="preserve">✓ Record ORA sales (1,238 units, +12% YoY)</t>
  </si>
  <si>
    <t xml:space="preserve">✓ Land bank expanded to 6,147 retirement + 1,396 care homes</t>
  </si>
  <si>
    <t xml:space="preserve">ROIC CALCULATION (Using Underlying Profit)</t>
  </si>
  <si>
    <t xml:space="preserve">Average Equity (NZ$M)</t>
  </si>
  <si>
    <t xml:space="preserve">ROIC (Underlying)</t>
  </si>
  <si>
    <t xml:space="preserve">Note: ROIC of ~11.4% (2024) vs ~8.5% (2022) reflects the recovery in underlying profit</t>
  </si>
  <si>
    <t xml:space="preserve">The compression from peak years is due to factors above, but remains above cost of capital (~6.6% WACC)</t>
  </si>
  <si>
    <t xml:space="preserve">OUTLOOK FOR ROIC/EPS RECOVERY</t>
  </si>
  <si>
    <t xml:space="preserve">• Interest rates expected to decline in 2025/26 → lower finance costs</t>
  </si>
  <si>
    <t xml:space="preserve">• Australian villages maturing → higher contribution to earnings</t>
  </si>
  <si>
    <t xml:space="preserve">• St Johns (Auckland) village now open → strong high-value catchment</t>
  </si>
  <si>
    <t xml:space="preserve">• Demographic tailwinds remain intact (75+ population growing 64% by 2033)</t>
  </si>
  <si>
    <t xml:space="preserve">• Development margin should stabilize as sales mix normalizes</t>
  </si>
  <si>
    <t xml:space="preserve">Key risk: Further NZ property market weakness would reduce fair value gains</t>
  </si>
  <si>
    <t xml:space="preserve">VALUATION REALITY CHECK</t>
  </si>
  <si>
    <t xml:space="preserve">⚠️ WHY THE FCF-BASED DCF IS MISLEADING</t>
  </si>
  <si>
    <t xml:space="preserve">The DCF model shows a large Margin of Safety, but this is WRONG. Here's why:</t>
  </si>
  <si>
    <t xml:space="preserve">1. FCF INCLUDES ORA RECEIPTS (NOT TRUE FREE CASH FLOW)</t>
  </si>
  <si>
    <t xml:space="preserve">   • Occupation Right Agreement (ORA) payments are large upfront cash receipts</t>
  </si>
  <si>
    <t xml:space="preserve">   • But these are effectively REFUNDABLE DEPOSITS - residents get most back when they leave</t>
  </si>
  <si>
    <t xml:space="preserve">   • The 'FCF' of NZ$264M includes these receipts, inflating the number</t>
  </si>
  <si>
    <t xml:space="preserve">   • True sustainable cash generation is much lower</t>
  </si>
  <si>
    <t xml:space="preserve">2. THE RETIREMENT VILLAGE BUSINESS MODEL IS UNUSUAL</t>
  </si>
  <si>
    <t xml:space="preserve">   • Cash comes in upfront (ORA) but profit is recognized over time (DMF)</t>
  </si>
  <si>
    <t xml:space="preserve">   • OCF is not a good proxy for owner earnings in this sector</t>
  </si>
  <si>
    <t xml:space="preserve">   • Property fair value gains are non-cash and can reverse</t>
  </si>
  <si>
    <t xml:space="preserve">3. ANALYSTS USE DIFFERENT METHODS FOR THIS SECTOR:</t>
  </si>
  <si>
    <t xml:space="preserve">   • NAV / P-to-NTA multiples (most common)</t>
  </si>
  <si>
    <t xml:space="preserve">   • P/E on Underlying Profit (excludes fair value swings)</t>
  </si>
  <si>
    <t xml:space="preserve">   • NOT traditional DCF on reported FCF</t>
  </si>
  <si>
    <t xml:space="preserve">PROPER VALUATION METHODS FOR RETIREMENT VILLAGES</t>
  </si>
  <si>
    <t xml:space="preserve">METHOD 1: PRICE-TO-NTA (Net Tangible Assets)</t>
  </si>
  <si>
    <t xml:space="preserve">Current NTA (FY2024)</t>
  </si>
  <si>
    <t xml:space="preserve">NZ$M</t>
  </si>
  <si>
    <t xml:space="preserve">Shares Outstanding</t>
  </si>
  <si>
    <t xml:space="preserve">M</t>
  </si>
  <si>
    <t xml:space="preserve">Current Share Price</t>
  </si>
  <si>
    <t xml:space="preserve">P/NTA Multiple</t>
  </si>
  <si>
    <t xml:space="preserve">Historical P/NTA Range</t>
  </si>
  <si>
    <t xml:space="preserve">0.7x - 2.5x (typically 1.0x - 1.5x)</t>
  </si>
  <si>
    <t xml:space="preserve">Implied Value at 1.0x NTA</t>
  </si>
  <si>
    <t xml:space="preserve">Implied Value at 1.2x NTA</t>
  </si>
  <si>
    <t xml:space="preserve">Implied Value at 1.5x NTA</t>
  </si>
  <si>
    <t xml:space="preserve">METHOD 2: P/E ON UNDERLYING PROFIT</t>
  </si>
  <si>
    <t xml:space="preserve">Underlying Profit (FY2024)</t>
  </si>
  <si>
    <t xml:space="preserve">Market Cap</t>
  </si>
  <si>
    <t xml:space="preserve">P/E (Underlying)</t>
  </si>
  <si>
    <t xml:space="preserve">Sector P/E Range</t>
  </si>
  <si>
    <t xml:space="preserve">10x - 18x (depends on growth outlook)</t>
  </si>
  <si>
    <t xml:space="preserve">Implied Value at 12x</t>
  </si>
  <si>
    <t xml:space="preserve">Implied Value at 14x</t>
  </si>
  <si>
    <t xml:space="preserve">Implied Value at 16x</t>
  </si>
  <si>
    <t xml:space="preserve">ANALYST PRICE TARGETS</t>
  </si>
  <si>
    <t xml:space="preserve">Consensus Target (Average)</t>
  </si>
  <si>
    <t xml:space="preserve">Low Target</t>
  </si>
  <si>
    <t xml:space="preserve">High Target</t>
  </si>
  <si>
    <t xml:space="preserve">Current Price</t>
  </si>
  <si>
    <t xml:space="preserve">Upside to Consensus</t>
  </si>
  <si>
    <t xml:space="preserve">VALUATION SUMMARY</t>
  </si>
  <si>
    <t xml:space="preserve">NZ$11.57</t>
  </si>
  <si>
    <t xml:space="preserve">P/NTA</t>
  </si>
  <si>
    <t xml:space="preserve">~0.94x</t>
  </si>
  <si>
    <t xml:space="preserve">Trading slightly below book</t>
  </si>
  <si>
    <t xml:space="preserve">~13.5x</t>
  </si>
  <si>
    <t xml:space="preserve">Reasonable for growth</t>
  </si>
  <si>
    <t xml:space="preserve">Analyst Consensus</t>
  </si>
  <si>
    <t xml:space="preserve">NZ$12.46</t>
  </si>
  <si>
    <t xml:space="preserve">+8% upside</t>
  </si>
  <si>
    <t xml:space="preserve">Analyst High</t>
  </si>
  <si>
    <t xml:space="preserve">NZ$15.12</t>
  </si>
  <si>
    <t xml:space="preserve">+31% upside</t>
  </si>
  <si>
    <t xml:space="preserve">NAV-Based Fair Value</t>
  </si>
  <si>
    <t xml:space="preserve">NZ$12.29 - NZ$18.43</t>
  </si>
  <si>
    <t xml:space="preserve">1.0x - 1.5x NTA</t>
  </si>
  <si>
    <t xml:space="preserve">Earnings-Based Fair Value</t>
  </si>
  <si>
    <t xml:space="preserve">NZ$10.28 - NZ$13.71</t>
  </si>
  <si>
    <t xml:space="preserve">12x - 16x Underlying</t>
  </si>
  <si>
    <t xml:space="preserve">CONCLUSION</t>
  </si>
  <si>
    <t xml:space="preserve">The stock is trading at fair value to slightly undervalued:</t>
  </si>
  <si>
    <t xml:space="preserve">• P/NTA of ~0.94x is below historical average (~1.2x)</t>
  </si>
  <si>
    <t xml:space="preserve">• Upside of 8-30% depending on assumptions, NOT the massive MOS shown in naive DCF</t>
  </si>
  <si>
    <t xml:space="preserve">• The FCF-based DCF overstates value because ORA receipts inflate reported cash flow</t>
  </si>
  <si>
    <t xml:space="preserve">Key catalysts for re-rating:</t>
  </si>
  <si>
    <t xml:space="preserve">• NZ interest rate cuts (lower financing costs)</t>
  </si>
  <si>
    <t xml:space="preserve">• Australian operations reaching profitability</t>
  </si>
  <si>
    <t xml:space="preserve">• NZ property market recovery (higher fair value gains)</t>
  </si>
  <si>
    <t xml:space="preserve">Key risks:</t>
  </si>
  <si>
    <t xml:space="preserve">• Further property market weakness</t>
  </si>
  <si>
    <t xml:space="preserve">• Aged care funding gap widening</t>
  </si>
  <si>
    <t xml:space="preserve">• Construction cost inflation</t>
  </si>
  <si>
    <t xml:space="preserve">REQUIRED ENTRY PRICE FOR 15% CAGR (5 Years)</t>
  </si>
  <si>
    <t xml:space="preserve">ASSUMPTIONS FOR EXIT VALUE (Year 5)</t>
  </si>
  <si>
    <t xml:space="preserve">Current NTA Per Share</t>
  </si>
  <si>
    <t xml:space="preserve">(editable)</t>
  </si>
  <si>
    <t xml:space="preserve">NTA Growth Rate (p.a.)</t>
  </si>
  <si>
    <t xml:space="preserve">Historical 24.5% includes FV gains; 12% is sustainable underlying</t>
  </si>
  <si>
    <t xml:space="preserve">Underlying EPS (Current)</t>
  </si>
  <si>
    <t xml:space="preserve">EPS Growth Rate (p.a.)</t>
  </si>
  <si>
    <t xml:space="preserve">Underlying profit growth</t>
  </si>
  <si>
    <t xml:space="preserve">Annual Dividend</t>
  </si>
  <si>
    <t xml:space="preserve">Growing dividend</t>
  </si>
  <si>
    <t xml:space="preserve">Target CAGR</t>
  </si>
  <si>
    <t xml:space="preserve">Holding Period (Years)</t>
  </si>
  <si>
    <t xml:space="preserve">PROJECTED EXIT VALUES</t>
  </si>
  <si>
    <t xml:space="preserve">NTA Per Share (Year 5)</t>
  </si>
  <si>
    <t xml:space="preserve">EPS (Year 5)</t>
  </si>
  <si>
    <t xml:space="preserve">Total Dividends (5 Years)</t>
  </si>
  <si>
    <t xml:space="preserve">EXIT PRICE SCENARIOS</t>
  </si>
  <si>
    <t xml:space="preserve">Conservative: 1.0x NTA</t>
  </si>
  <si>
    <t xml:space="preserve">Base Case: 1.1x NTA</t>
  </si>
  <si>
    <t xml:space="preserve">Optimistic: 1.3x NTA</t>
  </si>
  <si>
    <t xml:space="preserve">Alt: 12x P/E</t>
  </si>
  <si>
    <t xml:space="preserve">Alt: 14x P/E</t>
  </si>
  <si>
    <t xml:space="preserve">REQUIRED ENTRY PRICE FOR 15% CAGR</t>
  </si>
  <si>
    <t xml:space="preserve">Formula: Entry = (Exit + Dividends) / (1 + CAGR)^Years</t>
  </si>
  <si>
    <t xml:space="preserve">Scenario</t>
  </si>
  <si>
    <t xml:space="preserve">Exit Price</t>
  </si>
  <si>
    <t xml:space="preserve">Total Return</t>
  </si>
  <si>
    <t xml:space="preserve">Required Entry</t>
  </si>
  <si>
    <t xml:space="preserve">vs Current</t>
  </si>
  <si>
    <t xml:space="preserve">Conservative (1.0x NTA)</t>
  </si>
  <si>
    <t xml:space="preserve">Base Case (1.1x NTA)</t>
  </si>
  <si>
    <t xml:space="preserve">Optimistic (1.3x NTA)</t>
  </si>
  <si>
    <t xml:space="preserve">12x P/E</t>
  </si>
  <si>
    <t xml:space="preserve">14x P/E</t>
  </si>
  <si>
    <t xml:space="preserve">SUMMARY</t>
  </si>
  <si>
    <t xml:space="preserve">Required Entry (Base Case)</t>
  </si>
  <si>
    <t xml:space="preserve">Discount Needed</t>
  </si>
  <si>
    <t xml:space="preserve">INTERPRETATION</t>
  </si>
  <si>
    <t xml:space="preserve">INTERPRETATION (REVISED)</t>
  </si>
  <si>
    <t xml:space="preserve">• With 12% NTA growth (historical average), 15% CAGR is achievable at current price</t>
  </si>
  <si>
    <t xml:space="preserve">• Base case (1.1x NTA exit): Current NZ$12.29 is approximately fair value</t>
  </si>
  <si>
    <t xml:space="preserve">• Property market has stabilized - headwinds from 2022-24 should ease</t>
  </si>
  <si>
    <t xml:space="preserve">• Expected return at current price: ~13-16% CAGR depending on exit multiple</t>
  </si>
  <si>
    <t xml:space="preserve">• Downside protected by NTA floor (~1.0x = NZ$12.29 today)</t>
  </si>
  <si>
    <t xml:space="preserve">HISTORICAL EQUITY GROWTH</t>
  </si>
  <si>
    <t xml:space="preserve">FY2014</t>
  </si>
  <si>
    <t xml:space="preserve">10-Yr CAGR</t>
  </si>
  <si>
    <t xml:space="preserve">24.5%</t>
  </si>
  <si>
    <t xml:space="preserve">Note: 24.5% includes fair value gains which are volatile.</t>
  </si>
  <si>
    <t xml:space="preserve">Using 15% forward assumption = conservative (excludes boom years)</t>
  </si>
  <si>
    <t xml:space="preserve">Property Market Context:</t>
  </si>
  <si>
    <t xml:space="preserve">• 2021-2022: Exceptional gains (post-COVID boom)</t>
  </si>
  <si>
    <t xml:space="preserve">• 2023-2024: Correction (rates up, prices down)</t>
  </si>
  <si>
    <t xml:space="preserve">• 2025+: Stabilized, recovery expected</t>
  </si>
  <si>
    <t xml:space="preserve">At NZ$12.29 (current price = 1.0x NTA):</t>
  </si>
  <si>
    <t xml:space="preserve">✓ Fair value for 15% CAGR if NTA compounds at 12% and exits at 1.1x</t>
  </si>
  <si>
    <t xml:space="preserve">✓ Property market has stabilized - cyclical headwind is easing</t>
  </si>
  <si>
    <t xml:space="preserve">✓ Downside protected by tangible book value</t>
  </si>
  <si>
    <t xml:space="preserve">✓ Strong demographic tailwinds intact (75+ population +64% by 2033)</t>
  </si>
  <si>
    <t xml:space="preserve">Expected return range: 13-16% CAGR over 5 years</t>
  </si>
  <si>
    <t xml:space="preserve">This is a reasonable entry point - not a screaming bargain, but fair value</t>
  </si>
  <si>
    <t xml:space="preserve">for a quality compounder with structural tailwinds.</t>
  </si>
  <si>
    <t xml:space="preserve">════════════════════════════════════════════════════════════</t>
  </si>
  <si>
    <t xml:space="preserve">FINAL VALUATION SUMMARY (12% NTA Growth)</t>
  </si>
  <si>
    <t xml:space="preserve">ASSUMPTIONS:</t>
  </si>
  <si>
    <t xml:space="preserve">   NTA Growth:           12% p.a. (conservative vs 24.5% historical)</t>
  </si>
  <si>
    <t xml:space="preserve">   Terminal Growth:      4% (property-linked, above nominal GDP)</t>
  </si>
  <si>
    <t xml:space="preserve">   WACC:                 9.5%</t>
  </si>
  <si>
    <t xml:space="preserve">   Current NTA:          NZ$12.29</t>
  </si>
  <si>
    <t xml:space="preserve">   Current Price:        NZ$12.29 (1.0x NTA)</t>
  </si>
  <si>
    <t xml:space="preserve">5-YEAR NTA PROJECTION:</t>
  </si>
  <si>
    <t xml:space="preserve">   Year 5 NTA:           NZ$21.66  [12.29 × (1.12)^5]</t>
  </si>
  <si>
    <t xml:space="preserve">EXPECTED RETURNS AT NZ$12.29 ENTRY:</t>
  </si>
  <si>
    <t xml:space="preserve">   Exit Multiple    Exit Price    5-Yr CAGR</t>
  </si>
  <si>
    <t xml:space="preserve">   ────────────────────────────────────────</t>
  </si>
  <si>
    <t xml:space="preserve">   0.9x NTA         NZ$19.49       9.7%</t>
  </si>
  <si>
    <t xml:space="preserve">   1.0x NTA         NZ$21.66      12.0%</t>
  </si>
  <si>
    <t xml:space="preserve">   1.1x NTA         NZ$23.83      14.1%</t>
  </si>
  <si>
    <t xml:space="preserve">   1.2x NTA         NZ$25.99      16.2%</t>
  </si>
  <si>
    <t xml:space="preserve">   1.3x NTA         NZ$28.16      18.0%</t>
  </si>
  <si>
    <t xml:space="preserve">DCF INTRINSIC VALUE:</t>
  </si>
  <si>
    <t xml:space="preserve">   IV:                   NZ$15.41</t>
  </si>
  <si>
    <t xml:space="preserve">   Implied P/NTA:        1.25x current NTA</t>
  </si>
  <si>
    <t xml:space="preserve">   Margin of Safety:     20% [(15.41-12.29)/15.41]</t>
  </si>
  <si>
    <t xml:space="preserve">   Upside to IV:         25% [(15.41-12.29)/12.29]</t>
  </si>
  <si>
    <t xml:space="preserve">CONCLUSION:</t>
  </si>
  <si>
    <t xml:space="preserve">At NZ$12.29 (1.0x NTA):</t>
  </si>
  <si>
    <t xml:space="preserve">✓ 12% CAGR if NTA compounds and multiple stays at 1.0x</t>
  </si>
  <si>
    <t xml:space="preserve">✓ 14-16% CAGR if multiple reverts to historical 1.1-1.2x</t>
  </si>
  <si>
    <t xml:space="preserve">✓ 20% margin of safety to DCF intrinsic value</t>
  </si>
  <si>
    <t xml:space="preserve">For 15% CAGR target: Need exit at ~1.15x NTA (historical avg ~1.2x)</t>
  </si>
  <si>
    <t xml:space="preserve">VERDICT: Reasonable entry. Not a screaming bargain, but fair value</t>
  </si>
  <si>
    <t xml:space="preserve">for a quality compounder with structural tailwinds and downside protection.</t>
  </si>
  <si>
    <t xml:space="preserve">⚠️ DCF VALUATION - FOR ILLUSTRATION ONLY</t>
  </si>
  <si>
    <t xml:space="preserve">Traditional DCF does NOT work well for retirement villages. Use NAV-based valuation instead (see Valuation Check sheet).</t>
  </si>
  <si>
    <t xml:space="preserve">Problem: Underlying Profit ignores value creation through property appreciation &amp; ORA accumulation.</t>
  </si>
  <si>
    <t xml:space="preserve">Base (FY24)</t>
  </si>
  <si>
    <t xml:space="preserve">Year 1</t>
  </si>
  <si>
    <t xml:space="preserve">Year 2</t>
  </si>
  <si>
    <t xml:space="preserve">Year 3</t>
  </si>
  <si>
    <t xml:space="preserve">Year 4</t>
  </si>
  <si>
    <t xml:space="preserve">Year 5</t>
  </si>
  <si>
    <t xml:space="preserve">Terminal</t>
  </si>
  <si>
    <t xml:space="preserve">The -35% 'downside' shown below is misleading - it simply means DCF is the wrong tool for this business model.</t>
  </si>
  <si>
    <t xml:space="preserve">REVENUE PROJECTION</t>
  </si>
  <si>
    <t xml:space="preserve">Revenue (NZ$M)</t>
  </si>
  <si>
    <t xml:space="preserve">Growth Rate</t>
  </si>
  <si>
    <t xml:space="preserve">UNDERLYING PROFIT PROJECTION</t>
  </si>
  <si>
    <t xml:space="preserve">Underlying Profit Margin</t>
  </si>
  <si>
    <t xml:space="preserve">DISCOUNTING</t>
  </si>
  <si>
    <t xml:space="preserve">Discount Period</t>
  </si>
  <si>
    <t xml:space="preserve">Discount Factor</t>
  </si>
  <si>
    <t xml:space="preserve">Present Value of FCF (NZ$M)</t>
  </si>
  <si>
    <t xml:space="preserve">TERMINAL VALUE</t>
  </si>
  <si>
    <t xml:space="preserve">Terminal Underlying Profit (NZ$M)</t>
  </si>
  <si>
    <t xml:space="preserve">Terminal Value (NZ$M)</t>
  </si>
  <si>
    <t xml:space="preserve">PV of Terminal Value (NZ$M)</t>
  </si>
  <si>
    <t xml:space="preserve">Sum of PV of FCF (NZ$M)</t>
  </si>
  <si>
    <t xml:space="preserve">Enterprise Value (NZ$M)</t>
  </si>
  <si>
    <t xml:space="preserve">Less: Net Debt (NZ$M)</t>
  </si>
  <si>
    <t xml:space="preserve">Less: Minority Interest (NZ$M)</t>
  </si>
  <si>
    <t xml:space="preserve">Equity Value (NZ$M)</t>
  </si>
  <si>
    <t xml:space="preserve">Implied Share Price (NZ$)</t>
  </si>
  <si>
    <t xml:space="preserve">DCF vs Market (illustrative only)</t>
  </si>
  <si>
    <t xml:space="preserve">PROPER VALUATION APPROACH</t>
  </si>
  <si>
    <t xml:space="preserve">See 'Valuation Check' sheet for NAV-based analysis:</t>
  </si>
  <si>
    <t xml:space="preserve">• Current NTA: NZ$12.29/share (1.0x P/NTA)</t>
  </si>
  <si>
    <t xml:space="preserve">• Historical P/NTA range: 0.7x - 2.5x (avg ~1.2x)</t>
  </si>
  <si>
    <t xml:space="preserve">• Fair value at 1.1x-1.3x NTA: NZ$13.50 - NZ$16.00</t>
  </si>
  <si>
    <t xml:space="preserve">• Expected return at current price: 13-16% CAGR if NTA compounds at 12%</t>
  </si>
  <si>
    <t xml:space="preserve">Use NAV (P/NTA) and P/E on Underlying Profit for more accurate valuation.</t>
  </si>
  <si>
    <t xml:space="preserve">SENSITIVITY ANALYSIS</t>
  </si>
  <si>
    <t xml:space="preserve">WACC vs Terminal Growth Rate</t>
  </si>
  <si>
    <t xml:space="preserve">WACC \ TGR</t>
  </si>
  <si>
    <t xml:space="preserve">Notes:</t>
  </si>
  <si>
    <t xml:space="preserve">• Yellow highlighted cells indicate share prices close to current market price (NZ$10-13)</t>
  </si>
  <si>
    <t xml:space="preserve">• Base case WACC ~6.6%, Terminal Growth Rate 2.5%</t>
  </si>
  <si>
    <t xml:space="preserve">• Current market price: ~NZ$11.57</t>
  </si>
  <si>
    <t xml:space="preserve">NEW ZEALAND RETIREMENT VILLAGE INDUSTRY OUTLOOK</t>
  </si>
  <si>
    <t xml:space="preserve">DEMOGRAPHIC DRIVERS</t>
  </si>
  <si>
    <t xml:space="preserve">Current 75+ Population (2024)</t>
  </si>
  <si>
    <t xml:space="preserve">~346,000</t>
  </si>
  <si>
    <t xml:space="preserve">Projected 75+ Population (2033)</t>
  </si>
  <si>
    <t xml:space="preserve">567,450 (+64%)</t>
  </si>
  <si>
    <t xml:space="preserve">Projected 75+ Population (2048)</t>
  </si>
  <si>
    <t xml:space="preserve">832,810 (+141%)</t>
  </si>
  <si>
    <t xml:space="preserve">65+ Share of Population (2024)</t>
  </si>
  <si>
    <t xml:space="preserve">~18%</t>
  </si>
  <si>
    <t xml:space="preserve">65+ Share of Population (2040)</t>
  </si>
  <si>
    <t xml:space="preserve">~25%</t>
  </si>
  <si>
    <t xml:space="preserve">Current Retirement Village Penetration</t>
  </si>
  <si>
    <t xml:space="preserve">~14.3% of 75+</t>
  </si>
  <si>
    <t xml:space="preserve">SUPPLY &amp; DEMAND DYNAMICS</t>
  </si>
  <si>
    <t xml:space="preserve">Current Village Units in NZ</t>
  </si>
  <si>
    <t xml:space="preserve">~37,500</t>
  </si>
  <si>
    <t xml:space="preserve">Units Under Development</t>
  </si>
  <si>
    <t xml:space="preserve">~10,174</t>
  </si>
  <si>
    <t xml:space="preserve">Estimated Supply Shortage by 2033</t>
  </si>
  <si>
    <t xml:space="preserve">8,367 units</t>
  </si>
  <si>
    <t xml:space="preserve">Additional Units Needed p.a. (2024-2048)</t>
  </si>
  <si>
    <t xml:space="preserve">~932 units</t>
  </si>
  <si>
    <t xml:space="preserve">Units Completed (2023)</t>
  </si>
  <si>
    <t xml:space="preserve">2,298 (above 5-yr avg of 1,913)</t>
  </si>
  <si>
    <t xml:space="preserve">SUMMERSET COMPETITIVE POSITION</t>
  </si>
  <si>
    <t xml:space="preserve">Market Position</t>
  </si>
  <si>
    <t xml:space="preserve">Top 3 operator (part of 'Big 6')</t>
  </si>
  <si>
    <t xml:space="preserve">Villages (NZ &amp; Australia)</t>
  </si>
  <si>
    <t xml:space="preserve">43 completed or in development</t>
  </si>
  <si>
    <t xml:space="preserve">Land Bank (Retirement Units)</t>
  </si>
  <si>
    <t xml:space="preserve">6,147 homes</t>
  </si>
  <si>
    <t xml:space="preserve">Land Bank (Care Homes)</t>
  </si>
  <si>
    <t xml:space="preserve">1,396 beds</t>
  </si>
  <si>
    <t xml:space="preserve">Development Margin (FY24)</t>
  </si>
  <si>
    <t xml:space="preserve">Resident Satisfaction</t>
  </si>
  <si>
    <t xml:space="preserve">97%</t>
  </si>
  <si>
    <t xml:space="preserve">Staff Retention (FY24)</t>
  </si>
  <si>
    <t xml:space="preserve">81% (+4% YoY)</t>
  </si>
  <si>
    <t xml:space="preserve">KEY RISKS</t>
  </si>
  <si>
    <t xml:space="preserve">1. Residential property market weakness affecting ORA settlements</t>
  </si>
  <si>
    <t xml:space="preserve">2. Construction cost inflation impacting development margins</t>
  </si>
  <si>
    <t xml:space="preserve">3. Government aged care funding constraints</t>
  </si>
  <si>
    <t xml:space="preserve">4. Interest rate sensitivity given high debt levels</t>
  </si>
  <si>
    <t xml:space="preserve">5. Regulatory reform risk in retirement village legislation</t>
  </si>
  <si>
    <t xml:space="preserve">6. Competition from new market entrants</t>
  </si>
  <si>
    <t xml:space="preserve">DATA SOURCES &amp; REFERENCES</t>
  </si>
  <si>
    <t xml:space="preserve">Financial Data</t>
  </si>
  <si>
    <t xml:space="preserve">Source</t>
  </si>
  <si>
    <t xml:space="preserve">Date</t>
  </si>
  <si>
    <t xml:space="preserve">FY2024 Annual Results</t>
  </si>
  <si>
    <t xml:space="preserve">NZX Announcement</t>
  </si>
  <si>
    <t xml:space="preserve">28 Feb 2025</t>
  </si>
  <si>
    <t xml:space="preserve">Balance Sheet Data</t>
  </si>
  <si>
    <t xml:space="preserve">Yahoo Finance / NZX</t>
  </si>
  <si>
    <t xml:space="preserve">Dec 2024</t>
  </si>
  <si>
    <t xml:space="preserve">Share Price</t>
  </si>
  <si>
    <t xml:space="preserve">Google Finance</t>
  </si>
  <si>
    <t xml:space="preserve">Jan 2026</t>
  </si>
  <si>
    <t xml:space="preserve">Market Capitalization</t>
  </si>
  <si>
    <t xml:space="preserve">Yahoo Finance</t>
  </si>
  <si>
    <t xml:space="preserve">Bond Yields</t>
  </si>
  <si>
    <t xml:space="preserve">NZX Announcements</t>
  </si>
  <si>
    <t xml:space="preserve">2023-2025</t>
  </si>
  <si>
    <t xml:space="preserve">Market Data</t>
  </si>
  <si>
    <t xml:space="preserve">NZ 10-Year Bond Yield</t>
  </si>
  <si>
    <t xml:space="preserve">Trading Economics</t>
  </si>
  <si>
    <t xml:space="preserve">Dec 2025</t>
  </si>
  <si>
    <t xml:space="preserve">NZ Corporate Tax Rate</t>
  </si>
  <si>
    <t xml:space="preserve">IRD NZ</t>
  </si>
  <si>
    <t xml:space="preserve">2024</t>
  </si>
  <si>
    <t xml:space="preserve">Industry Data</t>
  </si>
  <si>
    <t xml:space="preserve">Retirement Village Statistics</t>
  </si>
  <si>
    <t xml:space="preserve">JLL NZ Whitepaper</t>
  </si>
  <si>
    <t xml:space="preserve">2024/2025</t>
  </si>
  <si>
    <t xml:space="preserve">Demographics</t>
  </si>
  <si>
    <t xml:space="preserve">Stats NZ Projections</t>
  </si>
  <si>
    <t xml:space="preserve">Industry Analysis</t>
  </si>
  <si>
    <t xml:space="preserve">NZIER Report for Retirement Commission</t>
  </si>
  <si>
    <t xml:space="preserve">2025</t>
  </si>
</sst>
</file>

<file path=xl/styles.xml><?xml version="1.0" encoding="utf-8"?>
<styleSheet xmlns="http://schemas.openxmlformats.org/spreadsheetml/2006/main">
  <numFmts count="10">
    <numFmt numFmtId="164" formatCode="General"/>
    <numFmt numFmtId="165" formatCode="0.00%"/>
    <numFmt numFmtId="166" formatCode="#,##0"/>
    <numFmt numFmtId="167" formatCode="0.0%"/>
    <numFmt numFmtId="168" formatCode="#,##0.00"/>
    <numFmt numFmtId="169" formatCode="#,##0.0"/>
    <numFmt numFmtId="170" formatCode="&quot;NZ$&quot;#,##0.00"/>
    <numFmt numFmtId="171" formatCode="0.00\x"/>
    <numFmt numFmtId="172" formatCode="0.0\x"/>
    <numFmt numFmtId="173" formatCode="0.0000"/>
  </numFmts>
  <fonts count="28">
    <font>
      <sz val="11"/>
      <color theme="1"/>
      <name val="Calibri"/>
      <family val="2"/>
      <charset val="1"/>
    </font>
    <font>
      <sz val="10"/>
      <name val="Arial"/>
      <family val="0"/>
    </font>
    <font>
      <sz val="10"/>
      <name val="Arial"/>
      <family val="0"/>
    </font>
    <font>
      <sz val="10"/>
      <name val="Arial"/>
      <family val="0"/>
    </font>
    <font>
      <b val="true"/>
      <sz val="16"/>
      <color rgb="FF1F4E79"/>
      <name val="Cambria"/>
      <family val="0"/>
      <charset val="1"/>
    </font>
    <font>
      <b val="true"/>
      <sz val="14"/>
      <color rgb="FF1F4E79"/>
      <name val="Cambria"/>
      <family val="0"/>
      <charset val="1"/>
    </font>
    <font>
      <b val="true"/>
      <sz val="12"/>
      <name val="Cambria"/>
      <family val="0"/>
      <charset val="1"/>
    </font>
    <font>
      <sz val="11"/>
      <color rgb="FF0000FF"/>
      <name val="Cambria"/>
      <family val="0"/>
      <charset val="1"/>
    </font>
    <font>
      <sz val="11"/>
      <color rgb="FF000000"/>
      <name val="Cambria"/>
      <family val="0"/>
      <charset val="1"/>
    </font>
    <font>
      <b val="true"/>
      <sz val="11"/>
      <color rgb="FF000000"/>
      <name val="Cambria"/>
      <family val="0"/>
      <charset val="1"/>
    </font>
    <font>
      <b val="true"/>
      <sz val="11"/>
      <name val="Cambria"/>
      <family val="0"/>
      <charset val="1"/>
    </font>
    <font>
      <b val="true"/>
      <sz val="11"/>
      <color rgb="FF0000FF"/>
      <name val="Cambria"/>
      <family val="0"/>
      <charset val="1"/>
    </font>
    <font>
      <b val="true"/>
      <sz val="12"/>
      <color rgb="FFFFFFFF"/>
      <name val="Cambria"/>
      <family val="0"/>
      <charset val="1"/>
    </font>
    <font>
      <b val="true"/>
      <sz val="12"/>
      <color rgb="FFFF6600"/>
      <name val="Cambria"/>
      <family val="0"/>
      <charset val="1"/>
    </font>
    <font>
      <b val="true"/>
      <sz val="11"/>
      <color rgb="FF008000"/>
      <name val="Cambria"/>
      <family val="0"/>
      <charset val="1"/>
    </font>
    <font>
      <b val="true"/>
      <sz val="11"/>
      <color rgb="FFFF6600"/>
      <name val="Cambria"/>
      <family val="0"/>
      <charset val="1"/>
    </font>
    <font>
      <i val="true"/>
      <sz val="11"/>
      <name val="Cambria"/>
      <family val="0"/>
      <charset val="1"/>
    </font>
    <font>
      <b val="true"/>
      <sz val="12"/>
      <color rgb="FFFF0000"/>
      <name val="Cambria"/>
      <family val="0"/>
      <charset val="1"/>
    </font>
    <font>
      <sz val="11"/>
      <color rgb="FF008000"/>
      <name val="Cambria"/>
      <family val="0"/>
      <charset val="1"/>
    </font>
    <font>
      <b val="true"/>
      <sz val="11"/>
      <color rgb="FFFF0000"/>
      <name val="Cambria"/>
      <family val="0"/>
      <charset val="1"/>
    </font>
    <font>
      <b val="true"/>
      <sz val="11"/>
      <color rgb="FFFFFFFF"/>
      <name val="Cambria"/>
      <family val="0"/>
      <charset val="1"/>
    </font>
    <font>
      <b val="true"/>
      <sz val="11"/>
      <color rgb="FF006600"/>
      <name val="Cambria"/>
      <family val="0"/>
      <charset val="1"/>
    </font>
    <font>
      <b val="true"/>
      <sz val="14"/>
      <color rgb="FFFFFFFF"/>
      <name val="Cambria"/>
      <family val="0"/>
      <charset val="1"/>
    </font>
    <font>
      <b val="true"/>
      <sz val="11"/>
      <color rgb="FFC00000"/>
      <name val="Cambria"/>
      <family val="0"/>
      <charset val="1"/>
    </font>
    <font>
      <b val="true"/>
      <sz val="14"/>
      <color rgb="FFFF0000"/>
      <name val="Cambria"/>
      <family val="0"/>
      <charset val="1"/>
    </font>
    <font>
      <b val="true"/>
      <sz val="12"/>
      <color rgb="FF008000"/>
      <name val="Cambria"/>
      <family val="0"/>
      <charset val="1"/>
    </font>
    <font>
      <sz val="11"/>
      <color rgb="FF006600"/>
      <name val="Cambria"/>
      <family val="0"/>
      <charset val="1"/>
    </font>
    <font>
      <i val="true"/>
      <sz val="11"/>
      <color rgb="FFFF0000"/>
      <name val="Cambria"/>
      <family val="0"/>
      <charset val="1"/>
    </font>
  </fonts>
  <fills count="6">
    <fill>
      <patternFill patternType="none"/>
    </fill>
    <fill>
      <patternFill patternType="gray125"/>
    </fill>
    <fill>
      <patternFill patternType="solid">
        <fgColor rgb="FFD9E2F3"/>
        <bgColor rgb="FFC6EFCE"/>
      </patternFill>
    </fill>
    <fill>
      <patternFill patternType="solid">
        <fgColor rgb="FFFFCCCC"/>
        <bgColor rgb="FFD9E2F3"/>
      </patternFill>
    </fill>
    <fill>
      <patternFill patternType="solid">
        <fgColor rgb="FF1F4E79"/>
        <bgColor rgb="FF003366"/>
      </patternFill>
    </fill>
    <fill>
      <patternFill patternType="solid">
        <fgColor rgb="FFC6EFCE"/>
        <bgColor rgb="FFD9E2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center"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22" fillId="4"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70" fontId="25"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7" fontId="12"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66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9.5" hidden="false" customHeight="true" outlineLevel="0" collapsed="false">
      <c r="A1" s="1" t="s">
        <v>0</v>
      </c>
    </row>
    <row r="2" customFormat="false" ht="17.25" hidden="false" customHeight="true" outlineLevel="0" collapsed="false">
      <c r="A2" s="2" t="s">
        <v>1</v>
      </c>
    </row>
    <row r="3" customFormat="false" ht="1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3" t="s">
        <v>4</v>
      </c>
      <c r="B6" s="5" t="s">
        <v>5</v>
      </c>
    </row>
    <row r="7" customFormat="false" ht="15" hidden="false" customHeight="true" outlineLevel="0" collapsed="false">
      <c r="A7" s="3" t="s">
        <v>6</v>
      </c>
      <c r="B7" s="5" t="s">
        <v>7</v>
      </c>
    </row>
    <row r="8" customFormat="false" ht="15" hidden="false" customHeight="true" outlineLevel="0" collapsed="false">
      <c r="A8" s="3" t="s">
        <v>8</v>
      </c>
      <c r="B8" s="5" t="s">
        <v>9</v>
      </c>
    </row>
    <row r="9" customFormat="false" ht="15" hidden="false" customHeight="true" outlineLevel="0" collapsed="false">
      <c r="A9" s="3" t="s">
        <v>10</v>
      </c>
      <c r="B9" s="5" t="s">
        <v>11</v>
      </c>
    </row>
    <row r="10" customFormat="false" ht="15" hidden="false" customHeight="true" outlineLevel="0" collapsed="false">
      <c r="A10" s="3" t="s">
        <v>12</v>
      </c>
      <c r="B10" s="5" t="s">
        <v>13</v>
      </c>
    </row>
    <row r="11" customFormat="false" ht="15" hidden="false" customHeight="true" outlineLevel="0" collapsed="false">
      <c r="A11" s="3" t="s">
        <v>14</v>
      </c>
      <c r="B11" s="5" t="s">
        <v>15</v>
      </c>
    </row>
    <row r="12" customFormat="false" ht="15" hidden="false" customHeight="true" outlineLevel="0" collapsed="false">
      <c r="A12" s="3" t="s">
        <v>16</v>
      </c>
      <c r="B12" s="5" t="s">
        <v>17</v>
      </c>
    </row>
    <row r="13" customFormat="false" ht="15" hidden="false" customHeight="true" outlineLevel="0" collapsed="false">
      <c r="A13" s="3" t="s">
        <v>18</v>
      </c>
      <c r="B13" s="5" t="s">
        <v>19</v>
      </c>
    </row>
    <row r="16" customFormat="false" ht="15" hidden="false" customHeight="true" outlineLevel="0" collapsed="false">
      <c r="A16" s="4" t="s">
        <v>20</v>
      </c>
    </row>
    <row r="17" customFormat="false" ht="15" hidden="false" customHeight="true" outlineLevel="0" collapsed="false">
      <c r="A17" s="6" t="s">
        <v>21</v>
      </c>
      <c r="B17" s="6"/>
      <c r="C17" s="6"/>
      <c r="D17" s="6"/>
      <c r="E17" s="6"/>
    </row>
    <row r="18" customFormat="false" ht="15" hidden="false" customHeight="true" outlineLevel="0" collapsed="false">
      <c r="A18" s="6"/>
      <c r="B18" s="6"/>
      <c r="C18" s="6"/>
      <c r="D18" s="6"/>
      <c r="E18" s="6"/>
    </row>
    <row r="19" customFormat="false" ht="15" hidden="false" customHeight="true" outlineLevel="0" collapsed="false">
      <c r="A19" s="6"/>
      <c r="B19" s="6"/>
      <c r="C19" s="6"/>
      <c r="D19" s="6"/>
      <c r="E19" s="6"/>
    </row>
    <row r="20" customFormat="false" ht="15" hidden="false" customHeight="true" outlineLevel="0" collapsed="false">
      <c r="A20" s="6"/>
      <c r="B20" s="6"/>
      <c r="C20" s="6"/>
      <c r="D20" s="6"/>
      <c r="E20" s="6"/>
    </row>
  </sheetData>
  <mergeCells count="1">
    <mergeCell ref="A17: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35"/>
    <col collapsed="false" customWidth="true" hidden="false" outlineLevel="0" max="2" min="2" style="3" width="15"/>
    <col collapsed="false" customWidth="true" hidden="false" outlineLevel="0" max="3" min="3" style="3" width="40"/>
  </cols>
  <sheetData>
    <row r="1" customFormat="false" ht="17.25" hidden="false" customHeight="true" outlineLevel="0" collapsed="false">
      <c r="A1" s="2" t="s">
        <v>22</v>
      </c>
    </row>
    <row r="3" customFormat="false" ht="15" hidden="false" customHeight="true" outlineLevel="0" collapsed="false">
      <c r="A3" s="4" t="s">
        <v>23</v>
      </c>
    </row>
    <row r="4" customFormat="false" ht="15" hidden="false" customHeight="true" outlineLevel="0" collapsed="false">
      <c r="A4" s="3" t="s">
        <v>24</v>
      </c>
      <c r="B4" s="7" t="n">
        <v>0.0446</v>
      </c>
      <c r="C4" s="3" t="s">
        <v>25</v>
      </c>
    </row>
    <row r="5" customFormat="false" ht="15" hidden="false" customHeight="true" outlineLevel="0" collapsed="false">
      <c r="A5" s="3" t="s">
        <v>26</v>
      </c>
      <c r="B5" s="7" t="n">
        <v>0.06</v>
      </c>
      <c r="C5" s="3" t="s">
        <v>27</v>
      </c>
    </row>
    <row r="6" customFormat="false" ht="15" hidden="false" customHeight="true" outlineLevel="0" collapsed="false">
      <c r="A6" s="3" t="s">
        <v>28</v>
      </c>
      <c r="B6" s="7" t="n">
        <v>0.37</v>
      </c>
      <c r="C6" s="3" t="s">
        <v>29</v>
      </c>
    </row>
    <row r="7" customFormat="false" ht="15" hidden="false" customHeight="true" outlineLevel="0" collapsed="false">
      <c r="A7" s="3" t="s">
        <v>30</v>
      </c>
      <c r="B7" s="8" t="n">
        <f aca="false">B4+B6*B5</f>
        <v>0.0668</v>
      </c>
      <c r="C7" s="3" t="s">
        <v>31</v>
      </c>
    </row>
    <row r="8" customFormat="false" ht="15" hidden="false" customHeight="true" outlineLevel="0" collapsed="false">
      <c r="A8" s="3" t="s">
        <v>32</v>
      </c>
      <c r="B8" s="7" t="n">
        <v>0.057</v>
      </c>
      <c r="C8" s="3" t="s">
        <v>33</v>
      </c>
    </row>
    <row r="9" customFormat="false" ht="15" hidden="false" customHeight="true" outlineLevel="0" collapsed="false">
      <c r="A9" s="3" t="s">
        <v>34</v>
      </c>
      <c r="B9" s="7" t="n">
        <v>0.28</v>
      </c>
      <c r="C9" s="3" t="s">
        <v>35</v>
      </c>
    </row>
    <row r="10" customFormat="false" ht="15" hidden="false" customHeight="true" outlineLevel="0" collapsed="false">
      <c r="A10" s="3" t="s">
        <v>36</v>
      </c>
      <c r="B10" s="8" t="n">
        <f aca="false">B8*(1-B9)</f>
        <v>0.04104</v>
      </c>
      <c r="C10" s="3" t="s">
        <v>37</v>
      </c>
    </row>
    <row r="12" customFormat="false" ht="15" hidden="false" customHeight="true" outlineLevel="0" collapsed="false">
      <c r="A12" s="3" t="s">
        <v>38</v>
      </c>
      <c r="B12" s="9" t="n">
        <v>2963</v>
      </c>
      <c r="C12" s="3" t="s">
        <v>39</v>
      </c>
    </row>
    <row r="13" customFormat="false" ht="15" hidden="false" customHeight="true" outlineLevel="0" collapsed="false">
      <c r="A13" s="3" t="s">
        <v>40</v>
      </c>
      <c r="B13" s="9" t="n">
        <v>1726</v>
      </c>
      <c r="C13" s="3" t="s">
        <v>41</v>
      </c>
    </row>
    <row r="14" customFormat="false" ht="15" hidden="false" customHeight="true" outlineLevel="0" collapsed="false">
      <c r="A14" s="3" t="s">
        <v>42</v>
      </c>
      <c r="B14" s="10" t="n">
        <f aca="false">B12+B13</f>
        <v>4689</v>
      </c>
    </row>
    <row r="15" customFormat="false" ht="15" hidden="false" customHeight="true" outlineLevel="0" collapsed="false">
      <c r="A15" s="3" t="s">
        <v>43</v>
      </c>
      <c r="B15" s="8" t="n">
        <f aca="false">B12/B14</f>
        <v>0.63190445724035</v>
      </c>
    </row>
    <row r="16" customFormat="false" ht="15" hidden="false" customHeight="true" outlineLevel="0" collapsed="false">
      <c r="A16" s="3" t="s">
        <v>44</v>
      </c>
      <c r="B16" s="8" t="n">
        <f aca="false">B13/B14</f>
        <v>0.36809554275965</v>
      </c>
    </row>
    <row r="18" customFormat="false" ht="15" hidden="false" customHeight="true" outlineLevel="0" collapsed="false">
      <c r="A18" s="3" t="s">
        <v>45</v>
      </c>
      <c r="B18" s="11" t="n">
        <f aca="false">B15*B7+B16*B10</f>
        <v>0.0573178588185114</v>
      </c>
      <c r="C18" s="3" t="s">
        <v>46</v>
      </c>
    </row>
    <row r="19" customFormat="false" ht="15" hidden="false" customHeight="true" outlineLevel="0" collapsed="false">
      <c r="A19" s="3" t="s">
        <v>47</v>
      </c>
      <c r="B19" s="12" t="n">
        <f aca="false">B15*B7+B16*B10</f>
        <v>0.0573178588185114</v>
      </c>
    </row>
    <row r="20" customFormat="false" ht="15" hidden="false" customHeight="true" outlineLevel="0" collapsed="false">
      <c r="A20" s="13" t="s">
        <v>48</v>
      </c>
      <c r="B20" s="14" t="n">
        <v>0.095</v>
      </c>
      <c r="C20" s="3" t="s">
        <v>49</v>
      </c>
    </row>
    <row r="21" customFormat="false" ht="15" hidden="false" customHeight="true" outlineLevel="0" collapsed="false">
      <c r="A21" s="4" t="s">
        <v>50</v>
      </c>
    </row>
    <row r="22" customFormat="false" ht="15" hidden="false" customHeight="true" outlineLevel="0" collapsed="false">
      <c r="A22" s="3" t="s">
        <v>51</v>
      </c>
      <c r="B22" s="15" t="n">
        <v>0.12</v>
      </c>
      <c r="C22" s="3" t="s">
        <v>52</v>
      </c>
    </row>
    <row r="23" customFormat="false" ht="15" hidden="false" customHeight="true" outlineLevel="0" collapsed="false">
      <c r="A23" s="3" t="s">
        <v>53</v>
      </c>
      <c r="B23" s="15" t="n">
        <v>0.12</v>
      </c>
      <c r="C23" s="3" t="s">
        <v>54</v>
      </c>
    </row>
    <row r="24" customFormat="false" ht="15" hidden="false" customHeight="true" outlineLevel="0" collapsed="false">
      <c r="A24" s="3" t="s">
        <v>55</v>
      </c>
      <c r="B24" s="15" t="n">
        <v>0.11</v>
      </c>
      <c r="C24" s="3" t="s">
        <v>56</v>
      </c>
    </row>
    <row r="25" customFormat="false" ht="15" hidden="false" customHeight="true" outlineLevel="0" collapsed="false">
      <c r="A25" s="3" t="s">
        <v>57</v>
      </c>
      <c r="B25" s="15" t="n">
        <v>0.1</v>
      </c>
      <c r="C25" s="3" t="s">
        <v>58</v>
      </c>
    </row>
    <row r="26" customFormat="false" ht="15" hidden="false" customHeight="true" outlineLevel="0" collapsed="false">
      <c r="A26" s="3" t="s">
        <v>59</v>
      </c>
      <c r="B26" s="15" t="n">
        <v>0.09</v>
      </c>
      <c r="C26" s="3" t="s">
        <v>60</v>
      </c>
    </row>
    <row r="27" customFormat="false" ht="15" hidden="false" customHeight="true" outlineLevel="0" collapsed="false">
      <c r="A27" s="3" t="s">
        <v>61</v>
      </c>
      <c r="B27" s="15" t="n">
        <v>0.04</v>
      </c>
      <c r="C27" s="3" t="s">
        <v>62</v>
      </c>
    </row>
    <row r="29" customFormat="false" ht="15" hidden="false" customHeight="true" outlineLevel="0" collapsed="false">
      <c r="A29" s="3" t="s">
        <v>63</v>
      </c>
      <c r="B29" s="15" t="n">
        <v>0.645</v>
      </c>
      <c r="C29" s="3" t="s">
        <v>64</v>
      </c>
    </row>
    <row r="30" customFormat="false" ht="15" hidden="false" customHeight="true" outlineLevel="0" collapsed="false">
      <c r="A30" s="3" t="s">
        <v>65</v>
      </c>
      <c r="B30" s="15" t="n">
        <v>0.005</v>
      </c>
      <c r="C30" s="3" t="s">
        <v>66</v>
      </c>
    </row>
    <row r="33" customFormat="false" ht="15" hidden="false" customHeight="true" outlineLevel="0" collapsed="false">
      <c r="A33" s="4" t="s">
        <v>67</v>
      </c>
    </row>
    <row r="34" customFormat="false" ht="15" hidden="false" customHeight="true" outlineLevel="0" collapsed="false">
      <c r="A34" s="3" t="s">
        <v>68</v>
      </c>
      <c r="B34" s="9" t="n">
        <v>241</v>
      </c>
      <c r="C34" s="3" t="s">
        <v>69</v>
      </c>
    </row>
    <row r="35" customFormat="false" ht="15" hidden="false" customHeight="true" outlineLevel="0" collapsed="false">
      <c r="A35" s="3" t="s">
        <v>70</v>
      </c>
      <c r="B35" s="16" t="n">
        <v>12.29</v>
      </c>
      <c r="C35" s="3" t="s">
        <v>71</v>
      </c>
    </row>
    <row r="36" customFormat="false" ht="15" hidden="false" customHeight="true" outlineLevel="0" collapsed="false">
      <c r="A36" s="3" t="s">
        <v>72</v>
      </c>
      <c r="B36" s="9" t="n">
        <v>1693</v>
      </c>
      <c r="C36" s="3" t="s">
        <v>73</v>
      </c>
    </row>
    <row r="37" customFormat="false" ht="15" hidden="false" customHeight="true" outlineLevel="0" collapsed="false">
      <c r="A37" s="3" t="s">
        <v>74</v>
      </c>
      <c r="B37" s="16" t="n">
        <v>0</v>
      </c>
    </row>
    <row r="40" customFormat="false" ht="15" hidden="false" customHeight="true" outlineLevel="0" collapsed="false">
      <c r="A40" s="17" t="s">
        <v>75</v>
      </c>
    </row>
    <row r="41" customFormat="false" ht="15" hidden="false" customHeight="true" outlineLevel="0" collapsed="false">
      <c r="A41" s="3" t="s">
        <v>76</v>
      </c>
    </row>
    <row r="43" customFormat="false" ht="15" hidden="false" customHeight="true" outlineLevel="0" collapsed="false">
      <c r="A43" s="3" t="s">
        <v>77</v>
      </c>
    </row>
    <row r="44" customFormat="false" ht="15" hidden="false" customHeight="true" outlineLevel="0" collapsed="false">
      <c r="A44" s="3" t="s">
        <v>78</v>
      </c>
    </row>
    <row r="45" customFormat="false" ht="15" hidden="false" customHeight="true" outlineLevel="0" collapsed="false">
      <c r="A45" s="3" t="s">
        <v>79</v>
      </c>
    </row>
    <row r="46" customFormat="false" ht="15" hidden="false" customHeight="true" outlineLevel="0" collapsed="false">
      <c r="A46" s="3" t="s">
        <v>80</v>
      </c>
    </row>
    <row r="47" customFormat="false" ht="15" hidden="false" customHeight="true" outlineLevel="0" collapsed="false">
      <c r="A47" s="3" t="s">
        <v>81</v>
      </c>
    </row>
    <row r="49" customFormat="false" ht="15" hidden="false" customHeight="true" outlineLevel="0" collapsed="false">
      <c r="A49" s="3" t="s">
        <v>82</v>
      </c>
    </row>
    <row r="50" customFormat="false" ht="15" hidden="false" customHeight="true" outlineLevel="0" collapsed="false">
      <c r="A50" s="3" t="s">
        <v>83</v>
      </c>
    </row>
    <row r="51" customFormat="false" ht="15" hidden="false" customHeight="true" outlineLevel="0" collapsed="false">
      <c r="A51" s="3" t="s">
        <v>84</v>
      </c>
    </row>
    <row r="52" customFormat="false" ht="15" hidden="false" customHeight="true" outlineLevel="0" collapsed="false">
      <c r="A52" s="3" t="s">
        <v>85</v>
      </c>
    </row>
    <row r="54" customFormat="false" ht="15" hidden="false" customHeight="true" outlineLevel="0" collapsed="false">
      <c r="A54" s="3"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3" width="18"/>
  </cols>
  <sheetData>
    <row r="1" customFormat="false" ht="17.25" hidden="false" customHeight="true" outlineLevel="0" collapsed="false">
      <c r="A1" s="2" t="s">
        <v>87</v>
      </c>
    </row>
    <row r="3" customFormat="false" ht="15" hidden="false" customHeight="true" outlineLevel="0" collapsed="false">
      <c r="A3" s="18" t="s">
        <v>88</v>
      </c>
      <c r="B3" s="18" t="s">
        <v>89</v>
      </c>
      <c r="C3" s="18" t="s">
        <v>90</v>
      </c>
      <c r="D3" s="18" t="s">
        <v>91</v>
      </c>
      <c r="E3" s="18" t="s">
        <v>92</v>
      </c>
    </row>
    <row r="4" customFormat="false" ht="15" hidden="false" customHeight="true" outlineLevel="0" collapsed="false">
      <c r="A4" s="13" t="s">
        <v>93</v>
      </c>
      <c r="B4" s="19" t="n">
        <v>202.1</v>
      </c>
      <c r="C4" s="19" t="n">
        <v>236.96</v>
      </c>
      <c r="D4" s="19" t="n">
        <v>270.5</v>
      </c>
      <c r="E4" s="19" t="n">
        <v>319.9</v>
      </c>
    </row>
    <row r="5" customFormat="false" ht="15" hidden="false" customHeight="true" outlineLevel="0" collapsed="false">
      <c r="A5" s="13" t="s">
        <v>94</v>
      </c>
      <c r="C5" s="20" t="n">
        <f aca="false">B4/B4-1</f>
        <v>0</v>
      </c>
      <c r="D5" s="20" t="n">
        <f aca="false">(C4-B4)/B4</f>
        <v>0.172488866897576</v>
      </c>
      <c r="E5" s="20" t="n">
        <f aca="false">(D4-C4)/C4</f>
        <v>0.141542876434841</v>
      </c>
      <c r="F5" s="20" t="n">
        <f aca="false">(E4-D4)/D4</f>
        <v>0.182624768946395</v>
      </c>
    </row>
    <row r="6" customFormat="false" ht="15" hidden="false" customHeight="true" outlineLevel="0" collapsed="false">
      <c r="A6" s="21"/>
    </row>
    <row r="7" customFormat="false" ht="15" hidden="false" customHeight="true" outlineLevel="0" collapsed="false">
      <c r="A7" s="13" t="s">
        <v>95</v>
      </c>
      <c r="B7" s="19" t="n">
        <v>180</v>
      </c>
      <c r="C7" s="19" t="n">
        <v>174.4</v>
      </c>
      <c r="D7" s="19" t="n">
        <v>190.6</v>
      </c>
      <c r="E7" s="19" t="n">
        <v>206.4</v>
      </c>
    </row>
    <row r="8" customFormat="false" ht="15" hidden="false" customHeight="true" outlineLevel="0" collapsed="false">
      <c r="A8" s="13" t="s">
        <v>96</v>
      </c>
      <c r="B8" s="19" t="n">
        <v>543.6</v>
      </c>
      <c r="C8" s="19" t="n">
        <v>225.4</v>
      </c>
      <c r="D8" s="19" t="n">
        <v>436.3</v>
      </c>
      <c r="E8" s="19" t="n">
        <v>339.8</v>
      </c>
    </row>
    <row r="9" customFormat="false" ht="15" hidden="false" customHeight="true" outlineLevel="0" collapsed="false">
      <c r="A9" s="21"/>
    </row>
    <row r="10" customFormat="false" ht="15" hidden="false" customHeight="true" outlineLevel="0" collapsed="false">
      <c r="A10" s="13" t="s">
        <v>97</v>
      </c>
      <c r="B10" s="19" t="n">
        <v>383</v>
      </c>
      <c r="C10" s="19" t="n">
        <v>369</v>
      </c>
      <c r="D10" s="19" t="n">
        <v>398</v>
      </c>
      <c r="E10" s="19" t="n">
        <v>347.9</v>
      </c>
    </row>
    <row r="11" customFormat="false" ht="15" hidden="false" customHeight="true" outlineLevel="0" collapsed="false">
      <c r="A11" s="13" t="s">
        <v>98</v>
      </c>
      <c r="B11" s="19" t="n">
        <v>93.1</v>
      </c>
      <c r="C11" s="19" t="n">
        <v>120</v>
      </c>
      <c r="D11" s="19" t="n">
        <v>85</v>
      </c>
      <c r="E11" s="19" t="n">
        <v>83.3</v>
      </c>
    </row>
    <row r="12" customFormat="false" ht="15" hidden="false" customHeight="true" outlineLevel="0" collapsed="false">
      <c r="A12" s="13" t="s">
        <v>99</v>
      </c>
      <c r="B12" s="19" t="n">
        <v>289.9</v>
      </c>
      <c r="C12" s="19" t="n">
        <v>249</v>
      </c>
      <c r="D12" s="19" t="n">
        <v>313</v>
      </c>
      <c r="E12" s="19" t="n">
        <v>264.5</v>
      </c>
    </row>
    <row r="13" customFormat="false" ht="15" hidden="false" customHeight="true" outlineLevel="0" collapsed="false">
      <c r="A13" s="13" t="s">
        <v>100</v>
      </c>
      <c r="B13" s="20" t="n">
        <f aca="false">B12/B4</f>
        <v>1.43443839683325</v>
      </c>
      <c r="C13" s="20" t="n">
        <f aca="false">C12/C4</f>
        <v>1.05081026333558</v>
      </c>
      <c r="D13" s="20" t="n">
        <f aca="false">D12/D4</f>
        <v>1.15711645101664</v>
      </c>
      <c r="E13" s="20" t="n">
        <f aca="false">E12/E4</f>
        <v>0.826820881525477</v>
      </c>
    </row>
    <row r="14" customFormat="false" ht="15" hidden="false" customHeight="true" outlineLevel="0" collapsed="false">
      <c r="A14" s="21"/>
    </row>
    <row r="15" customFormat="false" ht="15" hidden="false" customHeight="true" outlineLevel="0" collapsed="false">
      <c r="A15" s="13" t="s">
        <v>101</v>
      </c>
      <c r="B15" s="19" t="n">
        <v>4923.7</v>
      </c>
      <c r="C15" s="19" t="n">
        <v>5840.3</v>
      </c>
      <c r="D15" s="19" t="n">
        <v>6941.7</v>
      </c>
      <c r="E15" s="19" t="n">
        <v>8066</v>
      </c>
    </row>
    <row r="16" customFormat="false" ht="15" hidden="false" customHeight="true" outlineLevel="0" collapsed="false">
      <c r="A16" s="13" t="s">
        <v>102</v>
      </c>
      <c r="B16" s="19" t="n">
        <v>747</v>
      </c>
      <c r="C16" s="19" t="n">
        <v>1060.5</v>
      </c>
      <c r="D16" s="19" t="n">
        <v>1407.7</v>
      </c>
      <c r="E16" s="19" t="n">
        <v>1726.2</v>
      </c>
    </row>
    <row r="17" customFormat="false" ht="15" hidden="false" customHeight="true" outlineLevel="0" collapsed="false">
      <c r="A17" s="13" t="s">
        <v>103</v>
      </c>
      <c r="B17" s="19" t="n">
        <v>1924.5</v>
      </c>
      <c r="C17" s="19" t="n">
        <v>2193</v>
      </c>
      <c r="D17" s="19" t="n">
        <v>2605.4</v>
      </c>
      <c r="E17" s="19" t="n">
        <v>2969.5</v>
      </c>
    </row>
    <row r="18" customFormat="false" ht="15" hidden="false" customHeight="true" outlineLevel="0" collapsed="false">
      <c r="A18" s="13" t="s">
        <v>104</v>
      </c>
      <c r="B18" s="19" t="n">
        <v>1917.9</v>
      </c>
      <c r="C18" s="19" t="n">
        <v>2185.8</v>
      </c>
      <c r="D18" s="19" t="n">
        <v>2597</v>
      </c>
      <c r="E18" s="19" t="n">
        <v>2961</v>
      </c>
    </row>
    <row r="19" customFormat="false" ht="15" hidden="false" customHeight="true" outlineLevel="0" collapsed="false">
      <c r="A19" s="21"/>
    </row>
    <row r="20" customFormat="false" ht="15" hidden="false" customHeight="true" outlineLevel="0" collapsed="false">
      <c r="A20" s="13" t="s">
        <v>105</v>
      </c>
      <c r="B20" s="16" t="n">
        <v>8.33</v>
      </c>
      <c r="C20" s="16" t="n">
        <v>9.42</v>
      </c>
      <c r="D20" s="16" t="n">
        <v>11.08</v>
      </c>
      <c r="E20" s="16" t="n">
        <v>12.29</v>
      </c>
    </row>
    <row r="21" customFormat="false" ht="15" hidden="false" customHeight="true" outlineLevel="0" collapsed="false">
      <c r="A21" s="13" t="s">
        <v>106</v>
      </c>
      <c r="B21" s="16" t="n">
        <v>2.36</v>
      </c>
      <c r="C21" s="16" t="n">
        <v>1.16</v>
      </c>
      <c r="D21" s="16" t="n">
        <v>1.86</v>
      </c>
      <c r="E21" s="16" t="n">
        <v>1.54</v>
      </c>
    </row>
    <row r="22" customFormat="false" ht="15" hidden="false" customHeight="true" outlineLevel="0" collapsed="false">
      <c r="A22" s="13" t="s">
        <v>107</v>
      </c>
      <c r="B22" s="16" t="n">
        <v>0.183</v>
      </c>
      <c r="C22" s="16" t="n">
        <v>0.223</v>
      </c>
      <c r="D22" s="16" t="n">
        <v>0.245</v>
      </c>
      <c r="E22" s="16" t="n">
        <v>0.245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65"/>
    <col collapsed="false" customWidth="true" hidden="false" outlineLevel="0" max="6" min="2" style="3" width="14"/>
  </cols>
  <sheetData>
    <row r="1" customFormat="false" ht="17.25" hidden="false" customHeight="true" outlineLevel="0" collapsed="false">
      <c r="A1" s="2" t="s">
        <v>108</v>
      </c>
    </row>
    <row r="3" customFormat="false" ht="15" hidden="false" customHeight="true" outlineLevel="0" collapsed="false">
      <c r="A3" s="22" t="s">
        <v>109</v>
      </c>
    </row>
    <row r="5" customFormat="false" ht="15" hidden="false" customHeight="true" outlineLevel="0" collapsed="false">
      <c r="A5" s="4" t="s">
        <v>110</v>
      </c>
    </row>
    <row r="6" customFormat="false" ht="15" hidden="false" customHeight="true" outlineLevel="0" collapsed="false">
      <c r="A6" s="18" t="s">
        <v>88</v>
      </c>
      <c r="B6" s="18" t="s">
        <v>89</v>
      </c>
      <c r="C6" s="18" t="s">
        <v>90</v>
      </c>
      <c r="D6" s="18" t="s">
        <v>91</v>
      </c>
      <c r="E6" s="18" t="s">
        <v>92</v>
      </c>
      <c r="F6" s="18" t="s">
        <v>111</v>
      </c>
    </row>
    <row r="7" customFormat="false" ht="15" hidden="false" customHeight="true" outlineLevel="0" collapsed="false">
      <c r="A7" s="13" t="s">
        <v>112</v>
      </c>
      <c r="B7" s="16" t="n">
        <v>2.36</v>
      </c>
      <c r="C7" s="16" t="n">
        <v>1.16</v>
      </c>
      <c r="D7" s="16" t="n">
        <v>1.86</v>
      </c>
      <c r="E7" s="16" t="n">
        <v>1.54</v>
      </c>
      <c r="F7" s="3" t="s">
        <v>113</v>
      </c>
    </row>
    <row r="8" customFormat="false" ht="15" hidden="false" customHeight="true" outlineLevel="0" collapsed="false">
      <c r="A8" s="13" t="s">
        <v>114</v>
      </c>
      <c r="B8" s="19" t="n">
        <v>180</v>
      </c>
      <c r="C8" s="19" t="n">
        <v>174.4</v>
      </c>
      <c r="D8" s="19" t="n">
        <v>190.6</v>
      </c>
      <c r="E8" s="19" t="n">
        <v>206.4</v>
      </c>
      <c r="F8" s="3" t="s">
        <v>115</v>
      </c>
    </row>
    <row r="9" customFormat="false" ht="15" hidden="false" customHeight="true" outlineLevel="0" collapsed="false">
      <c r="A9" s="13" t="s">
        <v>116</v>
      </c>
      <c r="B9" s="19" t="n">
        <v>1924.5</v>
      </c>
      <c r="C9" s="19" t="n">
        <v>2193</v>
      </c>
      <c r="D9" s="19" t="n">
        <v>2605.4</v>
      </c>
      <c r="E9" s="19" t="n">
        <v>2969.5</v>
      </c>
      <c r="F9" s="23" t="s">
        <v>117</v>
      </c>
    </row>
    <row r="10" customFormat="false" ht="15" hidden="false" customHeight="true" outlineLevel="0" collapsed="false">
      <c r="A10" s="13" t="s">
        <v>118</v>
      </c>
      <c r="B10" s="16" t="n">
        <v>8.33</v>
      </c>
      <c r="C10" s="16" t="n">
        <v>9.42</v>
      </c>
      <c r="D10" s="16" t="n">
        <v>11.08</v>
      </c>
      <c r="E10" s="16" t="n">
        <v>12.29</v>
      </c>
      <c r="F10" s="23" t="s">
        <v>119</v>
      </c>
    </row>
    <row r="11" customFormat="false" ht="15" hidden="false" customHeight="true" outlineLevel="0" collapsed="false">
      <c r="A11" s="13"/>
    </row>
    <row r="12" customFormat="false" ht="15" hidden="false" customHeight="true" outlineLevel="0" collapsed="false">
      <c r="A12" s="13" t="s">
        <v>120</v>
      </c>
      <c r="B12" s="19" t="n">
        <v>544.2</v>
      </c>
      <c r="C12" s="19" t="n">
        <v>270.1</v>
      </c>
      <c r="D12" s="19" t="n">
        <v>441.6</v>
      </c>
      <c r="E12" s="19" t="n">
        <v>365.5</v>
      </c>
      <c r="F12" s="3" t="s">
        <v>121</v>
      </c>
    </row>
    <row r="13" customFormat="false" ht="15" hidden="false" customHeight="true" outlineLevel="0" collapsed="false">
      <c r="A13" s="13" t="s">
        <v>122</v>
      </c>
      <c r="B13" s="16" t="n">
        <v>12</v>
      </c>
      <c r="C13" s="16" t="n">
        <v>16.5</v>
      </c>
      <c r="D13" s="16" t="n">
        <v>25.8</v>
      </c>
      <c r="E13" s="16" t="n">
        <v>25.1</v>
      </c>
      <c r="F13" s="24" t="s">
        <v>123</v>
      </c>
    </row>
    <row r="14" customFormat="false" ht="15" hidden="false" customHeight="true" outlineLevel="0" collapsed="false">
      <c r="A14" s="13" t="s">
        <v>124</v>
      </c>
      <c r="B14" s="3" t="s">
        <v>125</v>
      </c>
      <c r="C14" s="3" t="s">
        <v>126</v>
      </c>
      <c r="D14" s="3" t="s">
        <v>127</v>
      </c>
      <c r="E14" s="3" t="s">
        <v>128</v>
      </c>
      <c r="F14" s="24" t="s">
        <v>129</v>
      </c>
    </row>
    <row r="15" customFormat="false" ht="15" hidden="false" customHeight="true" outlineLevel="0" collapsed="false">
      <c r="A15" s="13" t="s">
        <v>68</v>
      </c>
      <c r="B15" s="19" t="n">
        <v>230.3</v>
      </c>
      <c r="C15" s="19" t="n">
        <v>232.1</v>
      </c>
      <c r="D15" s="19" t="n">
        <v>234.6</v>
      </c>
      <c r="E15" s="19" t="n">
        <v>241</v>
      </c>
      <c r="F15" s="3" t="s">
        <v>130</v>
      </c>
    </row>
    <row r="18" customFormat="false" ht="15" hidden="false" customHeight="true" outlineLevel="0" collapsed="false">
      <c r="A18" s="4" t="s">
        <v>131</v>
      </c>
    </row>
    <row r="20" customFormat="false" ht="15" hidden="false" customHeight="true" outlineLevel="0" collapsed="false">
      <c r="A20" s="13" t="s">
        <v>132</v>
      </c>
    </row>
    <row r="21" customFormat="false" ht="15" hidden="false" customHeight="true" outlineLevel="0" collapsed="false">
      <c r="A21" s="3" t="s">
        <v>133</v>
      </c>
    </row>
    <row r="22" customFormat="false" ht="15" hidden="false" customHeight="true" outlineLevel="0" collapsed="false">
      <c r="A22" s="3" t="s">
        <v>134</v>
      </c>
    </row>
    <row r="23" customFormat="false" ht="15" hidden="false" customHeight="true" outlineLevel="0" collapsed="false">
      <c r="A23" s="3" t="s">
        <v>135</v>
      </c>
    </row>
    <row r="24" customFormat="false" ht="15" hidden="false" customHeight="true" outlineLevel="0" collapsed="false">
      <c r="A24" s="3" t="s">
        <v>136</v>
      </c>
    </row>
    <row r="26" customFormat="false" ht="15" hidden="false" customHeight="true" outlineLevel="0" collapsed="false">
      <c r="A26" s="13" t="s">
        <v>137</v>
      </c>
    </row>
    <row r="27" customFormat="false" ht="15" hidden="false" customHeight="true" outlineLevel="0" collapsed="false">
      <c r="A27" s="3" t="s">
        <v>138</v>
      </c>
    </row>
    <row r="28" customFormat="false" ht="15" hidden="false" customHeight="true" outlineLevel="0" collapsed="false">
      <c r="A28" s="3" t="s">
        <v>139</v>
      </c>
    </row>
    <row r="29" customFormat="false" ht="15" hidden="false" customHeight="true" outlineLevel="0" collapsed="false">
      <c r="A29" s="3" t="s">
        <v>140</v>
      </c>
    </row>
    <row r="30" customFormat="false" ht="15" hidden="false" customHeight="true" outlineLevel="0" collapsed="false">
      <c r="A30" s="3" t="s">
        <v>141</v>
      </c>
    </row>
    <row r="32" customFormat="false" ht="15" hidden="false" customHeight="true" outlineLevel="0" collapsed="false">
      <c r="A32" s="13" t="s">
        <v>142</v>
      </c>
    </row>
    <row r="33" customFormat="false" ht="15" hidden="false" customHeight="true" outlineLevel="0" collapsed="false">
      <c r="A33" s="3" t="s">
        <v>143</v>
      </c>
    </row>
    <row r="34" customFormat="false" ht="15" hidden="false" customHeight="true" outlineLevel="0" collapsed="false">
      <c r="A34" s="3" t="s">
        <v>144</v>
      </c>
    </row>
    <row r="35" customFormat="false" ht="15" hidden="false" customHeight="true" outlineLevel="0" collapsed="false">
      <c r="A35" s="3" t="s">
        <v>145</v>
      </c>
    </row>
    <row r="37" customFormat="false" ht="15" hidden="false" customHeight="true" outlineLevel="0" collapsed="false">
      <c r="A37" s="13" t="s">
        <v>146</v>
      </c>
    </row>
    <row r="38" customFormat="false" ht="15" hidden="false" customHeight="true" outlineLevel="0" collapsed="false">
      <c r="A38" s="3" t="s">
        <v>147</v>
      </c>
    </row>
    <row r="39" customFormat="false" ht="15" hidden="false" customHeight="true" outlineLevel="0" collapsed="false">
      <c r="A39" s="3" t="s">
        <v>148</v>
      </c>
    </row>
    <row r="40" customFormat="false" ht="15" hidden="false" customHeight="true" outlineLevel="0" collapsed="false">
      <c r="A40" s="3" t="s">
        <v>149</v>
      </c>
    </row>
    <row r="42" customFormat="false" ht="15" hidden="false" customHeight="true" outlineLevel="0" collapsed="false">
      <c r="A42" s="13" t="s">
        <v>150</v>
      </c>
    </row>
    <row r="43" customFormat="false" ht="15" hidden="false" customHeight="true" outlineLevel="0" collapsed="false">
      <c r="A43" s="3" t="s">
        <v>151</v>
      </c>
    </row>
    <row r="44" customFormat="false" ht="15" hidden="false" customHeight="true" outlineLevel="0" collapsed="false">
      <c r="A44" s="3" t="s">
        <v>152</v>
      </c>
    </row>
    <row r="46" customFormat="false" ht="15" hidden="false" customHeight="true" outlineLevel="0" collapsed="false">
      <c r="A46" s="4" t="s">
        <v>153</v>
      </c>
    </row>
    <row r="47" customFormat="false" ht="15" hidden="false" customHeight="true" outlineLevel="0" collapsed="false">
      <c r="A47" s="23" t="s">
        <v>154</v>
      </c>
    </row>
    <row r="48" customFormat="false" ht="15" hidden="false" customHeight="true" outlineLevel="0" collapsed="false">
      <c r="A48" s="23" t="s">
        <v>155</v>
      </c>
    </row>
    <row r="49" customFormat="false" ht="15" hidden="false" customHeight="true" outlineLevel="0" collapsed="false">
      <c r="A49" s="23" t="s">
        <v>156</v>
      </c>
    </row>
    <row r="50" customFormat="false" ht="15" hidden="false" customHeight="true" outlineLevel="0" collapsed="false">
      <c r="A50" s="23" t="s">
        <v>157</v>
      </c>
    </row>
    <row r="51" customFormat="false" ht="15" hidden="false" customHeight="true" outlineLevel="0" collapsed="false">
      <c r="A51" s="23" t="s">
        <v>158</v>
      </c>
    </row>
    <row r="52" customFormat="false" ht="15" hidden="false" customHeight="true" outlineLevel="0" collapsed="false">
      <c r="A52" s="23" t="s">
        <v>159</v>
      </c>
    </row>
    <row r="53" customFormat="false" ht="15" hidden="false" customHeight="true" outlineLevel="0" collapsed="false">
      <c r="A53" s="23" t="s">
        <v>160</v>
      </c>
    </row>
    <row r="56" customFormat="false" ht="15" hidden="false" customHeight="true" outlineLevel="0" collapsed="false">
      <c r="A56" s="4" t="s">
        <v>161</v>
      </c>
    </row>
    <row r="57" customFormat="false" ht="15" hidden="false" customHeight="true" outlineLevel="0" collapsed="false">
      <c r="A57" s="25" t="s">
        <v>88</v>
      </c>
      <c r="B57" s="25" t="s">
        <v>89</v>
      </c>
      <c r="C57" s="25" t="s">
        <v>90</v>
      </c>
      <c r="D57" s="25" t="s">
        <v>91</v>
      </c>
      <c r="E57" s="25" t="s">
        <v>92</v>
      </c>
    </row>
    <row r="58" customFormat="false" ht="15" hidden="false" customHeight="true" outlineLevel="0" collapsed="false">
      <c r="A58" s="13" t="s">
        <v>114</v>
      </c>
      <c r="B58" s="19" t="n">
        <v>180</v>
      </c>
      <c r="C58" s="19" t="n">
        <v>174.4</v>
      </c>
      <c r="D58" s="19" t="n">
        <v>190.6</v>
      </c>
      <c r="E58" s="19" t="n">
        <v>206.4</v>
      </c>
    </row>
    <row r="59" customFormat="false" ht="15" hidden="false" customHeight="true" outlineLevel="0" collapsed="false">
      <c r="A59" s="13" t="s">
        <v>162</v>
      </c>
      <c r="B59" s="19" t="n">
        <v>1800</v>
      </c>
      <c r="C59" s="19" t="n">
        <v>2058.8</v>
      </c>
      <c r="D59" s="19" t="n">
        <v>2399.2</v>
      </c>
      <c r="E59" s="19" t="n">
        <v>2787.5</v>
      </c>
    </row>
    <row r="60" customFormat="false" ht="15" hidden="false" customHeight="true" outlineLevel="0" collapsed="false">
      <c r="A60" s="13" t="s">
        <v>163</v>
      </c>
      <c r="B60" s="20" t="n">
        <f aca="false">B58/B59</f>
        <v>0.1</v>
      </c>
      <c r="C60" s="20" t="n">
        <f aca="false">C58/C59</f>
        <v>0.0847095395375947</v>
      </c>
      <c r="D60" s="20" t="n">
        <f aca="false">D58/D59</f>
        <v>0.0794431477159053</v>
      </c>
      <c r="E60" s="20" t="n">
        <f aca="false">E58/E59</f>
        <v>0.0740448430493274</v>
      </c>
    </row>
    <row r="62" customFormat="false" ht="15" hidden="false" customHeight="true" outlineLevel="0" collapsed="false">
      <c r="A62" s="26" t="s">
        <v>164</v>
      </c>
    </row>
    <row r="63" customFormat="false" ht="15" hidden="false" customHeight="true" outlineLevel="0" collapsed="false">
      <c r="A63" s="26" t="s">
        <v>165</v>
      </c>
    </row>
    <row r="66" customFormat="false" ht="15" hidden="false" customHeight="true" outlineLevel="0" collapsed="false">
      <c r="A66" s="4" t="s">
        <v>166</v>
      </c>
    </row>
    <row r="67" customFormat="false" ht="15" hidden="false" customHeight="true" outlineLevel="0" collapsed="false">
      <c r="A67" s="3" t="s">
        <v>167</v>
      </c>
    </row>
    <row r="68" customFormat="false" ht="15" hidden="false" customHeight="true" outlineLevel="0" collapsed="false">
      <c r="A68" s="3" t="s">
        <v>168</v>
      </c>
    </row>
    <row r="69" customFormat="false" ht="15" hidden="false" customHeight="true" outlineLevel="0" collapsed="false">
      <c r="A69" s="3" t="s">
        <v>169</v>
      </c>
    </row>
    <row r="70" customFormat="false" ht="15" hidden="false" customHeight="true" outlineLevel="0" collapsed="false">
      <c r="A70" s="3" t="s">
        <v>170</v>
      </c>
    </row>
    <row r="71" customFormat="false" ht="15" hidden="false" customHeight="true" outlineLevel="0" collapsed="false">
      <c r="A71" s="3" t="s">
        <v>171</v>
      </c>
    </row>
    <row r="73" customFormat="false" ht="15" hidden="false" customHeight="true" outlineLevel="0" collapsed="false">
      <c r="A73" s="24"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35"/>
    <col collapsed="false" customWidth="true" hidden="false" outlineLevel="0" max="3" min="2" style="3" width="15"/>
    <col collapsed="false" customWidth="true" hidden="false" outlineLevel="0" max="4" min="4" style="3" width="18"/>
    <col collapsed="false" customWidth="true" hidden="false" outlineLevel="0" max="5" min="5" style="3" width="12"/>
  </cols>
  <sheetData>
    <row r="1" customFormat="false" ht="17.25" hidden="false" customHeight="true" outlineLevel="0" collapsed="false">
      <c r="A1" s="2" t="s">
        <v>173</v>
      </c>
    </row>
    <row r="3" customFormat="false" ht="15" hidden="false" customHeight="true" outlineLevel="0" collapsed="false">
      <c r="A3" s="27" t="s">
        <v>174</v>
      </c>
    </row>
    <row r="5" customFormat="false" ht="15" hidden="false" customHeight="true" outlineLevel="0" collapsed="false">
      <c r="A5" s="3" t="s">
        <v>175</v>
      </c>
    </row>
    <row r="7" customFormat="false" ht="15" hidden="false" customHeight="true" outlineLevel="0" collapsed="false">
      <c r="A7" s="13" t="s">
        <v>176</v>
      </c>
    </row>
    <row r="8" customFormat="false" ht="15" hidden="false" customHeight="true" outlineLevel="0" collapsed="false">
      <c r="A8" s="3" t="s">
        <v>177</v>
      </c>
    </row>
    <row r="9" customFormat="false" ht="15" hidden="false" customHeight="true" outlineLevel="0" collapsed="false">
      <c r="A9" s="3" t="s">
        <v>178</v>
      </c>
    </row>
    <row r="10" customFormat="false" ht="15" hidden="false" customHeight="true" outlineLevel="0" collapsed="false">
      <c r="A10" s="3" t="s">
        <v>179</v>
      </c>
    </row>
    <row r="11" customFormat="false" ht="15" hidden="false" customHeight="true" outlineLevel="0" collapsed="false">
      <c r="A11" s="3" t="s">
        <v>180</v>
      </c>
    </row>
    <row r="13" customFormat="false" ht="15" hidden="false" customHeight="true" outlineLevel="0" collapsed="false">
      <c r="A13" s="13" t="s">
        <v>181</v>
      </c>
    </row>
    <row r="14" customFormat="false" ht="15" hidden="false" customHeight="true" outlineLevel="0" collapsed="false">
      <c r="A14" s="3" t="s">
        <v>182</v>
      </c>
    </row>
    <row r="15" customFormat="false" ht="15" hidden="false" customHeight="true" outlineLevel="0" collapsed="false">
      <c r="A15" s="3" t="s">
        <v>183</v>
      </c>
    </row>
    <row r="16" customFormat="false" ht="15" hidden="false" customHeight="true" outlineLevel="0" collapsed="false">
      <c r="A16" s="3" t="s">
        <v>184</v>
      </c>
    </row>
    <row r="18" customFormat="false" ht="15" hidden="false" customHeight="true" outlineLevel="0" collapsed="false">
      <c r="A18" s="13" t="s">
        <v>185</v>
      </c>
    </row>
    <row r="19" customFormat="false" ht="15" hidden="false" customHeight="true" outlineLevel="0" collapsed="false">
      <c r="A19" s="3" t="s">
        <v>186</v>
      </c>
    </row>
    <row r="20" customFormat="false" ht="15" hidden="false" customHeight="true" outlineLevel="0" collapsed="false">
      <c r="A20" s="3" t="s">
        <v>187</v>
      </c>
    </row>
    <row r="21" customFormat="false" ht="15" hidden="false" customHeight="true" outlineLevel="0" collapsed="false">
      <c r="A21" s="3" t="s">
        <v>188</v>
      </c>
    </row>
    <row r="24" customFormat="false" ht="15" hidden="false" customHeight="true" outlineLevel="0" collapsed="false">
      <c r="A24" s="4" t="s">
        <v>189</v>
      </c>
    </row>
    <row r="26" customFormat="false" ht="15" hidden="false" customHeight="true" outlineLevel="0" collapsed="false">
      <c r="A26" s="13" t="s">
        <v>190</v>
      </c>
    </row>
    <row r="27" customFormat="false" ht="15" hidden="false" customHeight="true" outlineLevel="0" collapsed="false">
      <c r="A27" s="3" t="s">
        <v>191</v>
      </c>
      <c r="B27" s="9" t="n">
        <v>2961</v>
      </c>
      <c r="C27" s="3" t="s">
        <v>192</v>
      </c>
    </row>
    <row r="28" customFormat="false" ht="15" hidden="false" customHeight="true" outlineLevel="0" collapsed="false">
      <c r="A28" s="3" t="s">
        <v>193</v>
      </c>
      <c r="B28" s="5" t="n">
        <v>241</v>
      </c>
      <c r="C28" s="3" t="s">
        <v>194</v>
      </c>
    </row>
    <row r="29" customFormat="false" ht="15" hidden="false" customHeight="true" outlineLevel="0" collapsed="false">
      <c r="A29" s="3" t="s">
        <v>105</v>
      </c>
      <c r="B29" s="28" t="n">
        <f aca="false">B27/B28</f>
        <v>12.2863070539419</v>
      </c>
    </row>
    <row r="30" customFormat="false" ht="15" hidden="false" customHeight="true" outlineLevel="0" collapsed="false">
      <c r="A30" s="3" t="s">
        <v>195</v>
      </c>
      <c r="B30" s="29" t="n">
        <v>12.29</v>
      </c>
    </row>
    <row r="31" customFormat="false" ht="15" hidden="false" customHeight="true" outlineLevel="0" collapsed="false">
      <c r="A31" s="3" t="s">
        <v>196</v>
      </c>
      <c r="B31" s="30" t="n">
        <f aca="false">B30/B29</f>
        <v>1.00030057413036</v>
      </c>
    </row>
    <row r="33" customFormat="false" ht="15" hidden="false" customHeight="true" outlineLevel="0" collapsed="false">
      <c r="A33" s="3" t="s">
        <v>197</v>
      </c>
      <c r="B33" s="3" t="s">
        <v>198</v>
      </c>
    </row>
    <row r="34" customFormat="false" ht="15" hidden="false" customHeight="true" outlineLevel="0" collapsed="false">
      <c r="A34" s="3" t="s">
        <v>199</v>
      </c>
      <c r="B34" s="28" t="n">
        <f aca="false">B29*1</f>
        <v>12.2863070539419</v>
      </c>
    </row>
    <row r="35" customFormat="false" ht="15" hidden="false" customHeight="true" outlineLevel="0" collapsed="false">
      <c r="A35" s="3" t="s">
        <v>200</v>
      </c>
      <c r="B35" s="28" t="n">
        <f aca="false">B29*1.2</f>
        <v>14.7435684647303</v>
      </c>
    </row>
    <row r="36" customFormat="false" ht="15" hidden="false" customHeight="true" outlineLevel="0" collapsed="false">
      <c r="A36" s="3" t="s">
        <v>201</v>
      </c>
      <c r="B36" s="28" t="n">
        <f aca="false">B29*1.5</f>
        <v>18.4294605809129</v>
      </c>
    </row>
    <row r="39" customFormat="false" ht="15" hidden="false" customHeight="true" outlineLevel="0" collapsed="false">
      <c r="A39" s="13" t="s">
        <v>202</v>
      </c>
    </row>
    <row r="40" customFormat="false" ht="15" hidden="false" customHeight="true" outlineLevel="0" collapsed="false">
      <c r="A40" s="3" t="s">
        <v>203</v>
      </c>
      <c r="B40" s="19" t="n">
        <v>206.4</v>
      </c>
      <c r="C40" s="3" t="s">
        <v>192</v>
      </c>
    </row>
    <row r="41" customFormat="false" ht="15" hidden="false" customHeight="true" outlineLevel="0" collapsed="false">
      <c r="A41" s="3" t="s">
        <v>204</v>
      </c>
      <c r="B41" s="9" t="n">
        <v>2790</v>
      </c>
      <c r="C41" s="3" t="s">
        <v>192</v>
      </c>
    </row>
    <row r="42" customFormat="false" ht="15" hidden="false" customHeight="true" outlineLevel="0" collapsed="false">
      <c r="A42" s="3" t="s">
        <v>205</v>
      </c>
      <c r="B42" s="31" t="n">
        <f aca="false">B41/B40</f>
        <v>13.5174418604651</v>
      </c>
    </row>
    <row r="44" customFormat="false" ht="15" hidden="false" customHeight="true" outlineLevel="0" collapsed="false">
      <c r="A44" s="3" t="s">
        <v>206</v>
      </c>
      <c r="B44" s="3" t="s">
        <v>207</v>
      </c>
    </row>
    <row r="45" customFormat="false" ht="15" hidden="false" customHeight="true" outlineLevel="0" collapsed="false">
      <c r="A45" s="3" t="s">
        <v>208</v>
      </c>
      <c r="B45" s="28" t="n">
        <f aca="false">(B40*12)/B28</f>
        <v>10.2771784232365</v>
      </c>
    </row>
    <row r="46" customFormat="false" ht="15" hidden="false" customHeight="true" outlineLevel="0" collapsed="false">
      <c r="A46" s="3" t="s">
        <v>209</v>
      </c>
      <c r="B46" s="28" t="n">
        <f aca="false">(B40*14)/B28</f>
        <v>11.9900414937759</v>
      </c>
    </row>
    <row r="47" customFormat="false" ht="15" hidden="false" customHeight="true" outlineLevel="0" collapsed="false">
      <c r="A47" s="3" t="s">
        <v>210</v>
      </c>
      <c r="B47" s="28" t="n">
        <f aca="false">(B40*16)/B28</f>
        <v>13.7029045643154</v>
      </c>
    </row>
    <row r="50" customFormat="false" ht="15" hidden="false" customHeight="true" outlineLevel="0" collapsed="false">
      <c r="A50" s="4" t="s">
        <v>211</v>
      </c>
    </row>
    <row r="51" customFormat="false" ht="15" hidden="false" customHeight="true" outlineLevel="0" collapsed="false">
      <c r="A51" s="3" t="s">
        <v>212</v>
      </c>
      <c r="B51" s="29" t="n">
        <v>12.46</v>
      </c>
    </row>
    <row r="52" customFormat="false" ht="15" hidden="false" customHeight="true" outlineLevel="0" collapsed="false">
      <c r="A52" s="3" t="s">
        <v>213</v>
      </c>
      <c r="B52" s="29" t="n">
        <v>9.6</v>
      </c>
    </row>
    <row r="53" customFormat="false" ht="15" hidden="false" customHeight="true" outlineLevel="0" collapsed="false">
      <c r="A53" s="3" t="s">
        <v>214</v>
      </c>
      <c r="B53" s="29" t="n">
        <v>15.12</v>
      </c>
    </row>
    <row r="54" customFormat="false" ht="15" hidden="false" customHeight="true" outlineLevel="0" collapsed="false">
      <c r="A54" s="3" t="s">
        <v>215</v>
      </c>
      <c r="B54" s="29" t="n">
        <v>12.29</v>
      </c>
    </row>
    <row r="55" customFormat="false" ht="15" hidden="false" customHeight="true" outlineLevel="0" collapsed="false">
      <c r="A55" s="3" t="s">
        <v>216</v>
      </c>
      <c r="B55" s="32" t="n">
        <f aca="false">(B51-B54)/B54</f>
        <v>0.013832384052075</v>
      </c>
    </row>
    <row r="58" customFormat="false" ht="15" hidden="false" customHeight="true" outlineLevel="0" collapsed="false">
      <c r="A58" s="4" t="s">
        <v>217</v>
      </c>
    </row>
    <row r="59" customFormat="false" ht="15" hidden="false" customHeight="true" outlineLevel="0" collapsed="false">
      <c r="A59" s="3" t="s">
        <v>215</v>
      </c>
      <c r="B59" s="3" t="s">
        <v>218</v>
      </c>
    </row>
    <row r="60" customFormat="false" ht="15" hidden="false" customHeight="true" outlineLevel="0" collapsed="false">
      <c r="A60" s="3" t="s">
        <v>219</v>
      </c>
      <c r="B60" s="3" t="s">
        <v>220</v>
      </c>
      <c r="C60" s="3" t="s">
        <v>221</v>
      </c>
    </row>
    <row r="61" customFormat="false" ht="15" hidden="false" customHeight="true" outlineLevel="0" collapsed="false">
      <c r="A61" s="3" t="s">
        <v>205</v>
      </c>
      <c r="B61" s="3" t="s">
        <v>222</v>
      </c>
      <c r="C61" s="3" t="s">
        <v>223</v>
      </c>
    </row>
    <row r="62" customFormat="false" ht="15" hidden="false" customHeight="true" outlineLevel="0" collapsed="false">
      <c r="A62" s="3" t="s">
        <v>224</v>
      </c>
      <c r="B62" s="3" t="s">
        <v>225</v>
      </c>
      <c r="C62" s="3" t="s">
        <v>226</v>
      </c>
    </row>
    <row r="63" customFormat="false" ht="15" hidden="false" customHeight="true" outlineLevel="0" collapsed="false">
      <c r="A63" s="3" t="s">
        <v>227</v>
      </c>
      <c r="B63" s="3" t="s">
        <v>228</v>
      </c>
      <c r="C63" s="3" t="s">
        <v>229</v>
      </c>
    </row>
    <row r="65" customFormat="false" ht="15" hidden="false" customHeight="true" outlineLevel="0" collapsed="false">
      <c r="A65" s="13" t="s">
        <v>230</v>
      </c>
      <c r="B65" s="33" t="s">
        <v>231</v>
      </c>
      <c r="C65" s="3" t="s">
        <v>232</v>
      </c>
    </row>
    <row r="66" customFormat="false" ht="15" hidden="false" customHeight="true" outlineLevel="0" collapsed="false">
      <c r="A66" s="13" t="s">
        <v>233</v>
      </c>
      <c r="B66" s="33" t="s">
        <v>234</v>
      </c>
      <c r="C66" s="3" t="s">
        <v>235</v>
      </c>
    </row>
    <row r="69" customFormat="false" ht="15" hidden="false" customHeight="true" outlineLevel="0" collapsed="false">
      <c r="A69" s="4" t="s">
        <v>236</v>
      </c>
    </row>
    <row r="71" customFormat="false" ht="15" hidden="false" customHeight="true" outlineLevel="0" collapsed="false">
      <c r="A71" s="3" t="s">
        <v>237</v>
      </c>
    </row>
    <row r="72" customFormat="false" ht="15" hidden="false" customHeight="true" outlineLevel="0" collapsed="false">
      <c r="A72" s="3" t="s">
        <v>238</v>
      </c>
    </row>
    <row r="73" customFormat="false" ht="15" hidden="false" customHeight="true" outlineLevel="0" collapsed="false">
      <c r="A73" s="34" t="s">
        <v>239</v>
      </c>
    </row>
    <row r="74" customFormat="false" ht="15" hidden="false" customHeight="true" outlineLevel="0" collapsed="false">
      <c r="A74" s="3" t="s">
        <v>240</v>
      </c>
    </row>
    <row r="76" customFormat="false" ht="15" hidden="false" customHeight="true" outlineLevel="0" collapsed="false">
      <c r="A76" s="13" t="s">
        <v>241</v>
      </c>
    </row>
    <row r="77" customFormat="false" ht="15" hidden="false" customHeight="true" outlineLevel="0" collapsed="false">
      <c r="A77" s="3" t="s">
        <v>242</v>
      </c>
    </row>
    <row r="78" customFormat="false" ht="15" hidden="false" customHeight="true" outlineLevel="0" collapsed="false">
      <c r="A78" s="3" t="s">
        <v>243</v>
      </c>
    </row>
    <row r="79" customFormat="false" ht="15" hidden="false" customHeight="true" outlineLevel="0" collapsed="false">
      <c r="A79" s="3" t="s">
        <v>244</v>
      </c>
    </row>
    <row r="81" customFormat="false" ht="15" hidden="false" customHeight="true" outlineLevel="0" collapsed="false">
      <c r="A81" s="13" t="s">
        <v>245</v>
      </c>
    </row>
    <row r="82" customFormat="false" ht="15" hidden="false" customHeight="true" outlineLevel="0" collapsed="false">
      <c r="A82" s="3" t="s">
        <v>246</v>
      </c>
    </row>
    <row r="83" customFormat="false" ht="15" hidden="false" customHeight="true" outlineLevel="0" collapsed="false">
      <c r="A83" s="3" t="s">
        <v>247</v>
      </c>
    </row>
    <row r="84" customFormat="false" ht="15" hidden="false" customHeight="true" outlineLevel="0" collapsed="false">
      <c r="A84" s="3" t="s">
        <v>248</v>
      </c>
    </row>
    <row r="86" customFormat="false" ht="17.25" hidden="false" customHeight="true" outlineLevel="0" collapsed="false">
      <c r="A86" s="2" t="s">
        <v>249</v>
      </c>
    </row>
    <row r="88" customFormat="false" ht="15" hidden="false" customHeight="true" outlineLevel="0" collapsed="false">
      <c r="A88" s="4" t="s">
        <v>250</v>
      </c>
    </row>
    <row r="89" customFormat="false" ht="15" hidden="false" customHeight="true" outlineLevel="0" collapsed="false">
      <c r="A89" s="3" t="s">
        <v>251</v>
      </c>
      <c r="B89" s="29" t="n">
        <v>12.29</v>
      </c>
      <c r="C89" s="3" t="s">
        <v>252</v>
      </c>
    </row>
    <row r="90" customFormat="false" ht="15" hidden="false" customHeight="true" outlineLevel="0" collapsed="false">
      <c r="A90" s="3" t="s">
        <v>253</v>
      </c>
      <c r="B90" s="15" t="n">
        <v>0.12</v>
      </c>
      <c r="C90" s="3" t="s">
        <v>254</v>
      </c>
    </row>
    <row r="91" customFormat="false" ht="15" hidden="false" customHeight="true" outlineLevel="0" collapsed="false">
      <c r="A91" s="3" t="s">
        <v>255</v>
      </c>
      <c r="B91" s="29" t="n">
        <v>0.86</v>
      </c>
      <c r="C91" s="3" t="s">
        <v>252</v>
      </c>
    </row>
    <row r="92" customFormat="false" ht="15" hidden="false" customHeight="true" outlineLevel="0" collapsed="false">
      <c r="A92" s="3" t="s">
        <v>256</v>
      </c>
      <c r="B92" s="15" t="n">
        <v>0.1</v>
      </c>
      <c r="C92" s="3" t="s">
        <v>257</v>
      </c>
    </row>
    <row r="93" customFormat="false" ht="15" hidden="false" customHeight="true" outlineLevel="0" collapsed="false">
      <c r="A93" s="3" t="s">
        <v>258</v>
      </c>
      <c r="B93" s="29" t="n">
        <v>0.26</v>
      </c>
      <c r="C93" s="3" t="s">
        <v>259</v>
      </c>
    </row>
    <row r="94" customFormat="false" ht="15" hidden="false" customHeight="true" outlineLevel="0" collapsed="false">
      <c r="A94" s="3" t="s">
        <v>260</v>
      </c>
      <c r="B94" s="15" t="n">
        <v>0.15</v>
      </c>
      <c r="C94" s="3" t="s">
        <v>252</v>
      </c>
    </row>
    <row r="95" customFormat="false" ht="15" hidden="false" customHeight="true" outlineLevel="0" collapsed="false">
      <c r="A95" s="3" t="s">
        <v>261</v>
      </c>
      <c r="B95" s="5" t="n">
        <v>5</v>
      </c>
    </row>
    <row r="97" customFormat="false" ht="15" hidden="false" customHeight="true" outlineLevel="0" collapsed="false">
      <c r="A97" s="4" t="s">
        <v>262</v>
      </c>
    </row>
    <row r="98" customFormat="false" ht="15" hidden="false" customHeight="true" outlineLevel="0" collapsed="false">
      <c r="A98" s="3" t="s">
        <v>263</v>
      </c>
      <c r="B98" s="28" t="n">
        <f aca="false">B89*(1+B90)^B95</f>
        <v>21.659179286528</v>
      </c>
    </row>
    <row r="99" customFormat="false" ht="15" hidden="false" customHeight="true" outlineLevel="0" collapsed="false">
      <c r="A99" s="3" t="s">
        <v>264</v>
      </c>
      <c r="B99" s="28" t="n">
        <f aca="false">B91*(1+B92)^B95</f>
        <v>1.3850386</v>
      </c>
    </row>
    <row r="100" customFormat="false" ht="15" hidden="false" customHeight="true" outlineLevel="0" collapsed="false">
      <c r="A100" s="3" t="s">
        <v>265</v>
      </c>
      <c r="B100" s="28" t="n">
        <f aca="false">B93*B95</f>
        <v>1.3</v>
      </c>
    </row>
    <row r="102" customFormat="false" ht="15" hidden="false" customHeight="true" outlineLevel="0" collapsed="false">
      <c r="A102" s="4" t="s">
        <v>266</v>
      </c>
    </row>
    <row r="103" customFormat="false" ht="15" hidden="false" customHeight="true" outlineLevel="0" collapsed="false">
      <c r="A103" s="3" t="s">
        <v>267</v>
      </c>
      <c r="B103" s="28" t="n">
        <f aca="false">B98*1</f>
        <v>21.659179286528</v>
      </c>
    </row>
    <row r="104" customFormat="false" ht="15" hidden="false" customHeight="true" outlineLevel="0" collapsed="false">
      <c r="A104" s="3" t="s">
        <v>268</v>
      </c>
      <c r="B104" s="28" t="n">
        <f aca="false">B98*1.1</f>
        <v>23.8250972151808</v>
      </c>
    </row>
    <row r="105" customFormat="false" ht="15" hidden="false" customHeight="true" outlineLevel="0" collapsed="false">
      <c r="A105" s="3" t="s">
        <v>269</v>
      </c>
      <c r="B105" s="28" t="n">
        <f aca="false">B98*1.3</f>
        <v>28.1569330724864</v>
      </c>
    </row>
    <row r="106" customFormat="false" ht="15" hidden="false" customHeight="true" outlineLevel="0" collapsed="false">
      <c r="A106" s="3" t="s">
        <v>270</v>
      </c>
      <c r="B106" s="28" t="n">
        <f aca="false">B99*12</f>
        <v>16.6204632</v>
      </c>
    </row>
    <row r="107" customFormat="false" ht="15" hidden="false" customHeight="true" outlineLevel="0" collapsed="false">
      <c r="A107" s="3" t="s">
        <v>271</v>
      </c>
      <c r="B107" s="28" t="n">
        <f aca="false">B99*14</f>
        <v>19.3905404</v>
      </c>
    </row>
    <row r="110" customFormat="false" ht="15" hidden="false" customHeight="true" outlineLevel="0" collapsed="false">
      <c r="A110" s="4" t="s">
        <v>272</v>
      </c>
    </row>
    <row r="111" customFormat="false" ht="15" hidden="false" customHeight="true" outlineLevel="0" collapsed="false">
      <c r="A111" s="26" t="s">
        <v>273</v>
      </c>
    </row>
    <row r="113" customFormat="false" ht="15" hidden="false" customHeight="true" outlineLevel="0" collapsed="false">
      <c r="A113" s="35" t="s">
        <v>274</v>
      </c>
      <c r="B113" s="35" t="s">
        <v>275</v>
      </c>
      <c r="C113" s="35" t="s">
        <v>276</v>
      </c>
      <c r="D113" s="35" t="s">
        <v>277</v>
      </c>
      <c r="E113" s="35" t="s">
        <v>278</v>
      </c>
    </row>
    <row r="114" customFormat="false" ht="15" hidden="false" customHeight="true" outlineLevel="0" collapsed="false">
      <c r="A114" s="3" t="s">
        <v>279</v>
      </c>
      <c r="B114" s="28" t="n">
        <f aca="false">B103</f>
        <v>21.659179286528</v>
      </c>
      <c r="C114" s="28" t="n">
        <f aca="false">B103+B100</f>
        <v>22.959179286528</v>
      </c>
      <c r="D114" s="36" t="n">
        <f aca="false">C114/((1+B94)^B95)</f>
        <v>11.4147698028041</v>
      </c>
      <c r="E114" s="37" t="n">
        <f aca="false">(D114-11.57)/11.57</f>
        <v>-0.0134166116850375</v>
      </c>
    </row>
    <row r="115" customFormat="false" ht="15" hidden="false" customHeight="true" outlineLevel="0" collapsed="false">
      <c r="A115" s="3" t="s">
        <v>280</v>
      </c>
      <c r="B115" s="28" t="n">
        <f aca="false">B104</f>
        <v>23.8250972151808</v>
      </c>
      <c r="C115" s="28" t="n">
        <f aca="false">B104+B100</f>
        <v>25.1250972151808</v>
      </c>
      <c r="D115" s="36" t="n">
        <f aca="false">C115/((1+B94)^B95)</f>
        <v>12.4916138074958</v>
      </c>
      <c r="E115" s="37" t="n">
        <f aca="false">(D115-11.57)/11.57</f>
        <v>0.0796554716936691</v>
      </c>
    </row>
    <row r="116" customFormat="false" ht="15" hidden="false" customHeight="true" outlineLevel="0" collapsed="false">
      <c r="A116" s="3" t="s">
        <v>281</v>
      </c>
      <c r="B116" s="28" t="n">
        <f aca="false">B105</f>
        <v>28.1569330724864</v>
      </c>
      <c r="C116" s="28" t="n">
        <f aca="false">B105+B100</f>
        <v>29.4569330724864</v>
      </c>
      <c r="D116" s="36" t="n">
        <f aca="false">C116/((1+B94)^B95)</f>
        <v>14.645301816879</v>
      </c>
      <c r="E116" s="37" t="n">
        <f aca="false">(D116-11.57)/11.57</f>
        <v>0.265799638451082</v>
      </c>
    </row>
    <row r="117" customFormat="false" ht="15" hidden="false" customHeight="true" outlineLevel="0" collapsed="false">
      <c r="A117" s="3" t="s">
        <v>282</v>
      </c>
      <c r="B117" s="28" t="n">
        <f aca="false">B106</f>
        <v>16.6204632</v>
      </c>
      <c r="C117" s="28" t="n">
        <f aca="false">B106+B100</f>
        <v>17.9204632</v>
      </c>
      <c r="D117" s="36" t="n">
        <f aca="false">C117/((1+B94)^B95)</f>
        <v>8.90963738880915</v>
      </c>
      <c r="E117" s="37" t="n">
        <f aca="false">(D117-11.57)/11.57</f>
        <v>-0.229936267172934</v>
      </c>
    </row>
    <row r="118" customFormat="false" ht="15" hidden="false" customHeight="true" outlineLevel="0" collapsed="false">
      <c r="A118" s="3" t="s">
        <v>283</v>
      </c>
      <c r="B118" s="28" t="n">
        <f aca="false">B107</f>
        <v>19.3905404</v>
      </c>
      <c r="C118" s="28" t="n">
        <f aca="false">B107+B100</f>
        <v>20.6905404</v>
      </c>
      <c r="D118" s="36" t="n">
        <f aca="false">C118/((1+B94)^B95)</f>
        <v>10.2868553276294</v>
      </c>
      <c r="E118" s="37" t="n">
        <f aca="false">(D118-11.57)/11.57</f>
        <v>-0.110902737456407</v>
      </c>
    </row>
    <row r="121" customFormat="false" ht="15" hidden="false" customHeight="true" outlineLevel="0" collapsed="false">
      <c r="A121" s="4" t="s">
        <v>284</v>
      </c>
    </row>
    <row r="122" customFormat="false" ht="15" hidden="false" customHeight="true" outlineLevel="0" collapsed="false">
      <c r="A122" s="3" t="s">
        <v>215</v>
      </c>
      <c r="B122" s="29" t="n">
        <v>12.29</v>
      </c>
    </row>
    <row r="123" customFormat="false" ht="15" hidden="false" customHeight="true" outlineLevel="0" collapsed="false">
      <c r="A123" s="3" t="s">
        <v>285</v>
      </c>
      <c r="B123" s="36" t="n">
        <f aca="false">D115</f>
        <v>12.4916138074958</v>
      </c>
    </row>
    <row r="124" customFormat="false" ht="15" hidden="false" customHeight="true" outlineLevel="0" collapsed="false">
      <c r="A124" s="3" t="s">
        <v>286</v>
      </c>
      <c r="B124" s="32" t="n">
        <f aca="false">(B122-B123)/B122</f>
        <v>-0.0164047036204843</v>
      </c>
    </row>
    <row r="126" customFormat="false" ht="15" hidden="false" customHeight="true" outlineLevel="0" collapsed="false">
      <c r="A126" s="13" t="s">
        <v>287</v>
      </c>
    </row>
    <row r="127" customFormat="false" ht="15" hidden="false" customHeight="true" outlineLevel="0" collapsed="false">
      <c r="A127" s="13" t="s">
        <v>288</v>
      </c>
    </row>
    <row r="128" customFormat="false" ht="15" hidden="false" customHeight="true" outlineLevel="0" collapsed="false">
      <c r="A128" s="23" t="s">
        <v>289</v>
      </c>
    </row>
    <row r="129" customFormat="false" ht="15" hidden="false" customHeight="true" outlineLevel="0" collapsed="false">
      <c r="A129" s="3" t="s">
        <v>290</v>
      </c>
    </row>
    <row r="130" customFormat="false" ht="15" hidden="false" customHeight="true" outlineLevel="0" collapsed="false">
      <c r="A130" s="3" t="s">
        <v>291</v>
      </c>
    </row>
    <row r="131" customFormat="false" ht="15" hidden="false" customHeight="true" outlineLevel="0" collapsed="false">
      <c r="A131" s="23" t="s">
        <v>292</v>
      </c>
    </row>
    <row r="132" customFormat="false" ht="15" hidden="false" customHeight="true" outlineLevel="0" collapsed="false">
      <c r="A132" s="3" t="s">
        <v>293</v>
      </c>
    </row>
    <row r="135" customFormat="false" ht="15" hidden="false" customHeight="true" outlineLevel="0" collapsed="false">
      <c r="A135" s="4" t="s">
        <v>294</v>
      </c>
    </row>
    <row r="136" customFormat="false" ht="15" hidden="false" customHeight="true" outlineLevel="0" collapsed="false">
      <c r="A136" s="13"/>
      <c r="B136" s="13" t="s">
        <v>295</v>
      </c>
      <c r="C136" s="13" t="s">
        <v>92</v>
      </c>
      <c r="D136" s="13" t="s">
        <v>296</v>
      </c>
    </row>
    <row r="137" customFormat="false" ht="15" hidden="false" customHeight="true" outlineLevel="0" collapsed="false">
      <c r="A137" s="3" t="s">
        <v>116</v>
      </c>
      <c r="B137" s="9" t="n">
        <v>292</v>
      </c>
      <c r="C137" s="9" t="n">
        <v>2970</v>
      </c>
      <c r="D137" s="38" t="s">
        <v>297</v>
      </c>
    </row>
    <row r="138" customFormat="false" ht="15" hidden="false" customHeight="true" outlineLevel="0" collapsed="false">
      <c r="D138" s="39"/>
    </row>
    <row r="139" customFormat="false" ht="15" hidden="false" customHeight="true" outlineLevel="0" collapsed="false">
      <c r="A139" s="38" t="s">
        <v>298</v>
      </c>
    </row>
    <row r="140" customFormat="false" ht="15" hidden="false" customHeight="true" outlineLevel="0" collapsed="false">
      <c r="A140" s="3" t="s">
        <v>299</v>
      </c>
      <c r="B140" s="16"/>
      <c r="C140" s="16"/>
    </row>
    <row r="141" customFormat="false" ht="15" hidden="false" customHeight="true" outlineLevel="0" collapsed="false">
      <c r="D141" s="39"/>
    </row>
    <row r="142" customFormat="false" ht="15" hidden="false" customHeight="true" outlineLevel="0" collapsed="false">
      <c r="A142" s="3" t="s">
        <v>300</v>
      </c>
    </row>
    <row r="143" customFormat="false" ht="15" hidden="false" customHeight="true" outlineLevel="0" collapsed="false">
      <c r="A143" s="26" t="s">
        <v>301</v>
      </c>
    </row>
    <row r="144" customFormat="false" ht="15" hidden="false" customHeight="true" outlineLevel="0" collapsed="false">
      <c r="A144" s="3" t="s">
        <v>302</v>
      </c>
    </row>
    <row r="145" customFormat="false" ht="15" hidden="false" customHeight="true" outlineLevel="0" collapsed="false">
      <c r="A145" s="4" t="s">
        <v>303</v>
      </c>
    </row>
    <row r="147" customFormat="false" ht="15" hidden="false" customHeight="true" outlineLevel="0" collapsed="false">
      <c r="A147" s="3" t="s">
        <v>304</v>
      </c>
    </row>
    <row r="149" customFormat="false" ht="15" hidden="false" customHeight="true" outlineLevel="0" collapsed="false">
      <c r="A149" s="33" t="s">
        <v>305</v>
      </c>
    </row>
    <row r="150" customFormat="false" ht="15" hidden="false" customHeight="true" outlineLevel="0" collapsed="false">
      <c r="A150" s="33" t="s">
        <v>306</v>
      </c>
    </row>
    <row r="151" customFormat="false" ht="15" hidden="false" customHeight="true" outlineLevel="0" collapsed="false">
      <c r="A151" s="33" t="s">
        <v>307</v>
      </c>
    </row>
    <row r="152" customFormat="false" ht="15" hidden="false" customHeight="true" outlineLevel="0" collapsed="false">
      <c r="A152" s="33" t="s">
        <v>308</v>
      </c>
    </row>
    <row r="154" customFormat="false" ht="15" hidden="false" customHeight="true" outlineLevel="0" collapsed="false">
      <c r="A154" s="23" t="s">
        <v>309</v>
      </c>
    </row>
    <row r="156" customFormat="false" ht="15" hidden="false" customHeight="true" outlineLevel="0" collapsed="false">
      <c r="A156" s="13" t="s">
        <v>310</v>
      </c>
    </row>
    <row r="157" customFormat="false" ht="15" hidden="false" customHeight="true" outlineLevel="0" collapsed="false">
      <c r="A157" s="3" t="s">
        <v>311</v>
      </c>
    </row>
    <row r="160" customFormat="false" ht="15" hidden="false" customHeight="true" outlineLevel="0" collapsed="false">
      <c r="A160" s="3" t="s">
        <v>312</v>
      </c>
    </row>
    <row r="161" customFormat="false" ht="17.25" hidden="false" customHeight="true" outlineLevel="0" collapsed="false">
      <c r="A161" s="40" t="s">
        <v>313</v>
      </c>
    </row>
    <row r="163" customFormat="false" ht="15" hidden="false" customHeight="true" outlineLevel="0" collapsed="false">
      <c r="A163" s="41" t="s">
        <v>314</v>
      </c>
    </row>
    <row r="164" customFormat="false" ht="15" hidden="false" customHeight="true" outlineLevel="0" collapsed="false">
      <c r="A164" s="3" t="s">
        <v>315</v>
      </c>
    </row>
    <row r="165" customFormat="false" ht="15" hidden="false" customHeight="true" outlineLevel="0" collapsed="false">
      <c r="A165" s="3" t="s">
        <v>316</v>
      </c>
    </row>
    <row r="166" customFormat="false" ht="15" hidden="false" customHeight="true" outlineLevel="0" collapsed="false">
      <c r="A166" s="3" t="s">
        <v>317</v>
      </c>
    </row>
    <row r="167" customFormat="false" ht="15" hidden="false" customHeight="true" outlineLevel="0" collapsed="false">
      <c r="A167" s="3" t="s">
        <v>318</v>
      </c>
    </row>
    <row r="168" customFormat="false" ht="15" hidden="false" customHeight="true" outlineLevel="0" collapsed="false">
      <c r="A168" s="41" t="s">
        <v>319</v>
      </c>
    </row>
    <row r="169" customFormat="false" ht="15" hidden="false" customHeight="true" outlineLevel="0" collapsed="false">
      <c r="A169" s="41"/>
    </row>
    <row r="170" customFormat="false" ht="15" hidden="false" customHeight="true" outlineLevel="0" collapsed="false">
      <c r="A170" s="41" t="s">
        <v>320</v>
      </c>
    </row>
    <row r="171" customFormat="false" ht="15" hidden="false" customHeight="true" outlineLevel="0" collapsed="false">
      <c r="A171" s="3" t="s">
        <v>321</v>
      </c>
    </row>
    <row r="172" customFormat="false" ht="15" hidden="false" customHeight="true" outlineLevel="0" collapsed="false">
      <c r="A172" s="41"/>
    </row>
    <row r="173" customFormat="false" ht="15" hidden="false" customHeight="true" outlineLevel="0" collapsed="false">
      <c r="A173" s="42" t="s">
        <v>322</v>
      </c>
    </row>
    <row r="174" customFormat="false" ht="15" hidden="false" customHeight="true" outlineLevel="0" collapsed="false"/>
    <row r="175" customFormat="false" ht="15" hidden="false" customHeight="true" outlineLevel="0" collapsed="false">
      <c r="A175" s="13" t="s">
        <v>323</v>
      </c>
    </row>
    <row r="176" customFormat="false" ht="15" hidden="false" customHeight="true" outlineLevel="0" collapsed="false">
      <c r="A176" s="3" t="s">
        <v>324</v>
      </c>
    </row>
    <row r="177" customFormat="false" ht="15" hidden="false" customHeight="true" outlineLevel="0" collapsed="false">
      <c r="A177" s="3" t="s">
        <v>325</v>
      </c>
    </row>
    <row r="178" customFormat="false" ht="15" hidden="false" customHeight="true" outlineLevel="0" collapsed="false">
      <c r="A178" s="13" t="s">
        <v>326</v>
      </c>
    </row>
    <row r="179" customFormat="false" ht="15" hidden="false" customHeight="true" outlineLevel="0" collapsed="false">
      <c r="A179" s="41" t="s">
        <v>327</v>
      </c>
    </row>
    <row r="180" customFormat="false" ht="15" hidden="false" customHeight="true" outlineLevel="0" collapsed="false">
      <c r="A180" s="3" t="s">
        <v>328</v>
      </c>
    </row>
    <row r="181" customFormat="false" ht="15" hidden="false" customHeight="true" outlineLevel="0" collapsed="false">
      <c r="A181" s="41" t="s">
        <v>329</v>
      </c>
    </row>
    <row r="182" customFormat="false" ht="15" hidden="false" customHeight="true" outlineLevel="0" collapsed="false">
      <c r="A182" s="41"/>
    </row>
    <row r="183" customFormat="false" ht="15" hidden="false" customHeight="true" outlineLevel="0" collapsed="false">
      <c r="A183" s="41" t="s">
        <v>330</v>
      </c>
    </row>
    <row r="184" customFormat="false" ht="15" hidden="false" customHeight="true" outlineLevel="0" collapsed="false">
      <c r="A184" s="38" t="s">
        <v>331</v>
      </c>
    </row>
    <row r="185" customFormat="false" ht="15" hidden="false" customHeight="true" outlineLevel="0" collapsed="false">
      <c r="A185" s="38" t="s">
        <v>332</v>
      </c>
    </row>
    <row r="186" customFormat="false" ht="15" hidden="false" customHeight="true" outlineLevel="0" collapsed="false">
      <c r="A186" s="5" t="s">
        <v>333</v>
      </c>
    </row>
    <row r="187" customFormat="false" ht="15" hidden="false" customHeight="true" outlineLevel="0" collapsed="false">
      <c r="A187" s="38" t="s">
        <v>334</v>
      </c>
    </row>
    <row r="188" customFormat="false" ht="15" hidden="false" customHeight="true" outlineLevel="0" collapsed="false">
      <c r="A188" s="41"/>
    </row>
    <row r="189" customFormat="false" ht="15" hidden="false" customHeight="false" outlineLevel="0" collapsed="false">
      <c r="A189" s="42" t="s">
        <v>335</v>
      </c>
    </row>
    <row r="190" customFormat="false" ht="15" hidden="false" customHeight="true" outlineLevel="0" collapsed="false"/>
    <row r="191" customFormat="false" ht="15" hidden="false" customHeight="true" outlineLevel="0" collapsed="false">
      <c r="A191" s="3" t="s">
        <v>336</v>
      </c>
    </row>
    <row r="192" customFormat="false" ht="15" hidden="false" customHeight="true" outlineLevel="0" collapsed="false">
      <c r="A192" s="38"/>
    </row>
    <row r="193" customFormat="false" ht="15" hidden="false" customHeight="true" outlineLevel="0" collapsed="false">
      <c r="A193" s="38" t="s">
        <v>337</v>
      </c>
    </row>
    <row r="194" customFormat="false" ht="15" hidden="false" customHeight="true" outlineLevel="0" collapsed="false">
      <c r="A194" s="38" t="s">
        <v>338</v>
      </c>
    </row>
    <row r="195" customFormat="false" ht="15" hidden="false" customHeight="true" outlineLevel="0" collapsed="false">
      <c r="A195" s="38" t="s">
        <v>339</v>
      </c>
    </row>
    <row r="196" customFormat="false" ht="15" hidden="false" customHeight="false" outlineLevel="0" collapsed="false">
      <c r="A196" s="43" t="s">
        <v>307</v>
      </c>
    </row>
    <row r="197" customFormat="false" ht="15" hidden="false" customHeight="true" outlineLevel="0" collapsed="false">
      <c r="A197" s="44"/>
    </row>
    <row r="198" customFormat="false" ht="15" hidden="false" customHeight="false" outlineLevel="0" collapsed="false">
      <c r="A198" s="45" t="s">
        <v>340</v>
      </c>
    </row>
    <row r="199" customFormat="false" ht="15" hidden="false" customHeight="true" outlineLevel="0" collapsed="false">
      <c r="A199" s="38"/>
    </row>
    <row r="200" customFormat="false" ht="15" hidden="false" customHeight="true" outlineLevel="0" collapsed="false">
      <c r="A200" s="38" t="s">
        <v>341</v>
      </c>
    </row>
    <row r="201" customFormat="false" ht="15" hidden="false" customHeight="false" outlineLevel="0" collapsed="false">
      <c r="A201" s="3" t="s">
        <v>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30"/>
    <col collapsed="false" customWidth="true" hidden="false" outlineLevel="0" max="8" min="2" style="3" width="14"/>
  </cols>
  <sheetData>
    <row r="1" customFormat="false" ht="17.25" hidden="false" customHeight="true" outlineLevel="0" collapsed="false">
      <c r="A1" s="46" t="s">
        <v>343</v>
      </c>
    </row>
    <row r="2" customFormat="false" ht="15" hidden="false" customHeight="true" outlineLevel="0" collapsed="false">
      <c r="A2" s="34" t="s">
        <v>344</v>
      </c>
    </row>
    <row r="3" customFormat="false" ht="15" hidden="false" customHeight="true" outlineLevel="0" collapsed="false">
      <c r="A3" s="18" t="s">
        <v>345</v>
      </c>
      <c r="B3" s="18" t="s">
        <v>346</v>
      </c>
      <c r="C3" s="18" t="s">
        <v>347</v>
      </c>
      <c r="D3" s="18" t="s">
        <v>348</v>
      </c>
      <c r="E3" s="18" t="s">
        <v>349</v>
      </c>
      <c r="F3" s="18" t="s">
        <v>350</v>
      </c>
      <c r="G3" s="18" t="s">
        <v>351</v>
      </c>
      <c r="H3" s="18" t="s">
        <v>352</v>
      </c>
    </row>
    <row r="4" customFormat="false" ht="15" hidden="false" customHeight="true" outlineLevel="0" collapsed="false">
      <c r="A4" s="3" t="s">
        <v>353</v>
      </c>
      <c r="B4" s="3" t="n">
        <v>2024</v>
      </c>
      <c r="C4" s="3" t="n">
        <v>2025</v>
      </c>
      <c r="D4" s="3" t="n">
        <v>2026</v>
      </c>
      <c r="E4" s="3" t="n">
        <v>2027</v>
      </c>
      <c r="F4" s="3" t="n">
        <v>2028</v>
      </c>
      <c r="G4" s="3" t="n">
        <v>2029</v>
      </c>
      <c r="H4" s="3" t="s">
        <v>352</v>
      </c>
    </row>
    <row r="6" customFormat="false" ht="15" hidden="false" customHeight="true" outlineLevel="0" collapsed="false">
      <c r="A6" s="41" t="s">
        <v>354</v>
      </c>
    </row>
    <row r="7" customFormat="false" ht="15" hidden="false" customHeight="true" outlineLevel="0" collapsed="false">
      <c r="A7" s="3" t="s">
        <v>355</v>
      </c>
      <c r="B7" s="5" t="n">
        <v>319.9</v>
      </c>
      <c r="C7" s="47" t="n">
        <f aca="false">B7*(1+Assumptions!B22)</f>
        <v>358.288</v>
      </c>
      <c r="D7" s="47" t="n">
        <f aca="false">C7*(1+Assumptions!B23)</f>
        <v>401.28256</v>
      </c>
      <c r="E7" s="47" t="n">
        <f aca="false">D7*(1+Assumptions!B24)</f>
        <v>445.4236416</v>
      </c>
      <c r="F7" s="47" t="n">
        <f aca="false">E7*(1+Assumptions!B25)</f>
        <v>489.96600576</v>
      </c>
      <c r="G7" s="47" t="n">
        <f aca="false">F7*(1+Assumptions!B26)</f>
        <v>534.0629462784</v>
      </c>
      <c r="H7" s="47" t="n">
        <f aca="false">G7*(1+Assumptions!B27)</f>
        <v>555.425464129536</v>
      </c>
    </row>
    <row r="8" customFormat="false" ht="15" hidden="false" customHeight="true" outlineLevel="0" collapsed="false">
      <c r="A8" s="3" t="s">
        <v>356</v>
      </c>
      <c r="C8" s="20" t="n">
        <f aca="false">Assumptions!B22</f>
        <v>0.12</v>
      </c>
      <c r="D8" s="20" t="n">
        <f aca="false">Assumptions!B23</f>
        <v>0.12</v>
      </c>
      <c r="E8" s="20" t="n">
        <f aca="false">Assumptions!B24</f>
        <v>0.11</v>
      </c>
      <c r="F8" s="20" t="n">
        <f aca="false">Assumptions!B25</f>
        <v>0.1</v>
      </c>
      <c r="G8" s="20" t="n">
        <f aca="false">Assumptions!B26</f>
        <v>0.09</v>
      </c>
      <c r="H8" s="20" t="n">
        <f aca="false">Assumptions!B27</f>
        <v>0.04</v>
      </c>
    </row>
    <row r="9" customFormat="false" ht="15" hidden="false" customHeight="true" outlineLevel="0" collapsed="false"/>
    <row r="10" customFormat="false" ht="15" hidden="false" customHeight="true" outlineLevel="0" collapsed="false">
      <c r="A10" s="41" t="s">
        <v>357</v>
      </c>
    </row>
    <row r="11" customFormat="false" ht="15" hidden="false" customHeight="true" outlineLevel="0" collapsed="false">
      <c r="A11" s="3" t="s">
        <v>358</v>
      </c>
      <c r="B11" s="15" t="n">
        <v>0.645</v>
      </c>
      <c r="C11" s="20" t="n">
        <f aca="false">B11+0.005</f>
        <v>0.65</v>
      </c>
      <c r="D11" s="20" t="n">
        <f aca="false">C11+0.005</f>
        <v>0.655</v>
      </c>
      <c r="E11" s="20" t="n">
        <f aca="false">D11+0.005</f>
        <v>0.66</v>
      </c>
      <c r="F11" s="20" t="n">
        <f aca="false">E11+0.005</f>
        <v>0.665</v>
      </c>
      <c r="G11" s="20" t="n">
        <f aca="false">F11+0.005</f>
        <v>0.67</v>
      </c>
      <c r="H11" s="20" t="n">
        <f aca="false">G11</f>
        <v>0.67</v>
      </c>
    </row>
    <row r="12" customFormat="false" ht="15" hidden="false" customHeight="true" outlineLevel="0" collapsed="false">
      <c r="A12" s="3" t="s">
        <v>114</v>
      </c>
      <c r="B12" s="19" t="n">
        <v>206.4</v>
      </c>
      <c r="C12" s="47" t="n">
        <f aca="false">C7*C11</f>
        <v>232.8872</v>
      </c>
      <c r="D12" s="47" t="n">
        <f aca="false">D7*D11</f>
        <v>262.8400768</v>
      </c>
      <c r="E12" s="47" t="n">
        <f aca="false">E7*E11</f>
        <v>293.979603456</v>
      </c>
      <c r="F12" s="47" t="n">
        <f aca="false">F7*F11</f>
        <v>325.8273938304</v>
      </c>
      <c r="G12" s="47" t="n">
        <f aca="false">G7*G11</f>
        <v>357.822174006528</v>
      </c>
    </row>
    <row r="13" customFormat="false" ht="15" hidden="false" customHeight="true" outlineLevel="0" collapsed="false"/>
    <row r="14" customFormat="false" ht="15" hidden="false" customHeight="true" outlineLevel="0" collapsed="false">
      <c r="A14" s="41" t="s">
        <v>359</v>
      </c>
    </row>
    <row r="15" customFormat="false" ht="15" hidden="false" customHeight="true" outlineLevel="0" collapsed="false">
      <c r="A15" s="3" t="s">
        <v>45</v>
      </c>
      <c r="C15" s="20" t="n">
        <f aca="false">Assumptions!B20</f>
        <v>0.095</v>
      </c>
      <c r="D15" s="20" t="n">
        <f aca="false">C15</f>
        <v>0.095</v>
      </c>
      <c r="E15" s="20" t="n">
        <f aca="false">D15</f>
        <v>0.095</v>
      </c>
      <c r="F15" s="20" t="n">
        <f aca="false">E15</f>
        <v>0.095</v>
      </c>
      <c r="G15" s="20" t="n">
        <f aca="false">F15</f>
        <v>0.095</v>
      </c>
    </row>
    <row r="16" customFormat="false" ht="15" hidden="false" customHeight="true" outlineLevel="0" collapsed="false">
      <c r="A16" s="3" t="s">
        <v>360</v>
      </c>
      <c r="C16" s="3" t="n">
        <v>1</v>
      </c>
      <c r="D16" s="3" t="n">
        <v>2</v>
      </c>
      <c r="E16" s="3" t="n">
        <v>3</v>
      </c>
      <c r="F16" s="3" t="n">
        <v>4</v>
      </c>
      <c r="G16" s="3" t="n">
        <v>5</v>
      </c>
    </row>
    <row r="17" customFormat="false" ht="15" hidden="false" customHeight="true" outlineLevel="0" collapsed="false">
      <c r="A17" s="3" t="s">
        <v>361</v>
      </c>
      <c r="C17" s="48" t="n">
        <f aca="false">1/(1+C15)^C16</f>
        <v>0.91324200913242</v>
      </c>
      <c r="D17" s="48" t="n">
        <f aca="false">1/(1+D15)^D16</f>
        <v>0.834010967244219</v>
      </c>
      <c r="E17" s="48" t="n">
        <f aca="false">1/(1+E15)^E16</f>
        <v>0.761653851364584</v>
      </c>
      <c r="F17" s="48" t="n">
        <f aca="false">1/(1+F15)^F16</f>
        <v>0.695574293483638</v>
      </c>
      <c r="G17" s="48" t="n">
        <f aca="false">1/(1+G15)^G16</f>
        <v>0.635227665281862</v>
      </c>
    </row>
    <row r="18" customFormat="false" ht="15" hidden="false" customHeight="true" outlineLevel="0" collapsed="false">
      <c r="A18" s="3" t="s">
        <v>362</v>
      </c>
      <c r="C18" s="47" t="n">
        <f aca="false">C12*C17</f>
        <v>212.682374429224</v>
      </c>
      <c r="D18" s="47" t="n">
        <f aca="false">D12*D17</f>
        <v>219.211506682513</v>
      </c>
      <c r="E18" s="47" t="n">
        <f aca="false">E12*E17</f>
        <v>223.910697194896</v>
      </c>
      <c r="F18" s="47" t="n">
        <f aca="false">F12*F17</f>
        <v>226.637159261196</v>
      </c>
      <c r="G18" s="47" t="n">
        <f aca="false">G12*G17</f>
        <v>227.298544180247</v>
      </c>
    </row>
    <row r="19" customFormat="false" ht="15" hidden="false" customHeight="true" outlineLevel="0" collapsed="false"/>
    <row r="20" customFormat="false" ht="15" hidden="false" customHeight="true" outlineLevel="0" collapsed="false">
      <c r="A20" s="41" t="s">
        <v>363</v>
      </c>
    </row>
    <row r="21" customFormat="false" ht="15" hidden="false" customHeight="true" outlineLevel="0" collapsed="false">
      <c r="A21" s="3" t="s">
        <v>364</v>
      </c>
      <c r="H21" s="47" t="n">
        <f aca="false">H7*H11</f>
        <v>372.135060966789</v>
      </c>
    </row>
    <row r="22" customFormat="false" ht="15" hidden="false" customHeight="true" outlineLevel="0" collapsed="false">
      <c r="A22" s="3" t="s">
        <v>61</v>
      </c>
      <c r="H22" s="20" t="n">
        <f aca="false">Assumptions!B27</f>
        <v>0.04</v>
      </c>
    </row>
    <row r="23" customFormat="false" ht="15" hidden="false" customHeight="true" outlineLevel="0" collapsed="false">
      <c r="A23" s="3" t="s">
        <v>365</v>
      </c>
      <c r="H23" s="47" t="n">
        <f aca="false">H21/(Assumptions!B20-H22)</f>
        <v>6766.09201757799</v>
      </c>
    </row>
    <row r="24" customFormat="false" ht="15" hidden="false" customHeight="true" outlineLevel="0" collapsed="false">
      <c r="A24" s="3" t="s">
        <v>366</v>
      </c>
      <c r="H24" s="47" t="n">
        <f aca="false">H23*G17</f>
        <v>4298.0088354083</v>
      </c>
    </row>
    <row r="25" customFormat="false" ht="15" hidden="false" customHeight="true" outlineLevel="0" collapsed="false"/>
    <row r="26" customFormat="false" ht="15" hidden="false" customHeight="true" outlineLevel="0" collapsed="false">
      <c r="A26" s="41" t="s">
        <v>217</v>
      </c>
    </row>
    <row r="27" customFormat="false" ht="15" hidden="false" customHeight="true" outlineLevel="0" collapsed="false">
      <c r="A27" s="3" t="s">
        <v>367</v>
      </c>
      <c r="B27" s="49" t="n">
        <f aca="false">SUM(C18:G18)</f>
        <v>1109.74028174807</v>
      </c>
    </row>
    <row r="28" customFormat="false" ht="15" hidden="false" customHeight="true" outlineLevel="0" collapsed="false">
      <c r="A28" s="3" t="s">
        <v>366</v>
      </c>
      <c r="B28" s="49" t="n">
        <f aca="false">H24</f>
        <v>4298.0088354083</v>
      </c>
    </row>
    <row r="29" customFormat="false" ht="15" hidden="false" customHeight="true" outlineLevel="0" collapsed="false">
      <c r="A29" s="3" t="s">
        <v>368</v>
      </c>
      <c r="B29" s="50" t="n">
        <f aca="false">B27+B28</f>
        <v>5407.74911715638</v>
      </c>
    </row>
    <row r="30" customFormat="false" ht="15" hidden="false" customHeight="true" outlineLevel="0" collapsed="false"/>
    <row r="31" customFormat="false" ht="15" hidden="false" customHeight="true" outlineLevel="0" collapsed="false">
      <c r="A31" s="3" t="s">
        <v>369</v>
      </c>
      <c r="B31" s="49" t="n">
        <f aca="false">-Assumptions!B36</f>
        <v>-1693</v>
      </c>
    </row>
    <row r="32" customFormat="false" ht="15" hidden="false" customHeight="true" outlineLevel="0" collapsed="false">
      <c r="A32" s="3" t="s">
        <v>370</v>
      </c>
      <c r="B32" s="49" t="n">
        <f aca="false">-Assumptions!B37</f>
        <v>-0</v>
      </c>
    </row>
    <row r="33" customFormat="false" ht="15" hidden="false" customHeight="true" outlineLevel="0" collapsed="false">
      <c r="A33" s="3" t="s">
        <v>371</v>
      </c>
      <c r="B33" s="50" t="n">
        <f aca="false">B29+B31+B32</f>
        <v>3714.74911715638</v>
      </c>
    </row>
    <row r="34" customFormat="false" ht="15" hidden="false" customHeight="true" outlineLevel="0" collapsed="false"/>
    <row r="35" customFormat="false" ht="15" hidden="false" customHeight="true" outlineLevel="0" collapsed="false">
      <c r="A35" s="3" t="s">
        <v>68</v>
      </c>
      <c r="B35" s="49" t="n">
        <f aca="false">Assumptions!B34</f>
        <v>241</v>
      </c>
    </row>
    <row r="36" customFormat="false" ht="15" hidden="false" customHeight="true" outlineLevel="0" collapsed="false">
      <c r="A36" s="3" t="s">
        <v>372</v>
      </c>
      <c r="B36" s="51" t="n">
        <f aca="false">B33/B35</f>
        <v>15.4138967516862</v>
      </c>
    </row>
    <row r="38" customFormat="false" ht="15" hidden="false" customHeight="true" outlineLevel="0" collapsed="false">
      <c r="A38" s="3" t="s">
        <v>70</v>
      </c>
      <c r="B38" s="29" t="n">
        <f aca="false">Assumptions!B35</f>
        <v>12.29</v>
      </c>
    </row>
    <row r="39" customFormat="false" ht="15" hidden="false" customHeight="true" outlineLevel="0" collapsed="false">
      <c r="A39" s="3" t="s">
        <v>373</v>
      </c>
      <c r="B39" s="52" t="n">
        <f aca="false">(B36-B38)/B38</f>
        <v>0.254181997696193</v>
      </c>
    </row>
    <row r="41" customFormat="false" ht="15" hidden="false" customHeight="true" outlineLevel="0" collapsed="false"/>
    <row r="42" customFormat="false" ht="15" hidden="false" customHeight="true" outlineLevel="0" collapsed="false"/>
    <row r="43" customFormat="false" ht="15" hidden="false" customHeight="true" outlineLevel="0" collapsed="false">
      <c r="A43" s="53" t="s">
        <v>374</v>
      </c>
    </row>
    <row r="44" customFormat="false" ht="15" hidden="false" customHeight="true" outlineLevel="0" collapsed="false">
      <c r="A44" s="54" t="s">
        <v>375</v>
      </c>
    </row>
    <row r="45" customFormat="false" ht="15" hidden="false" customHeight="true" outlineLevel="0" collapsed="false">
      <c r="A45" s="54" t="s">
        <v>376</v>
      </c>
    </row>
    <row r="46" customFormat="false" ht="15" hidden="false" customHeight="true" outlineLevel="0" collapsed="false">
      <c r="A46" s="54" t="s">
        <v>377</v>
      </c>
    </row>
    <row r="47" customFormat="false" ht="15" hidden="false" customHeight="true" outlineLevel="0" collapsed="false">
      <c r="A47" s="54" t="s">
        <v>378</v>
      </c>
    </row>
    <row r="48" customFormat="false" ht="15" hidden="false" customHeight="true" outlineLevel="0" collapsed="false">
      <c r="A48" s="54" t="s">
        <v>379</v>
      </c>
    </row>
    <row r="49" customFormat="false" ht="15" hidden="false" customHeight="true" outlineLevel="0" collapsed="false">
      <c r="A49" s="55" t="s">
        <v>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15"/>
    <col collapsed="false" customWidth="true" hidden="false" outlineLevel="0" max="2" min="2" style="3" width="10"/>
    <col collapsed="false" customWidth="true" hidden="false" outlineLevel="0" max="7" min="3" style="3" width="12"/>
  </cols>
  <sheetData>
    <row r="1" customFormat="false" ht="17.25" hidden="false" customHeight="true" outlineLevel="0" collapsed="false">
      <c r="A1" s="2" t="s">
        <v>381</v>
      </c>
    </row>
    <row r="3" customFormat="false" ht="15" hidden="false" customHeight="true" outlineLevel="0" collapsed="false">
      <c r="A3" s="4" t="s">
        <v>382</v>
      </c>
    </row>
    <row r="5" customFormat="false" ht="15" hidden="false" customHeight="true" outlineLevel="0" collapsed="false">
      <c r="A5" s="3" t="s">
        <v>372</v>
      </c>
    </row>
    <row r="6" customFormat="false" ht="15" hidden="false" customHeight="true" outlineLevel="0" collapsed="false">
      <c r="A6" s="25" t="s">
        <v>383</v>
      </c>
      <c r="C6" s="56" t="n">
        <v>0.015</v>
      </c>
      <c r="D6" s="56" t="n">
        <v>0.02</v>
      </c>
      <c r="E6" s="56" t="n">
        <v>0.025</v>
      </c>
      <c r="F6" s="56" t="n">
        <v>0.03</v>
      </c>
      <c r="G6" s="56" t="n">
        <v>0.035</v>
      </c>
    </row>
    <row r="7" customFormat="false" ht="15" hidden="false" customHeight="true" outlineLevel="0" collapsed="false">
      <c r="B7" s="56" t="n">
        <v>0.055</v>
      </c>
      <c r="C7" s="28" t="n">
        <v>32.265378561507</v>
      </c>
      <c r="D7" s="28" t="n">
        <v>37.1754239058824</v>
      </c>
      <c r="E7" s="28" t="n">
        <v>43.7221510317162</v>
      </c>
      <c r="F7" s="28" t="n">
        <v>52.8875690078836</v>
      </c>
      <c r="G7" s="28" t="n">
        <v>66.6356959721348</v>
      </c>
    </row>
    <row r="8" customFormat="false" ht="15" hidden="false" customHeight="true" outlineLevel="0" collapsed="false">
      <c r="B8" s="56" t="n">
        <v>0.06</v>
      </c>
      <c r="C8" s="28" t="n">
        <v>27.8153998243677</v>
      </c>
      <c r="D8" s="28" t="n">
        <v>31.5627770313406</v>
      </c>
      <c r="E8" s="28" t="n">
        <v>36.3808334403056</v>
      </c>
      <c r="F8" s="28" t="n">
        <v>42.8049086522591</v>
      </c>
      <c r="G8" s="28" t="n">
        <v>51.7986139489939</v>
      </c>
    </row>
    <row r="9" customFormat="false" ht="15" hidden="false" customHeight="true" outlineLevel="0" collapsed="false">
      <c r="B9" s="56" t="n">
        <v>0.065</v>
      </c>
      <c r="C9" s="28" t="n">
        <v>24.2567922987806</v>
      </c>
      <c r="D9" s="28" t="n">
        <v>27.1987906693926</v>
      </c>
      <c r="E9" s="28" t="n">
        <v>30.8762886326575</v>
      </c>
      <c r="F9" s="28" t="n">
        <v>35.6045002997125</v>
      </c>
      <c r="G9" s="28" t="n">
        <v>41.9087825224525</v>
      </c>
    </row>
    <row r="10" customFormat="false" ht="15" hidden="false" customHeight="true" outlineLevel="0" collapsed="false">
      <c r="B10" s="56" t="n">
        <v>0.07</v>
      </c>
      <c r="C10" s="28" t="n">
        <v>21.3464248392185</v>
      </c>
      <c r="D10" s="28" t="n">
        <v>23.7088364721366</v>
      </c>
      <c r="E10" s="28" t="n">
        <v>26.5962284679254</v>
      </c>
      <c r="F10" s="28" t="n">
        <v>30.2054684626614</v>
      </c>
      <c r="G10" s="28" t="n">
        <v>34.8459198844648</v>
      </c>
    </row>
    <row r="11" customFormat="false" ht="15" hidden="false" customHeight="true" outlineLevel="0" collapsed="false">
      <c r="B11" s="56" t="n">
        <v>0.075</v>
      </c>
      <c r="C11" s="28" t="n">
        <v>18.922210815485</v>
      </c>
      <c r="D11" s="28" t="n">
        <v>20.8545153818522</v>
      </c>
      <c r="E11" s="28" t="n">
        <v>23.1732808614929</v>
      </c>
      <c r="F11" s="28" t="n">
        <v>26.0073275588315</v>
      </c>
      <c r="G11" s="28" t="n">
        <v>29.5498859305047</v>
      </c>
    </row>
    <row r="12" customFormat="false" ht="15" hidden="false" customHeight="true" outlineLevel="0" collapsed="false">
      <c r="B12" s="56" t="n">
        <v>0.08</v>
      </c>
      <c r="C12" s="28" t="n">
        <v>16.871937120046</v>
      </c>
      <c r="D12" s="28" t="n">
        <v>18.4768954017302</v>
      </c>
      <c r="E12" s="28" t="n">
        <v>20.3736642800842</v>
      </c>
      <c r="F12" s="28" t="n">
        <v>22.6497869341089</v>
      </c>
      <c r="G12" s="28" t="n">
        <v>25.4317146223615</v>
      </c>
    </row>
    <row r="13" customFormat="false" ht="15" hidden="false" customHeight="true" outlineLevel="0" collapsed="false">
      <c r="B13" s="56" t="n">
        <v>0.085</v>
      </c>
      <c r="C13" s="28" t="n">
        <v>15.115452173132</v>
      </c>
      <c r="D13" s="28" t="n">
        <v>16.4659473194722</v>
      </c>
      <c r="E13" s="28" t="n">
        <v>18.0415249902023</v>
      </c>
      <c r="F13" s="28" t="n">
        <v>19.903571328338</v>
      </c>
      <c r="G13" s="28" t="n">
        <v>22.1380269341007</v>
      </c>
    </row>
    <row r="16" customFormat="false" ht="15" hidden="false" customHeight="true" outlineLevel="0" collapsed="false">
      <c r="A16" s="3" t="s">
        <v>384</v>
      </c>
    </row>
    <row r="17" customFormat="false" ht="15" hidden="false" customHeight="true" outlineLevel="0" collapsed="false">
      <c r="A17" s="3" t="s">
        <v>385</v>
      </c>
    </row>
    <row r="18" customFormat="false" ht="15" hidden="false" customHeight="true" outlineLevel="0" collapsed="false">
      <c r="A18" s="3" t="s">
        <v>386</v>
      </c>
    </row>
    <row r="19" customFormat="false" ht="15" hidden="false" customHeight="true" outlineLevel="0" collapsed="false">
      <c r="A19" s="3"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50"/>
    <col collapsed="false" customWidth="true" hidden="false" outlineLevel="0" max="2" min="2" style="3" width="35"/>
  </cols>
  <sheetData>
    <row r="1" customFormat="false" ht="17.25" hidden="false" customHeight="true" outlineLevel="0" collapsed="false">
      <c r="A1" s="2" t="s">
        <v>388</v>
      </c>
    </row>
    <row r="3" customFormat="false" ht="15" hidden="false" customHeight="true" outlineLevel="0" collapsed="false">
      <c r="A3" s="4" t="s">
        <v>389</v>
      </c>
    </row>
    <row r="4" customFormat="false" ht="15" hidden="false" customHeight="true" outlineLevel="0" collapsed="false">
      <c r="A4" s="3" t="s">
        <v>390</v>
      </c>
      <c r="B4" s="5" t="s">
        <v>391</v>
      </c>
    </row>
    <row r="5" customFormat="false" ht="15" hidden="false" customHeight="true" outlineLevel="0" collapsed="false">
      <c r="A5" s="3" t="s">
        <v>392</v>
      </c>
      <c r="B5" s="5" t="s">
        <v>393</v>
      </c>
    </row>
    <row r="6" customFormat="false" ht="15" hidden="false" customHeight="true" outlineLevel="0" collapsed="false">
      <c r="A6" s="3" t="s">
        <v>394</v>
      </c>
      <c r="B6" s="5" t="s">
        <v>395</v>
      </c>
    </row>
    <row r="7" customFormat="false" ht="15" hidden="false" customHeight="true" outlineLevel="0" collapsed="false">
      <c r="A7" s="3" t="s">
        <v>396</v>
      </c>
      <c r="B7" s="5" t="s">
        <v>397</v>
      </c>
    </row>
    <row r="8" customFormat="false" ht="15" hidden="false" customHeight="true" outlineLevel="0" collapsed="false">
      <c r="A8" s="3" t="s">
        <v>398</v>
      </c>
      <c r="B8" s="5" t="s">
        <v>399</v>
      </c>
    </row>
    <row r="9" customFormat="false" ht="15" hidden="false" customHeight="true" outlineLevel="0" collapsed="false">
      <c r="A9" s="3" t="s">
        <v>400</v>
      </c>
      <c r="B9" s="5" t="s">
        <v>401</v>
      </c>
    </row>
    <row r="12" customFormat="false" ht="15" hidden="false" customHeight="true" outlineLevel="0" collapsed="false">
      <c r="A12" s="4" t="s">
        <v>402</v>
      </c>
    </row>
    <row r="13" customFormat="false" ht="15" hidden="false" customHeight="true" outlineLevel="0" collapsed="false">
      <c r="A13" s="3" t="s">
        <v>403</v>
      </c>
      <c r="B13" s="5" t="s">
        <v>404</v>
      </c>
    </row>
    <row r="14" customFormat="false" ht="15" hidden="false" customHeight="true" outlineLevel="0" collapsed="false">
      <c r="A14" s="3" t="s">
        <v>405</v>
      </c>
      <c r="B14" s="5" t="s">
        <v>406</v>
      </c>
    </row>
    <row r="15" customFormat="false" ht="15" hidden="false" customHeight="true" outlineLevel="0" collapsed="false">
      <c r="A15" s="3" t="s">
        <v>407</v>
      </c>
      <c r="B15" s="5" t="s">
        <v>408</v>
      </c>
    </row>
    <row r="16" customFormat="false" ht="15" hidden="false" customHeight="true" outlineLevel="0" collapsed="false">
      <c r="A16" s="3" t="s">
        <v>409</v>
      </c>
      <c r="B16" s="5" t="s">
        <v>410</v>
      </c>
    </row>
    <row r="17" customFormat="false" ht="15" hidden="false" customHeight="true" outlineLevel="0" collapsed="false">
      <c r="A17" s="3" t="s">
        <v>411</v>
      </c>
      <c r="B17" s="5" t="s">
        <v>412</v>
      </c>
    </row>
    <row r="20" customFormat="false" ht="15" hidden="false" customHeight="true" outlineLevel="0" collapsed="false">
      <c r="A20" s="4" t="s">
        <v>413</v>
      </c>
    </row>
    <row r="21" customFormat="false" ht="15" hidden="false" customHeight="true" outlineLevel="0" collapsed="false">
      <c r="A21" s="3" t="s">
        <v>414</v>
      </c>
      <c r="B21" s="5" t="s">
        <v>415</v>
      </c>
    </row>
    <row r="22" customFormat="false" ht="15" hidden="false" customHeight="true" outlineLevel="0" collapsed="false">
      <c r="A22" s="3" t="s">
        <v>416</v>
      </c>
      <c r="B22" s="5" t="s">
        <v>417</v>
      </c>
    </row>
    <row r="23" customFormat="false" ht="15" hidden="false" customHeight="true" outlineLevel="0" collapsed="false">
      <c r="A23" s="3" t="s">
        <v>418</v>
      </c>
      <c r="B23" s="5" t="s">
        <v>419</v>
      </c>
    </row>
    <row r="24" customFormat="false" ht="15" hidden="false" customHeight="true" outlineLevel="0" collapsed="false">
      <c r="A24" s="3" t="s">
        <v>420</v>
      </c>
      <c r="B24" s="5" t="s">
        <v>421</v>
      </c>
    </row>
    <row r="25" customFormat="false" ht="15" hidden="false" customHeight="true" outlineLevel="0" collapsed="false">
      <c r="A25" s="3" t="s">
        <v>422</v>
      </c>
      <c r="B25" s="5" t="s">
        <v>128</v>
      </c>
    </row>
    <row r="26" customFormat="false" ht="15" hidden="false" customHeight="true" outlineLevel="0" collapsed="false">
      <c r="A26" s="3" t="s">
        <v>423</v>
      </c>
      <c r="B26" s="5" t="s">
        <v>424</v>
      </c>
    </row>
    <row r="27" customFormat="false" ht="15" hidden="false" customHeight="true" outlineLevel="0" collapsed="false">
      <c r="A27" s="3" t="s">
        <v>425</v>
      </c>
      <c r="B27" s="5" t="s">
        <v>426</v>
      </c>
    </row>
    <row r="30" customFormat="false" ht="15" hidden="false" customHeight="true" outlineLevel="0" collapsed="false">
      <c r="A30" s="4" t="s">
        <v>427</v>
      </c>
    </row>
    <row r="31" customFormat="false" ht="15" hidden="false" customHeight="true" outlineLevel="0" collapsed="false">
      <c r="A31" s="3" t="s">
        <v>428</v>
      </c>
    </row>
    <row r="32" customFormat="false" ht="15" hidden="false" customHeight="true" outlineLevel="0" collapsed="false">
      <c r="A32" s="3" t="s">
        <v>429</v>
      </c>
    </row>
    <row r="33" customFormat="false" ht="15" hidden="false" customHeight="true" outlineLevel="0" collapsed="false">
      <c r="A33" s="3" t="s">
        <v>430</v>
      </c>
    </row>
    <row r="34" customFormat="false" ht="15" hidden="false" customHeight="true" outlineLevel="0" collapsed="false">
      <c r="A34" s="3" t="s">
        <v>431</v>
      </c>
    </row>
    <row r="35" customFormat="false" ht="15" hidden="false" customHeight="true" outlineLevel="0" collapsed="false">
      <c r="A35" s="3" t="s">
        <v>432</v>
      </c>
    </row>
    <row r="36" customFormat="false" ht="15" hidden="false" customHeight="true" outlineLevel="0" collapsed="false">
      <c r="A36" s="3" t="s">
        <v>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40"/>
    <col collapsed="false" customWidth="true" hidden="false" outlineLevel="0" max="2" min="2" style="3" width="35"/>
    <col collapsed="false" customWidth="true" hidden="false" outlineLevel="0" max="3" min="3" style="3" width="15"/>
  </cols>
  <sheetData>
    <row r="1" customFormat="false" ht="17.25" hidden="false" customHeight="true" outlineLevel="0" collapsed="false">
      <c r="A1" s="2" t="s">
        <v>434</v>
      </c>
    </row>
    <row r="3" customFormat="false" ht="15" hidden="false" customHeight="true" outlineLevel="0" collapsed="false">
      <c r="A3" s="25" t="s">
        <v>435</v>
      </c>
      <c r="B3" s="25" t="s">
        <v>436</v>
      </c>
      <c r="C3" s="25" t="s">
        <v>437</v>
      </c>
    </row>
    <row r="4" customFormat="false" ht="15" hidden="false" customHeight="true" outlineLevel="0" collapsed="false">
      <c r="A4" s="3" t="s">
        <v>438</v>
      </c>
      <c r="B4" s="3" t="s">
        <v>439</v>
      </c>
      <c r="C4" s="3" t="s">
        <v>440</v>
      </c>
    </row>
    <row r="5" customFormat="false" ht="15" hidden="false" customHeight="true" outlineLevel="0" collapsed="false">
      <c r="A5" s="3" t="s">
        <v>441</v>
      </c>
      <c r="B5" s="3" t="s">
        <v>442</v>
      </c>
      <c r="C5" s="3" t="s">
        <v>443</v>
      </c>
    </row>
    <row r="6" customFormat="false" ht="15" hidden="false" customHeight="true" outlineLevel="0" collapsed="false">
      <c r="A6" s="3" t="s">
        <v>444</v>
      </c>
      <c r="B6" s="3" t="s">
        <v>445</v>
      </c>
      <c r="C6" s="3" t="s">
        <v>446</v>
      </c>
    </row>
    <row r="7" customFormat="false" ht="15" hidden="false" customHeight="true" outlineLevel="0" collapsed="false">
      <c r="A7" s="3" t="s">
        <v>447</v>
      </c>
      <c r="B7" s="3" t="s">
        <v>448</v>
      </c>
      <c r="C7" s="3" t="s">
        <v>446</v>
      </c>
    </row>
    <row r="8" customFormat="false" ht="15" hidden="false" customHeight="true" outlineLevel="0" collapsed="false">
      <c r="A8" s="3" t="s">
        <v>28</v>
      </c>
      <c r="B8" s="3" t="s">
        <v>448</v>
      </c>
      <c r="C8" s="3" t="s">
        <v>446</v>
      </c>
    </row>
    <row r="9" customFormat="false" ht="15" hidden="false" customHeight="true" outlineLevel="0" collapsed="false">
      <c r="A9" s="3" t="s">
        <v>449</v>
      </c>
      <c r="B9" s="3" t="s">
        <v>450</v>
      </c>
      <c r="C9" s="3" t="s">
        <v>451</v>
      </c>
    </row>
    <row r="11" customFormat="false" ht="15" hidden="false" customHeight="true" outlineLevel="0" collapsed="false">
      <c r="A11" s="13" t="s">
        <v>452</v>
      </c>
    </row>
    <row r="12" customFormat="false" ht="15" hidden="false" customHeight="true" outlineLevel="0" collapsed="false">
      <c r="A12" s="3" t="s">
        <v>453</v>
      </c>
      <c r="B12" s="3" t="s">
        <v>454</v>
      </c>
      <c r="C12" s="3" t="s">
        <v>455</v>
      </c>
    </row>
    <row r="13" customFormat="false" ht="15" hidden="false" customHeight="true" outlineLevel="0" collapsed="false">
      <c r="A13" s="3" t="s">
        <v>456</v>
      </c>
      <c r="B13" s="3" t="s">
        <v>457</v>
      </c>
      <c r="C13" s="3" t="s">
        <v>458</v>
      </c>
    </row>
    <row r="15" customFormat="false" ht="15" hidden="false" customHeight="true" outlineLevel="0" collapsed="false">
      <c r="A15" s="13" t="s">
        <v>459</v>
      </c>
    </row>
    <row r="16" customFormat="false" ht="15" hidden="false" customHeight="true" outlineLevel="0" collapsed="false">
      <c r="A16" s="3" t="s">
        <v>460</v>
      </c>
      <c r="B16" s="3" t="s">
        <v>461</v>
      </c>
      <c r="C16" s="3" t="s">
        <v>462</v>
      </c>
    </row>
    <row r="17" customFormat="false" ht="15" hidden="false" customHeight="true" outlineLevel="0" collapsed="false">
      <c r="A17" s="3" t="s">
        <v>463</v>
      </c>
      <c r="B17" s="3" t="s">
        <v>464</v>
      </c>
      <c r="C17" s="3" t="s">
        <v>458</v>
      </c>
    </row>
    <row r="18" customFormat="false" ht="15" hidden="false" customHeight="true" outlineLevel="0" collapsed="false">
      <c r="A18" s="3" t="s">
        <v>465</v>
      </c>
      <c r="B18" s="3" t="s">
        <v>466</v>
      </c>
      <c r="C18" s="3" t="s">
        <v>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2026-01-02T05:51:55Z</dcterms:created>
  <dc:creator>openpyxl</dc:creator>
  <dc:description/>
  <dc:language>en-US</dc:language>
  <cp:lastModifiedBy/>
  <dcterms:modified xsi:type="dcterms:W3CDTF">2026-01-06T08:52:34Z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