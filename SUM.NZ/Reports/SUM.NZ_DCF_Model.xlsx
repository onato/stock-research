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CF Model" sheetId="1" r:id="rId1"/>
    <sheet name="Sensitivity" sheetId="2" r:id="rId2"/>
    <sheet name="Scenario Detail" sheetId="3" r:id="rId3"/>
    <sheet name="Historical Data" sheetId="4" r:id="rId4"/>
  </sheets>
  <calcPr calcId="124519" fullCalcOnLoad="1"/>
</workbook>
</file>

<file path=xl/sharedStrings.xml><?xml version="1.0" encoding="utf-8"?>
<sst xmlns="http://schemas.openxmlformats.org/spreadsheetml/2006/main" count="230" uniqueCount="139">
  <si>
    <t>Summerset Group Holdings (SUM.NZ) - DCF Valuation Model</t>
  </si>
  <si>
    <t>Gray cells are INPUTS - adjust to see valuation update automatically | Currency: NZD millions</t>
  </si>
  <si>
    <t>Valuation Date: 2026-02-28  |  Current Price: NZD $10.66  |  FCF Proxy: Operating Cash Flow (ORA/DMF business)</t>
  </si>
  <si>
    <t>KEY INPUTS</t>
  </si>
  <si>
    <t>Current Stock Price (NZD)</t>
  </si>
  <si>
    <t>Shares Outstanding (millions)</t>
  </si>
  <si>
    <t>Cash &amp; Equivalents (NZD m)</t>
  </si>
  <si>
    <t>Total Debt (NZD m)</t>
  </si>
  <si>
    <t>Net Debt (NZD m)  [auto-calculated]</t>
  </si>
  <si>
    <t>Base Year OCF/FCF (NZD m)  [FY2025]</t>
  </si>
  <si>
    <t>WACC (Discount Rate)</t>
  </si>
  <si>
    <t>Terminal Growth Rate</t>
  </si>
  <si>
    <t>GROWTH RATE ASSUMPTIONS  (adjust individual year rates in gray cells)</t>
  </si>
  <si>
    <t>Scenario</t>
  </si>
  <si>
    <t>Year 1</t>
  </si>
  <si>
    <t>Year 2</t>
  </si>
  <si>
    <t>Year 3</t>
  </si>
  <si>
    <t>Year 4</t>
  </si>
  <si>
    <t>Year 5</t>
  </si>
  <si>
    <t>Avg Growth</t>
  </si>
  <si>
    <t>WACC Used</t>
  </si>
  <si>
    <t>Base Case</t>
  </si>
  <si>
    <t>Bull Case</t>
  </si>
  <si>
    <t>Bear Case</t>
  </si>
  <si>
    <t>BASE CASE PROJECTIONS  (WACC and Terminal Growth from cells B12/B13 above)</t>
  </si>
  <si>
    <t>Line Item</t>
  </si>
  <si>
    <t>Total / TV</t>
  </si>
  <si>
    <t>Notes</t>
  </si>
  <si>
    <t>Free Cash Flow (NZD m)</t>
  </si>
  <si>
    <t>Discount Factor</t>
  </si>
  <si>
    <t>PV of FCF (NZD m)</t>
  </si>
  <si>
    <t>BASE CASE VALUATION</t>
  </si>
  <si>
    <t>Sum of PV of FCF (NZD m)</t>
  </si>
  <si>
    <t>Terminal FCF  [Y5 * (1 + Terminal Growth)]</t>
  </si>
  <si>
    <t>Terminal Value (NZD m)  [TV = TF / (WACC - TG)]</t>
  </si>
  <si>
    <t>PV of Terminal Value (NZD m)</t>
  </si>
  <si>
    <t>Enterprise Value (NZD m)</t>
  </si>
  <si>
    <t>Less: Net Debt (NZD m)</t>
  </si>
  <si>
    <t>Equity Value (NZD m)</t>
  </si>
  <si>
    <t>INTRINSIC VALUE PER SHARE (NZD)</t>
  </si>
  <si>
    <t>Upside / (Downside) to Intrinsic Value</t>
  </si>
  <si>
    <t>ENTRY PRICE (15% CAGR Target)</t>
  </si>
  <si>
    <t>Current price vs entry price:</t>
  </si>
  <si>
    <t>NTA Per Share (FY2025, reference only)</t>
  </si>
  <si>
    <t>Price / NTA:</t>
  </si>
  <si>
    <t>SCENARIO COMPARISON SUMMARY  (Bear 25% / Base 50% / Bull 25% probability weights)</t>
  </si>
  <si>
    <t>Metric</t>
  </si>
  <si>
    <t>Prob-Weighted</t>
  </si>
  <si>
    <t>WACC</t>
  </si>
  <si>
    <t>Intrinsic Value (NZD/share)</t>
  </si>
  <si>
    <t>Upside to Intrinsic Value</t>
  </si>
  <si>
    <t>Entry Price @ 15% CAGR</t>
  </si>
  <si>
    <t>Current Price vs Entry Price</t>
  </si>
  <si>
    <t>Scenario Probability Weight</t>
  </si>
  <si>
    <t>NOTE: OCF used as FCF proxy per company instructions. ORA/DMF model means OCF includes resident capital flows. The large IV vs current price reflects market discounting for high debt ($1.97b), NZ property market uncertainty, and Australian execution risk.</t>
  </si>
  <si>
    <t>Summerset (SUM.NZ) - Sensitivity Analysis: Intrinsic Value (NZD/share)</t>
  </si>
  <si>
    <t>Base case growth rates [15%, 13%, 11%, 9%, 7%] | Net Debt NZD 1,965m | Shares 242.4m</t>
  </si>
  <si>
    <t>Values shown in NZD per share. Current price NZD $10.66. All scenarios show significant upside.</t>
  </si>
  <si>
    <t>WACC \ Terminal Growth</t>
  </si>
  <si>
    <t>Legend:</t>
  </si>
  <si>
    <t>&gt;4x current price (NZD 10.66)</t>
  </si>
  <si>
    <t>3-4x current price</t>
  </si>
  <si>
    <t>2-3x current price</t>
  </si>
  <si>
    <t>KEY INSIGHT: All 25 WACC/Terminal Growth combinations produce intrinsic values materially above NZD $10.66. Even the most conservative scenario (WACC 12%, TG 2.0%) yields NZD $25.32/share - 2.4x the current price. Bear entry price at $16.23 still implies &gt;52% upside from current levels.</t>
  </si>
  <si>
    <t>Summerset (SUM.NZ) - Detailed Scenario Projections</t>
  </si>
  <si>
    <t>BULL CASE  |  WACC 9%  |  Terminal Growth 3.5%</t>
  </si>
  <si>
    <t>Strong NZ demographic tailwind, Australia scaling to 300 units/year by FY27, NZ property market recovery supports ORA pricing, care ORA conversion drives profitability, interest rate cuts reduce finance costs.</t>
  </si>
  <si>
    <t>Y1</t>
  </si>
  <si>
    <t>Y2</t>
  </si>
  <si>
    <t>Y3</t>
  </si>
  <si>
    <t>Y4</t>
  </si>
  <si>
    <t>Y5</t>
  </si>
  <si>
    <t>Total/TV</t>
  </si>
  <si>
    <t>Growth Rate Applied</t>
  </si>
  <si>
    <t>WACC: 9%</t>
  </si>
  <si>
    <t>FCF (NZD m)</t>
  </si>
  <si>
    <t>Growing from FY2025 OCF $548.2m</t>
  </si>
  <si>
    <t>Sum in Total column</t>
  </si>
  <si>
    <t>Terminal FCF  [Y5 * (1 + TG)]</t>
  </si>
  <si>
    <t>TG: 3.5%</t>
  </si>
  <si>
    <t>Terminal Value (NZD m)</t>
  </si>
  <si>
    <t>TV = TF / (WACC - TG)</t>
  </si>
  <si>
    <t>Discounted at Year 5 DF</t>
  </si>
  <si>
    <t>Sum PV FCF + PV Terminal</t>
  </si>
  <si>
    <t>Net Debt (NZD m)</t>
  </si>
  <si>
    <t>Total Debt 1,971.4 - Cash 6.0</t>
  </si>
  <si>
    <t>EV minus Net Debt</t>
  </si>
  <si>
    <t>Intrinsic Value / Share (NZD)</t>
  </si>
  <si>
    <t>vs current NZD $10.66</t>
  </si>
  <si>
    <t>Terminal Value / Share (NZD)</t>
  </si>
  <si>
    <t>Terminal Value / Shares outstanding</t>
  </si>
  <si>
    <t>Entry Price @ 15% CAGR (NZD)</t>
  </si>
  <si>
    <t>TV/share / (1.15^5)</t>
  </si>
  <si>
    <t>Current vs Entry Price</t>
  </si>
  <si>
    <t>Current 10.66 is 74.9% below entry</t>
  </si>
  <si>
    <t>Positive = current price is a bargain</t>
  </si>
  <si>
    <t>BASE CASE  |  WACC 10%  |  Terminal Growth 3%</t>
  </si>
  <si>
    <t>Historical OCF growth decelerating toward terminal. Steady NZ operations, modest Australia contribution by Y5, NZ property market gradual recovery.</t>
  </si>
  <si>
    <t>WACC: 10%</t>
  </si>
  <si>
    <t>TG: 3%</t>
  </si>
  <si>
    <t>Current 10.66 is 61.7% below entry</t>
  </si>
  <si>
    <t>BEAR CASE  |  WACC 12%  |  Terminal Growth 2.5%</t>
  </si>
  <si>
    <t>NZ property market stagnation, Australia delays and cost overruns, regulatory reform disruption (mandatory buy-back), care funding shortfalls, debt pressure limiting build rate.</t>
  </si>
  <si>
    <t>WACC: 12%</t>
  </si>
  <si>
    <t>TG: 2.5%</t>
  </si>
  <si>
    <t>Current 10.66 is 34.3% below entry</t>
  </si>
  <si>
    <t>Summerset (SUM.NZ) - Historical Growth Rates (Annual FY Data Only)</t>
  </si>
  <si>
    <t>CAGR calculations use FY2022 to FY2025 (3-year) and FY2020 to FY2025 (5-year) annual periods only</t>
  </si>
  <si>
    <t>3-Year CAGR</t>
  </si>
  <si>
    <t>5-Year CAGR</t>
  </si>
  <si>
    <t>Period</t>
  </si>
  <si>
    <t>Revenue</t>
  </si>
  <si>
    <t>FY22-&gt;FY25 / FY20-&gt;FY25</t>
  </si>
  <si>
    <t>TotalRevenue column</t>
  </si>
  <si>
    <t>Underlying Profit (EPS proxy)</t>
  </si>
  <si>
    <t>UnderlyingProfit column; excludes fair value movements</t>
  </si>
  <si>
    <t>Shareholders Equity (NTA)</t>
  </si>
  <si>
    <t>Elevated by NZ property revaluations</t>
  </si>
  <si>
    <t>Operating Cash Flow (FCF proxy)</t>
  </si>
  <si>
    <t>SELECTED: best cash generation proxy</t>
  </si>
  <si>
    <t>Selected Growth Rate:</t>
  </si>
  <si>
    <t>ocf_5yr_cagr</t>
  </si>
  <si>
    <t>OCF 5yr CAGR used as primary (conservative, cash-based)</t>
  </si>
  <si>
    <t>Divergence Warning:</t>
  </si>
  <si>
    <t>None</t>
  </si>
  <si>
    <t>Eq vs Rev divergence: 3.7pp (threshold 30pp)</t>
  </si>
  <si>
    <t>All metrics broadly consistent</t>
  </si>
  <si>
    <t>KEY NOTE: Basic EPS CAGR would show -23.1% (3yr) / +1.1% (5yr) due to FY2021/FY2022 fair value distortions. Underlying Profit is the correct earnings metric for SUM.NZ. Equity CAGR is elevated by NZ property market revaluations. OCF CAGR best captures recurring cash generation.</t>
  </si>
  <si>
    <t>Annual Operating Cash Flow History</t>
  </si>
  <si>
    <t>OCF (NZD m)</t>
  </si>
  <si>
    <t>YoY Growth</t>
  </si>
  <si>
    <t>Underlying Profit (NZD m)</t>
  </si>
  <si>
    <t>Shareholders Equity (NZD m)</t>
  </si>
  <si>
    <t>FY2020</t>
  </si>
  <si>
    <t>FY2021</t>
  </si>
  <si>
    <t>FY2022</t>
  </si>
  <si>
    <t>FY2023</t>
  </si>
  <si>
    <t>FY2024</t>
  </si>
  <si>
    <t>FY2025</t>
  </si>
</sst>
</file>

<file path=xl/styles.xml><?xml version="1.0" encoding="utf-8"?>
<styleSheet xmlns="http://schemas.openxmlformats.org/spreadsheetml/2006/main">
  <numFmts count="3">
    <numFmt numFmtId="164" formatCode="#,##0.0"/>
    <numFmt numFmtId="165" formatCode="0.0%"/>
    <numFmt numFmtId="166" formatCode="&quot;$&quot;#,##0.00"/>
  </numFmts>
  <fonts count="9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i/>
      <sz val="10"/>
      <color rgb="FF636E72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2D3436"/>
      <name val="Calibri"/>
      <family val="2"/>
      <scheme val="minor"/>
    </font>
    <font>
      <i/>
      <sz val="9"/>
      <color theme="1"/>
      <name val="Calibri"/>
      <family val="2"/>
      <scheme val="minor"/>
    </font>
    <font>
      <i/>
      <sz val="10"/>
      <color theme="1"/>
      <name val="Calibri"/>
      <family val="2"/>
      <scheme val="minor"/>
    </font>
    <font>
      <i/>
      <sz val="11"/>
      <color rgb="FF636E72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8F9FA"/>
        <bgColor indexed="64"/>
      </patternFill>
    </fill>
    <fill>
      <patternFill patternType="solid">
        <fgColor rgb="FFDFE6E9"/>
        <bgColor indexed="64"/>
      </patternFill>
    </fill>
    <fill>
      <patternFill patternType="solid">
        <fgColor rgb="FF2D3436"/>
        <bgColor indexed="64"/>
      </patternFill>
    </fill>
    <fill>
      <patternFill patternType="solid">
        <fgColor rgb="FF0984E3"/>
        <bgColor indexed="64"/>
      </patternFill>
    </fill>
    <fill>
      <patternFill patternType="solid">
        <fgColor rgb="FF00B894"/>
        <bgColor indexed="64"/>
      </patternFill>
    </fill>
    <fill>
      <patternFill patternType="solid">
        <fgColor rgb="FFD63031"/>
        <bgColor indexed="64"/>
      </patternFill>
    </fill>
    <fill>
      <patternFill patternType="solid">
        <fgColor rgb="FF74B9FF"/>
        <bgColor indexed="64"/>
      </patternFill>
    </fill>
    <fill>
      <patternFill patternType="solid">
        <fgColor rgb="FFFDCB6E"/>
        <bgColor indexed="64"/>
      </patternFill>
    </fill>
    <fill>
      <patternFill patternType="solid">
        <fgColor rgb="FFFFF3CD"/>
        <bgColor indexed="64"/>
      </patternFill>
    </fill>
    <fill>
      <patternFill patternType="solid">
        <fgColor rgb="FF636E72"/>
        <bgColor indexed="64"/>
      </patternFill>
    </fill>
    <fill>
      <patternFill patternType="solid">
        <fgColor rgb="FF55EFC4"/>
        <bgColor indexed="64"/>
      </patternFill>
    </fill>
    <fill>
      <patternFill patternType="solid">
        <fgColor rgb="FFB2BEC3"/>
        <bgColor indexed="64"/>
      </patternFill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164" fontId="0" fillId="3" borderId="1" xfId="0" applyNumberFormat="1" applyFill="1" applyBorder="1" applyAlignment="1">
      <alignment horizontal="right"/>
    </xf>
    <xf numFmtId="164" fontId="0" fillId="0" borderId="1" xfId="0" applyNumberFormat="1" applyBorder="1" applyAlignment="1">
      <alignment horizontal="right"/>
    </xf>
    <xf numFmtId="165" fontId="0" fillId="3" borderId="1" xfId="0" applyNumberFormat="1" applyFill="1" applyBorder="1" applyAlignment="1">
      <alignment horizontal="right"/>
    </xf>
    <xf numFmtId="0" fontId="4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/>
    </xf>
    <xf numFmtId="165" fontId="0" fillId="0" borderId="1" xfId="0" applyNumberFormat="1" applyBorder="1" applyAlignment="1">
      <alignment horizontal="right"/>
    </xf>
    <xf numFmtId="0" fontId="4" fillId="6" borderId="1" xfId="0" applyFont="1" applyFill="1" applyBorder="1" applyAlignment="1">
      <alignment horizontal="center"/>
    </xf>
    <xf numFmtId="0" fontId="4" fillId="7" borderId="1" xfId="0" applyFont="1" applyFill="1" applyBorder="1" applyAlignment="1">
      <alignment horizontal="center"/>
    </xf>
    <xf numFmtId="166" fontId="4" fillId="6" borderId="1" xfId="0" applyNumberFormat="1" applyFont="1" applyFill="1" applyBorder="1" applyAlignment="1">
      <alignment horizontal="right"/>
    </xf>
    <xf numFmtId="165" fontId="4" fillId="8" borderId="1" xfId="0" applyNumberFormat="1" applyFont="1" applyFill="1" applyBorder="1" applyAlignment="1">
      <alignment horizontal="right"/>
    </xf>
    <xf numFmtId="166" fontId="5" fillId="9" borderId="1" xfId="0" applyNumberFormat="1" applyFont="1" applyFill="1" applyBorder="1" applyAlignment="1">
      <alignment horizontal="right"/>
    </xf>
    <xf numFmtId="0" fontId="0" fillId="0" borderId="1" xfId="0" applyBorder="1"/>
    <xf numFmtId="166" fontId="0" fillId="0" borderId="1" xfId="0" applyNumberFormat="1" applyBorder="1" applyAlignment="1">
      <alignment horizontal="right"/>
    </xf>
    <xf numFmtId="0" fontId="6" fillId="10" borderId="1" xfId="0" applyFont="1" applyFill="1" applyBorder="1" applyAlignment="1">
      <alignment wrapText="1"/>
    </xf>
    <xf numFmtId="165" fontId="4" fillId="4" borderId="1" xfId="0" applyNumberFormat="1" applyFont="1" applyFill="1" applyBorder="1" applyAlignment="1">
      <alignment horizontal="center"/>
    </xf>
    <xf numFmtId="165" fontId="4" fillId="11" borderId="1" xfId="0" applyNumberFormat="1" applyFont="1" applyFill="1" applyBorder="1" applyAlignment="1">
      <alignment horizontal="center"/>
    </xf>
    <xf numFmtId="166" fontId="0" fillId="12" borderId="1" xfId="0" applyNumberFormat="1" applyFill="1" applyBorder="1" applyAlignment="1">
      <alignment horizontal="right"/>
    </xf>
    <xf numFmtId="166" fontId="0" fillId="13" borderId="1" xfId="0" applyNumberFormat="1" applyFill="1" applyBorder="1" applyAlignment="1">
      <alignment horizontal="right"/>
    </xf>
    <xf numFmtId="0" fontId="0" fillId="6" borderId="1" xfId="0" applyFill="1" applyBorder="1"/>
    <xf numFmtId="0" fontId="0" fillId="12" borderId="1" xfId="0" applyFill="1" applyBorder="1"/>
    <xf numFmtId="0" fontId="0" fillId="13" borderId="1" xfId="0" applyFill="1" applyBorder="1"/>
    <xf numFmtId="0" fontId="7" fillId="10" borderId="1" xfId="0" applyFont="1" applyFill="1" applyBorder="1" applyAlignment="1">
      <alignment wrapText="1"/>
    </xf>
    <xf numFmtId="0" fontId="8" fillId="0" borderId="1" xfId="0" applyFont="1" applyBorder="1" applyAlignment="1">
      <alignment wrapText="1"/>
    </xf>
    <xf numFmtId="0" fontId="0" fillId="14" borderId="1" xfId="0" applyFill="1" applyBorder="1"/>
    <xf numFmtId="165" fontId="0" fillId="14" borderId="1" xfId="0" applyNumberFormat="1" applyFill="1" applyBorder="1"/>
    <xf numFmtId="0" fontId="0" fillId="3" borderId="1" xfId="0" applyFill="1" applyBorder="1"/>
    <xf numFmtId="165" fontId="0" fillId="3" borderId="1" xfId="0" applyNumberFormat="1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H50"/>
  <sheetViews>
    <sheetView tabSelected="1" zoomScale="90" zoomScaleNormal="90" workbookViewId="0"/>
  </sheetViews>
  <sheetFormatPr defaultRowHeight="15"/>
  <cols>
    <col min="1" max="1" width="28.7109375" customWidth="1"/>
    <col min="2" max="2" width="14.7109375" customWidth="1"/>
    <col min="3" max="8" width="13.7109375" customWidth="1"/>
  </cols>
  <sheetData>
    <row r="1" spans="1:8" ht="24" customHeight="1">
      <c r="A1" s="1" t="s">
        <v>0</v>
      </c>
      <c r="B1" s="1"/>
      <c r="C1" s="1"/>
      <c r="D1" s="1"/>
      <c r="E1" s="1"/>
      <c r="F1" s="1"/>
      <c r="G1" s="1"/>
      <c r="H1" s="1"/>
    </row>
    <row r="2" spans="1:8" ht="16" customHeight="1">
      <c r="A2" s="2" t="s">
        <v>1</v>
      </c>
      <c r="B2" s="2"/>
      <c r="C2" s="2"/>
      <c r="D2" s="2"/>
      <c r="E2" s="2"/>
      <c r="F2" s="2"/>
      <c r="G2" s="2"/>
      <c r="H2" s="2"/>
    </row>
    <row r="3" spans="1:8" ht="16" customHeight="1">
      <c r="A3" s="2" t="s">
        <v>2</v>
      </c>
      <c r="B3" s="2"/>
      <c r="C3" s="2"/>
      <c r="D3" s="2"/>
      <c r="E3" s="2"/>
      <c r="F3" s="2"/>
      <c r="G3" s="2"/>
      <c r="H3" s="2"/>
    </row>
    <row r="5" spans="1:8">
      <c r="A5" s="3" t="s">
        <v>3</v>
      </c>
      <c r="B5" s="3"/>
      <c r="C5" s="3"/>
      <c r="D5" s="3"/>
      <c r="E5" s="3"/>
      <c r="F5" s="3"/>
      <c r="G5" s="3"/>
      <c r="H5" s="3"/>
    </row>
    <row r="6" spans="1:8">
      <c r="A6" t="s">
        <v>4</v>
      </c>
      <c r="B6" s="4">
        <v>10.66</v>
      </c>
    </row>
    <row r="7" spans="1:8">
      <c r="A7" t="s">
        <v>5</v>
      </c>
      <c r="B7" s="4">
        <v>242.361</v>
      </c>
    </row>
    <row r="8" spans="1:8">
      <c r="A8" t="s">
        <v>6</v>
      </c>
      <c r="B8" s="4">
        <v>6</v>
      </c>
    </row>
    <row r="9" spans="1:8">
      <c r="A9" t="s">
        <v>7</v>
      </c>
      <c r="B9" s="4">
        <v>1971.4</v>
      </c>
    </row>
    <row r="10" spans="1:8">
      <c r="A10" t="s">
        <v>8</v>
      </c>
      <c r="B10" s="5">
        <f>B9-B8</f>
        <v>0</v>
      </c>
    </row>
    <row r="11" spans="1:8">
      <c r="A11" t="s">
        <v>9</v>
      </c>
      <c r="B11" s="4">
        <v>548.2</v>
      </c>
    </row>
    <row r="12" spans="1:8">
      <c r="A12" t="s">
        <v>10</v>
      </c>
      <c r="B12" s="6">
        <v>0.1</v>
      </c>
    </row>
    <row r="13" spans="1:8">
      <c r="A13" t="s">
        <v>11</v>
      </c>
      <c r="B13" s="6">
        <v>0.03</v>
      </c>
    </row>
    <row r="15" spans="1:8">
      <c r="A15" s="3" t="s">
        <v>12</v>
      </c>
      <c r="B15" s="3"/>
      <c r="C15" s="3"/>
      <c r="D15" s="3"/>
      <c r="E15" s="3"/>
      <c r="F15" s="3"/>
      <c r="G15" s="3"/>
      <c r="H15" s="3"/>
    </row>
    <row r="16" spans="1:8">
      <c r="A16" s="7" t="s">
        <v>13</v>
      </c>
      <c r="B16" s="7" t="s">
        <v>14</v>
      </c>
      <c r="C16" s="7" t="s">
        <v>15</v>
      </c>
      <c r="D16" s="7" t="s">
        <v>16</v>
      </c>
      <c r="E16" s="7" t="s">
        <v>17</v>
      </c>
      <c r="F16" s="7" t="s">
        <v>18</v>
      </c>
      <c r="G16" s="7" t="s">
        <v>19</v>
      </c>
      <c r="H16" s="7" t="s">
        <v>20</v>
      </c>
    </row>
    <row r="17" spans="1:8">
      <c r="A17" s="8" t="s">
        <v>21</v>
      </c>
      <c r="B17" s="6">
        <v>0.15</v>
      </c>
      <c r="C17" s="6">
        <v>0.13</v>
      </c>
      <c r="D17" s="6">
        <v>0.11</v>
      </c>
      <c r="E17" s="6">
        <v>0.09</v>
      </c>
      <c r="F17" s="6">
        <v>0.07000000000000001</v>
      </c>
      <c r="G17" s="9">
        <f>AVERAGE(B17:F17)</f>
        <v>0</v>
      </c>
      <c r="H17" s="9">
        <v>0.1</v>
      </c>
    </row>
    <row r="18" spans="1:8">
      <c r="A18" s="10" t="s">
        <v>22</v>
      </c>
      <c r="B18" s="6">
        <v>0.2</v>
      </c>
      <c r="C18" s="6">
        <v>0.18</v>
      </c>
      <c r="D18" s="6">
        <v>0.15</v>
      </c>
      <c r="E18" s="6">
        <v>0.12</v>
      </c>
      <c r="F18" s="6">
        <v>0.1</v>
      </c>
      <c r="G18" s="9">
        <f>AVERAGE(B18:F18)</f>
        <v>0</v>
      </c>
      <c r="H18" s="9">
        <v>0.09</v>
      </c>
    </row>
    <row r="19" spans="1:8">
      <c r="A19" s="11" t="s">
        <v>23</v>
      </c>
      <c r="B19" s="6">
        <v>0.08</v>
      </c>
      <c r="C19" s="6">
        <v>0.07000000000000001</v>
      </c>
      <c r="D19" s="6">
        <v>0.06</v>
      </c>
      <c r="E19" s="6">
        <v>0.05</v>
      </c>
      <c r="F19" s="6">
        <v>0.04</v>
      </c>
      <c r="G19" s="9">
        <f>AVERAGE(B19:F19)</f>
        <v>0</v>
      </c>
      <c r="H19" s="9">
        <v>0.12</v>
      </c>
    </row>
    <row r="21" spans="1:8">
      <c r="A21" s="3" t="s">
        <v>24</v>
      </c>
      <c r="B21" s="3"/>
      <c r="C21" s="3"/>
      <c r="D21" s="3"/>
      <c r="E21" s="3"/>
      <c r="F21" s="3"/>
      <c r="G21" s="3"/>
      <c r="H21" s="3"/>
    </row>
    <row r="22" spans="1:8">
      <c r="A22" s="7" t="s">
        <v>25</v>
      </c>
      <c r="B22" s="7" t="s">
        <v>14</v>
      </c>
      <c r="C22" s="7" t="s">
        <v>15</v>
      </c>
      <c r="D22" s="7" t="s">
        <v>16</v>
      </c>
      <c r="E22" s="7" t="s">
        <v>17</v>
      </c>
      <c r="F22" s="7" t="s">
        <v>18</v>
      </c>
      <c r="G22" s="7" t="s">
        <v>26</v>
      </c>
      <c r="H22" s="7" t="s">
        <v>27</v>
      </c>
    </row>
    <row r="23" spans="1:8">
      <c r="A23" t="s">
        <v>28</v>
      </c>
      <c r="B23" s="5">
        <f>$B$11*(1+B17)</f>
        <v>0</v>
      </c>
      <c r="C23" s="5">
        <f>B23*(1+C17)</f>
        <v>0</v>
      </c>
      <c r="D23" s="5">
        <f>C23*(1+D17)</f>
        <v>0</v>
      </c>
      <c r="E23" s="5">
        <f>D23*(1+E17)</f>
        <v>0</v>
      </c>
      <c r="F23" s="5">
        <f>E23*(1+F17)</f>
        <v>0</v>
      </c>
    </row>
    <row r="24" spans="1:8">
      <c r="A24" t="s">
        <v>29</v>
      </c>
      <c r="B24" s="5">
        <f>1/(1+$B$12)^1</f>
        <v>0</v>
      </c>
      <c r="C24" s="5">
        <f>1/(1+$B$12)^2</f>
        <v>0</v>
      </c>
      <c r="D24" s="5">
        <f>1/(1+$B$12)^3</f>
        <v>0</v>
      </c>
      <c r="E24" s="5">
        <f>1/(1+$B$12)^4</f>
        <v>0</v>
      </c>
      <c r="F24" s="5">
        <f>1/(1+$B$12)^5</f>
        <v>0</v>
      </c>
    </row>
    <row r="25" spans="1:8">
      <c r="A25" t="s">
        <v>30</v>
      </c>
      <c r="B25" s="5">
        <f>B23*B24</f>
        <v>0</v>
      </c>
      <c r="C25" s="5">
        <f>C23*C24</f>
        <v>0</v>
      </c>
      <c r="D25" s="5">
        <f>D23*D24</f>
        <v>0</v>
      </c>
      <c r="E25" s="5">
        <f>E23*E24</f>
        <v>0</v>
      </c>
      <c r="F25" s="5">
        <f>F23*F24</f>
        <v>0</v>
      </c>
      <c r="G25" s="5">
        <f>SUM(B25:F25)</f>
        <v>0</v>
      </c>
    </row>
    <row r="27" spans="1:8">
      <c r="A27" s="3" t="s">
        <v>31</v>
      </c>
      <c r="B27" s="3"/>
      <c r="C27" s="3"/>
      <c r="D27" s="3"/>
      <c r="E27" s="3"/>
      <c r="F27" s="3"/>
      <c r="G27" s="3"/>
      <c r="H27" s="3"/>
    </row>
    <row r="28" spans="1:8">
      <c r="A28" t="s">
        <v>32</v>
      </c>
      <c r="B28" s="5">
        <f>G25</f>
        <v>0</v>
      </c>
    </row>
    <row r="29" spans="1:8">
      <c r="A29" t="s">
        <v>33</v>
      </c>
      <c r="B29" s="5">
        <f>F23*(1+$B$13)</f>
        <v>0</v>
      </c>
    </row>
    <row r="30" spans="1:8">
      <c r="A30" t="s">
        <v>34</v>
      </c>
      <c r="B30" s="5">
        <f>B29/($B$12-$B$13)</f>
        <v>0</v>
      </c>
    </row>
    <row r="31" spans="1:8">
      <c r="A31" t="s">
        <v>35</v>
      </c>
      <c r="B31" s="5">
        <f>B30*F24</f>
        <v>0</v>
      </c>
    </row>
    <row r="32" spans="1:8">
      <c r="A32" t="s">
        <v>36</v>
      </c>
      <c r="B32" s="5">
        <f>B28+B31</f>
        <v>0</v>
      </c>
    </row>
    <row r="33" spans="1:8">
      <c r="A33" t="s">
        <v>37</v>
      </c>
      <c r="B33" s="5">
        <f>B10</f>
        <v>0</v>
      </c>
    </row>
    <row r="34" spans="1:8">
      <c r="A34" t="s">
        <v>38</v>
      </c>
      <c r="B34" s="5">
        <f>B32-B33</f>
        <v>0</v>
      </c>
    </row>
    <row r="35" spans="1:8">
      <c r="A35" s="3" t="s">
        <v>39</v>
      </c>
      <c r="B35" s="12">
        <f>B34/B7</f>
        <v>0</v>
      </c>
    </row>
    <row r="36" spans="1:8">
      <c r="A36" t="s">
        <v>40</v>
      </c>
      <c r="B36" s="13">
        <f>(B35-B6)/B6</f>
        <v>0</v>
      </c>
    </row>
    <row r="37" spans="1:8">
      <c r="A37" s="3" t="s">
        <v>41</v>
      </c>
      <c r="B37" s="14">
        <f>(B30/B7)/(1.15^5)</f>
        <v>0</v>
      </c>
      <c r="C37" s="15" t="s">
        <v>42</v>
      </c>
      <c r="D37" s="9">
        <f>(B6-B37)/B37</f>
        <v>0</v>
      </c>
    </row>
    <row r="38" spans="1:8">
      <c r="A38" t="s">
        <v>43</v>
      </c>
      <c r="B38" s="16">
        <v>13.75</v>
      </c>
      <c r="C38" s="15" t="s">
        <v>44</v>
      </c>
      <c r="D38" s="9">
        <f>B6/B38</f>
        <v>0</v>
      </c>
    </row>
    <row r="40" spans="1:8">
      <c r="A40" s="3" t="s">
        <v>45</v>
      </c>
      <c r="B40" s="3"/>
      <c r="C40" s="3"/>
      <c r="D40" s="3"/>
      <c r="E40" s="3"/>
      <c r="F40" s="3"/>
      <c r="G40" s="3"/>
      <c r="H40" s="3"/>
    </row>
    <row r="41" spans="1:8">
      <c r="A41" s="7" t="s">
        <v>46</v>
      </c>
      <c r="B41" s="11" t="s">
        <v>23</v>
      </c>
      <c r="C41" s="8" t="s">
        <v>21</v>
      </c>
      <c r="D41" s="10" t="s">
        <v>22</v>
      </c>
      <c r="E41" s="7" t="s">
        <v>47</v>
      </c>
    </row>
    <row r="42" spans="1:8">
      <c r="A42" t="s">
        <v>48</v>
      </c>
      <c r="B42" s="9">
        <v>0.12</v>
      </c>
      <c r="C42" s="9">
        <v>0.1</v>
      </c>
      <c r="D42" s="9">
        <v>0.09</v>
      </c>
      <c r="E42" s="15"/>
    </row>
    <row r="43" spans="1:8">
      <c r="A43" t="s">
        <v>11</v>
      </c>
      <c r="B43" s="9">
        <v>0.025</v>
      </c>
      <c r="C43" s="9">
        <v>0.03</v>
      </c>
      <c r="D43" s="9">
        <v>0.035</v>
      </c>
      <c r="E43" s="15"/>
    </row>
    <row r="44" spans="1:8">
      <c r="A44" t="s">
        <v>49</v>
      </c>
      <c r="B44" s="16">
        <v>20.22</v>
      </c>
      <c r="C44" s="16">
        <v>38.69</v>
      </c>
      <c r="D44" s="16">
        <v>61.29</v>
      </c>
      <c r="E44" s="12">
        <f>0.25*B44+0.50*C44+0.25*D44</f>
        <v>0</v>
      </c>
    </row>
    <row r="45" spans="1:8">
      <c r="A45" t="s">
        <v>50</v>
      </c>
      <c r="B45" s="9">
        <v>0.897</v>
      </c>
      <c r="C45" s="9">
        <v>2.629</v>
      </c>
      <c r="D45" s="9">
        <v>4.75</v>
      </c>
      <c r="E45" s="13">
        <f>(E44-B6)/B6</f>
        <v>0</v>
      </c>
    </row>
    <row r="46" spans="1:8">
      <c r="A46" t="s">
        <v>51</v>
      </c>
      <c r="B46" s="14">
        <v>16.23</v>
      </c>
      <c r="C46" s="14">
        <v>27.84</v>
      </c>
      <c r="D46" s="14">
        <v>42.46</v>
      </c>
      <c r="E46" s="15"/>
    </row>
    <row r="47" spans="1:8">
      <c r="A47" t="s">
        <v>52</v>
      </c>
      <c r="B47" s="9">
        <f>($B$6-B46)/B46</f>
        <v>0</v>
      </c>
      <c r="C47" s="9">
        <f>($B$6-C46)/C46</f>
        <v>0</v>
      </c>
      <c r="D47" s="9">
        <f>($B$6-D46)/D46</f>
        <v>0</v>
      </c>
      <c r="E47" s="15"/>
    </row>
    <row r="48" spans="1:8">
      <c r="A48" t="s">
        <v>53</v>
      </c>
      <c r="B48" s="9">
        <v>0.25</v>
      </c>
      <c r="C48" s="9">
        <v>0.5</v>
      </c>
      <c r="D48" s="9">
        <v>0.25</v>
      </c>
      <c r="E48" s="9">
        <v>1</v>
      </c>
    </row>
    <row r="50" spans="1:8">
      <c r="A50" s="17" t="s">
        <v>54</v>
      </c>
      <c r="B50" s="17"/>
      <c r="C50" s="17"/>
      <c r="D50" s="17"/>
      <c r="E50" s="17"/>
      <c r="F50" s="17"/>
      <c r="G50" s="17"/>
      <c r="H50" s="17"/>
    </row>
  </sheetData>
  <mergeCells count="9">
    <mergeCell ref="A1:H1"/>
    <mergeCell ref="A2:H2"/>
    <mergeCell ref="A3:H3"/>
    <mergeCell ref="A5:H5"/>
    <mergeCell ref="A15:H15"/>
    <mergeCell ref="A21:H21"/>
    <mergeCell ref="A27:H27"/>
    <mergeCell ref="A40:H40"/>
    <mergeCell ref="A50:H5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5"/>
  <sheetViews>
    <sheetView zoomScale="90" zoomScaleNormal="90" workbookViewId="0"/>
  </sheetViews>
  <sheetFormatPr defaultRowHeight="15"/>
  <cols>
    <col min="1" max="1" width="20.7109375" customWidth="1"/>
    <col min="2" max="7" width="13.7109375" customWidth="1"/>
  </cols>
  <sheetData>
    <row r="1" spans="1:6">
      <c r="A1" s="1" t="s">
        <v>55</v>
      </c>
      <c r="B1" s="1"/>
      <c r="C1" s="1"/>
      <c r="D1" s="1"/>
      <c r="E1" s="1"/>
      <c r="F1" s="1"/>
    </row>
    <row r="2" spans="1:6">
      <c r="A2" s="2" t="s">
        <v>56</v>
      </c>
      <c r="B2" s="2"/>
      <c r="C2" s="2"/>
      <c r="D2" s="2"/>
      <c r="E2" s="2"/>
      <c r="F2" s="2"/>
    </row>
    <row r="3" spans="1:6">
      <c r="A3" s="2" t="s">
        <v>57</v>
      </c>
      <c r="B3" s="2"/>
      <c r="C3" s="2"/>
      <c r="D3" s="2"/>
      <c r="E3" s="2"/>
      <c r="F3" s="2"/>
    </row>
    <row r="5" spans="1:6">
      <c r="A5" s="7" t="s">
        <v>58</v>
      </c>
      <c r="B5" s="18">
        <v>0.02</v>
      </c>
      <c r="C5" s="18">
        <v>0.025</v>
      </c>
      <c r="D5" s="18">
        <v>0.03</v>
      </c>
      <c r="E5" s="18">
        <v>0.035</v>
      </c>
      <c r="F5" s="18">
        <v>0.04</v>
      </c>
    </row>
    <row r="6" spans="1:6">
      <c r="A6" s="19">
        <v>0.08</v>
      </c>
      <c r="B6" s="12">
        <v>48.64</v>
      </c>
      <c r="C6" s="12">
        <v>52.88</v>
      </c>
      <c r="D6" s="12">
        <v>57.96</v>
      </c>
      <c r="E6" s="12">
        <v>64.18000000000001</v>
      </c>
      <c r="F6" s="12">
        <v>71.95</v>
      </c>
    </row>
    <row r="7" spans="1:6">
      <c r="A7" s="19">
        <v>0.09</v>
      </c>
      <c r="B7" s="20">
        <v>40.3</v>
      </c>
      <c r="C7" s="12">
        <v>43.26</v>
      </c>
      <c r="D7" s="12">
        <v>46.71</v>
      </c>
      <c r="E7" s="12">
        <v>50.8</v>
      </c>
      <c r="F7" s="12">
        <v>55.7</v>
      </c>
    </row>
    <row r="8" spans="1:6">
      <c r="A8" s="19">
        <v>0.1</v>
      </c>
      <c r="B8" s="20">
        <v>34.05</v>
      </c>
      <c r="C8" s="20">
        <v>36.22</v>
      </c>
      <c r="D8" s="20">
        <v>38.69</v>
      </c>
      <c r="E8" s="20">
        <v>41.55</v>
      </c>
      <c r="F8" s="12">
        <v>44.88</v>
      </c>
    </row>
    <row r="9" spans="1:6">
      <c r="A9" s="19">
        <v>0.11</v>
      </c>
      <c r="B9" s="21">
        <v>29.2</v>
      </c>
      <c r="C9" s="21">
        <v>30.84</v>
      </c>
      <c r="D9" s="20">
        <v>32.68</v>
      </c>
      <c r="E9" s="20">
        <v>34.77</v>
      </c>
      <c r="F9" s="20">
        <v>37.16</v>
      </c>
    </row>
    <row r="10" spans="1:6">
      <c r="A10" s="19">
        <v>0.12</v>
      </c>
      <c r="B10" s="21">
        <v>25.32</v>
      </c>
      <c r="C10" s="21">
        <v>26.59</v>
      </c>
      <c r="D10" s="21">
        <v>28.01</v>
      </c>
      <c r="E10" s="21">
        <v>29.59</v>
      </c>
      <c r="F10" s="21">
        <v>31.36</v>
      </c>
    </row>
    <row r="12" spans="1:6">
      <c r="A12" s="3" t="s">
        <v>59</v>
      </c>
      <c r="B12" s="22"/>
      <c r="C12" s="15" t="s">
        <v>60</v>
      </c>
    </row>
    <row r="13" spans="1:6">
      <c r="B13" s="23"/>
      <c r="C13" s="15" t="s">
        <v>61</v>
      </c>
    </row>
    <row r="14" spans="1:6">
      <c r="B14" s="24"/>
      <c r="C14" s="15" t="s">
        <v>62</v>
      </c>
    </row>
    <row r="15" spans="1:6" ht="50" customHeight="1">
      <c r="A15" s="25" t="s">
        <v>63</v>
      </c>
      <c r="B15" s="25"/>
      <c r="C15" s="25"/>
      <c r="D15" s="25"/>
      <c r="E15" s="25"/>
      <c r="F15" s="25"/>
    </row>
  </sheetData>
  <mergeCells count="4">
    <mergeCell ref="A1:F1"/>
    <mergeCell ref="A2:F2"/>
    <mergeCell ref="A3:F3"/>
    <mergeCell ref="A15:F1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H58"/>
  <sheetViews>
    <sheetView zoomScale="90" zoomScaleNormal="90" workbookViewId="0"/>
  </sheetViews>
  <sheetFormatPr defaultRowHeight="15"/>
  <cols>
    <col min="1" max="1" width="26.7109375" customWidth="1"/>
    <col min="2" max="8" width="14.7109375" customWidth="1"/>
  </cols>
  <sheetData>
    <row r="1" spans="1:8">
      <c r="A1" s="1" t="s">
        <v>64</v>
      </c>
      <c r="B1" s="1"/>
      <c r="C1" s="1"/>
      <c r="D1" s="1"/>
      <c r="E1" s="1"/>
      <c r="F1" s="1"/>
      <c r="G1" s="1"/>
      <c r="H1" s="1"/>
    </row>
    <row r="3" spans="1:8">
      <c r="A3" s="10" t="s">
        <v>65</v>
      </c>
      <c r="B3" s="10"/>
      <c r="C3" s="10"/>
      <c r="D3" s="10"/>
      <c r="E3" s="10"/>
      <c r="F3" s="10"/>
      <c r="G3" s="10"/>
      <c r="H3" s="10"/>
    </row>
    <row r="4" spans="1:8" ht="30" customHeight="1">
      <c r="A4" s="26" t="s">
        <v>66</v>
      </c>
      <c r="B4" s="26"/>
      <c r="C4" s="26"/>
      <c r="D4" s="26"/>
      <c r="E4" s="26"/>
      <c r="F4" s="26"/>
      <c r="G4" s="26"/>
      <c r="H4" s="26"/>
    </row>
    <row r="5" spans="1:8">
      <c r="A5" s="7" t="s">
        <v>25</v>
      </c>
      <c r="B5" s="7" t="s">
        <v>67</v>
      </c>
      <c r="C5" s="7" t="s">
        <v>68</v>
      </c>
      <c r="D5" s="7" t="s">
        <v>69</v>
      </c>
      <c r="E5" s="7" t="s">
        <v>70</v>
      </c>
      <c r="F5" s="7" t="s">
        <v>71</v>
      </c>
      <c r="G5" s="7" t="s">
        <v>72</v>
      </c>
      <c r="H5" s="7" t="s">
        <v>27</v>
      </c>
    </row>
    <row r="6" spans="1:8">
      <c r="A6" t="s">
        <v>73</v>
      </c>
      <c r="B6" s="9">
        <v>0.2</v>
      </c>
      <c r="C6" s="9">
        <v>0.18</v>
      </c>
      <c r="D6" s="9">
        <v>0.15</v>
      </c>
      <c r="E6" s="9">
        <v>0.12</v>
      </c>
      <c r="F6" s="9">
        <v>0.1</v>
      </c>
      <c r="G6" s="15"/>
      <c r="H6" s="15" t="s">
        <v>74</v>
      </c>
    </row>
    <row r="7" spans="1:8">
      <c r="A7" t="s">
        <v>75</v>
      </c>
      <c r="B7" s="5">
        <v>657.8</v>
      </c>
      <c r="C7" s="5">
        <v>776.3</v>
      </c>
      <c r="D7" s="5">
        <v>892.7</v>
      </c>
      <c r="E7" s="5">
        <v>999.8</v>
      </c>
      <c r="F7" s="5">
        <v>1099.8</v>
      </c>
      <c r="G7" s="15"/>
      <c r="H7" s="15" t="s">
        <v>76</v>
      </c>
    </row>
    <row r="8" spans="1:8">
      <c r="A8" t="s">
        <v>29</v>
      </c>
      <c r="B8" s="5">
        <v>0.9174</v>
      </c>
      <c r="C8" s="5">
        <v>0.8417</v>
      </c>
      <c r="D8" s="5">
        <v>0.7722</v>
      </c>
      <c r="E8" s="5">
        <v>0.7084</v>
      </c>
      <c r="F8" s="5">
        <v>0.6499</v>
      </c>
      <c r="G8" s="15"/>
      <c r="H8" s="15"/>
    </row>
    <row r="9" spans="1:8">
      <c r="A9" t="s">
        <v>30</v>
      </c>
      <c r="B9" s="5">
        <v>603.5</v>
      </c>
      <c r="C9" s="5">
        <v>653.4</v>
      </c>
      <c r="D9" s="5">
        <v>689.3</v>
      </c>
      <c r="E9" s="5">
        <v>708.3</v>
      </c>
      <c r="F9" s="5">
        <v>714.8</v>
      </c>
      <c r="G9" s="5">
        <v>3369.3</v>
      </c>
      <c r="H9" s="15" t="s">
        <v>77</v>
      </c>
    </row>
    <row r="10" spans="1:8">
      <c r="A10" t="s">
        <v>78</v>
      </c>
      <c r="B10" s="5">
        <v>1138.3</v>
      </c>
      <c r="C10" s="15"/>
      <c r="D10" s="15"/>
      <c r="E10" s="15"/>
      <c r="F10" s="15"/>
      <c r="G10" s="15"/>
      <c r="H10" s="15" t="s">
        <v>79</v>
      </c>
    </row>
    <row r="11" spans="1:8">
      <c r="A11" t="s">
        <v>80</v>
      </c>
      <c r="B11" s="5">
        <v>20696.2</v>
      </c>
      <c r="C11" s="15"/>
      <c r="D11" s="15"/>
      <c r="E11" s="15"/>
      <c r="F11" s="15"/>
      <c r="G11" s="15"/>
      <c r="H11" s="15" t="s">
        <v>81</v>
      </c>
    </row>
    <row r="12" spans="1:8">
      <c r="A12" t="s">
        <v>35</v>
      </c>
      <c r="B12" s="5">
        <v>13450.5</v>
      </c>
      <c r="C12" s="15"/>
      <c r="D12" s="15"/>
      <c r="E12" s="15"/>
      <c r="F12" s="15"/>
      <c r="G12" s="15"/>
      <c r="H12" s="15" t="s">
        <v>82</v>
      </c>
    </row>
    <row r="13" spans="1:8">
      <c r="A13" t="s">
        <v>36</v>
      </c>
      <c r="B13" s="5">
        <v>16819.8</v>
      </c>
      <c r="C13" s="15"/>
      <c r="D13" s="15"/>
      <c r="E13" s="15"/>
      <c r="F13" s="15"/>
      <c r="G13" s="15"/>
      <c r="H13" s="15" t="s">
        <v>83</v>
      </c>
    </row>
    <row r="14" spans="1:8">
      <c r="A14" t="s">
        <v>84</v>
      </c>
      <c r="B14" s="5">
        <v>1965.4</v>
      </c>
      <c r="C14" s="15"/>
      <c r="D14" s="15"/>
      <c r="E14" s="15"/>
      <c r="F14" s="15"/>
      <c r="G14" s="15"/>
      <c r="H14" s="15" t="s">
        <v>85</v>
      </c>
    </row>
    <row r="15" spans="1:8">
      <c r="A15" t="s">
        <v>38</v>
      </c>
      <c r="B15" s="5">
        <v>14854.4</v>
      </c>
      <c r="C15" s="15"/>
      <c r="D15" s="15"/>
      <c r="E15" s="15"/>
      <c r="F15" s="15"/>
      <c r="G15" s="15"/>
      <c r="H15" s="15" t="s">
        <v>86</v>
      </c>
    </row>
    <row r="16" spans="1:8">
      <c r="A16" s="3" t="s">
        <v>87</v>
      </c>
      <c r="B16" s="12">
        <v>61.29</v>
      </c>
      <c r="C16" s="15"/>
      <c r="D16" s="15"/>
      <c r="E16" s="15"/>
      <c r="F16" s="15"/>
      <c r="G16" s="15"/>
      <c r="H16" s="15" t="s">
        <v>88</v>
      </c>
    </row>
    <row r="17" spans="1:8">
      <c r="A17" t="s">
        <v>50</v>
      </c>
      <c r="B17" s="13">
        <v>4.75</v>
      </c>
      <c r="C17" s="15"/>
      <c r="D17" s="15"/>
      <c r="E17" s="15"/>
      <c r="F17" s="15"/>
      <c r="G17" s="15"/>
      <c r="H17" s="15"/>
    </row>
    <row r="18" spans="1:8">
      <c r="A18" t="s">
        <v>89</v>
      </c>
      <c r="B18" s="16">
        <v>85.39</v>
      </c>
      <c r="C18" s="15"/>
      <c r="D18" s="15"/>
      <c r="E18" s="15"/>
      <c r="F18" s="15"/>
      <c r="G18" s="15"/>
      <c r="H18" s="15" t="s">
        <v>90</v>
      </c>
    </row>
    <row r="19" spans="1:8">
      <c r="A19" s="3" t="s">
        <v>91</v>
      </c>
      <c r="B19" s="14">
        <v>42.46</v>
      </c>
      <c r="C19" s="15"/>
      <c r="D19" s="15"/>
      <c r="E19" s="15"/>
      <c r="F19" s="15"/>
      <c r="G19" s="15"/>
      <c r="H19" s="15" t="s">
        <v>92</v>
      </c>
    </row>
    <row r="20" spans="1:8">
      <c r="A20" t="s">
        <v>93</v>
      </c>
      <c r="B20" s="13" t="s">
        <v>94</v>
      </c>
      <c r="C20" s="15"/>
      <c r="D20" s="15"/>
      <c r="E20" s="15"/>
      <c r="F20" s="15"/>
      <c r="G20" s="15"/>
      <c r="H20" s="15" t="s">
        <v>95</v>
      </c>
    </row>
    <row r="22" spans="1:8">
      <c r="A22" s="8" t="s">
        <v>96</v>
      </c>
      <c r="B22" s="8"/>
      <c r="C22" s="8"/>
      <c r="D22" s="8"/>
      <c r="E22" s="8"/>
      <c r="F22" s="8"/>
      <c r="G22" s="8"/>
      <c r="H22" s="8"/>
    </row>
    <row r="23" spans="1:8" ht="30" customHeight="1">
      <c r="A23" s="26" t="s">
        <v>97</v>
      </c>
      <c r="B23" s="26"/>
      <c r="C23" s="26"/>
      <c r="D23" s="26"/>
      <c r="E23" s="26"/>
      <c r="F23" s="26"/>
      <c r="G23" s="26"/>
      <c r="H23" s="26"/>
    </row>
    <row r="24" spans="1:8">
      <c r="A24" s="7" t="s">
        <v>25</v>
      </c>
      <c r="B24" s="7" t="s">
        <v>67</v>
      </c>
      <c r="C24" s="7" t="s">
        <v>68</v>
      </c>
      <c r="D24" s="7" t="s">
        <v>69</v>
      </c>
      <c r="E24" s="7" t="s">
        <v>70</v>
      </c>
      <c r="F24" s="7" t="s">
        <v>71</v>
      </c>
      <c r="G24" s="7" t="s">
        <v>72</v>
      </c>
      <c r="H24" s="7" t="s">
        <v>27</v>
      </c>
    </row>
    <row r="25" spans="1:8">
      <c r="A25" t="s">
        <v>73</v>
      </c>
      <c r="B25" s="9">
        <v>0.15</v>
      </c>
      <c r="C25" s="9">
        <v>0.13</v>
      </c>
      <c r="D25" s="9">
        <v>0.11</v>
      </c>
      <c r="E25" s="9">
        <v>0.09</v>
      </c>
      <c r="F25" s="9">
        <v>0.07000000000000001</v>
      </c>
      <c r="G25" s="15"/>
      <c r="H25" s="15" t="s">
        <v>98</v>
      </c>
    </row>
    <row r="26" spans="1:8">
      <c r="A26" t="s">
        <v>75</v>
      </c>
      <c r="B26" s="5">
        <v>630.4</v>
      </c>
      <c r="C26" s="5">
        <v>712.4</v>
      </c>
      <c r="D26" s="5">
        <v>790.7</v>
      </c>
      <c r="E26" s="5">
        <v>861.9</v>
      </c>
      <c r="F26" s="5">
        <v>922.2</v>
      </c>
      <c r="G26" s="15"/>
      <c r="H26" s="15" t="s">
        <v>76</v>
      </c>
    </row>
    <row r="27" spans="1:8">
      <c r="A27" t="s">
        <v>29</v>
      </c>
      <c r="B27" s="5">
        <v>0.9091</v>
      </c>
      <c r="C27" s="5">
        <v>0.8264</v>
      </c>
      <c r="D27" s="5">
        <v>0.7513</v>
      </c>
      <c r="E27" s="5">
        <v>0.6830000000000001</v>
      </c>
      <c r="F27" s="5">
        <v>0.6209</v>
      </c>
      <c r="G27" s="15"/>
      <c r="H27" s="15"/>
    </row>
    <row r="28" spans="1:8">
      <c r="A28" t="s">
        <v>30</v>
      </c>
      <c r="B28" s="5">
        <v>573.1</v>
      </c>
      <c r="C28" s="5">
        <v>588.7</v>
      </c>
      <c r="D28" s="5">
        <v>594.1</v>
      </c>
      <c r="E28" s="5">
        <v>588.7</v>
      </c>
      <c r="F28" s="5">
        <v>572.6</v>
      </c>
      <c r="G28" s="5">
        <v>2917.2</v>
      </c>
      <c r="H28" s="15" t="s">
        <v>77</v>
      </c>
    </row>
    <row r="29" spans="1:8">
      <c r="A29" t="s">
        <v>78</v>
      </c>
      <c r="B29" s="5">
        <v>949.9</v>
      </c>
      <c r="C29" s="15"/>
      <c r="D29" s="15"/>
      <c r="E29" s="15"/>
      <c r="F29" s="15"/>
      <c r="G29" s="15"/>
      <c r="H29" s="15" t="s">
        <v>99</v>
      </c>
    </row>
    <row r="30" spans="1:8">
      <c r="A30" t="s">
        <v>80</v>
      </c>
      <c r="B30" s="5">
        <v>13569.5</v>
      </c>
      <c r="C30" s="15"/>
      <c r="D30" s="15"/>
      <c r="E30" s="15"/>
      <c r="F30" s="15"/>
      <c r="G30" s="15"/>
      <c r="H30" s="15" t="s">
        <v>81</v>
      </c>
    </row>
    <row r="31" spans="1:8">
      <c r="A31" t="s">
        <v>35</v>
      </c>
      <c r="B31" s="5">
        <v>8425.299999999999</v>
      </c>
      <c r="C31" s="15"/>
      <c r="D31" s="15"/>
      <c r="E31" s="15"/>
      <c r="F31" s="15"/>
      <c r="G31" s="15"/>
      <c r="H31" s="15" t="s">
        <v>82</v>
      </c>
    </row>
    <row r="32" spans="1:8">
      <c r="A32" t="s">
        <v>36</v>
      </c>
      <c r="B32" s="5">
        <v>11342.5</v>
      </c>
      <c r="C32" s="15"/>
      <c r="D32" s="15"/>
      <c r="E32" s="15"/>
      <c r="F32" s="15"/>
      <c r="G32" s="15"/>
      <c r="H32" s="15" t="s">
        <v>83</v>
      </c>
    </row>
    <row r="33" spans="1:8">
      <c r="A33" t="s">
        <v>84</v>
      </c>
      <c r="B33" s="5">
        <v>1965.4</v>
      </c>
      <c r="C33" s="15"/>
      <c r="D33" s="15"/>
      <c r="E33" s="15"/>
      <c r="F33" s="15"/>
      <c r="G33" s="15"/>
      <c r="H33" s="15" t="s">
        <v>85</v>
      </c>
    </row>
    <row r="34" spans="1:8">
      <c r="A34" t="s">
        <v>38</v>
      </c>
      <c r="B34" s="5">
        <v>9377.1</v>
      </c>
      <c r="C34" s="15"/>
      <c r="D34" s="15"/>
      <c r="E34" s="15"/>
      <c r="F34" s="15"/>
      <c r="G34" s="15"/>
      <c r="H34" s="15" t="s">
        <v>86</v>
      </c>
    </row>
    <row r="35" spans="1:8">
      <c r="A35" s="3" t="s">
        <v>87</v>
      </c>
      <c r="B35" s="12">
        <v>38.69</v>
      </c>
      <c r="C35" s="15"/>
      <c r="D35" s="15"/>
      <c r="E35" s="15"/>
      <c r="F35" s="15"/>
      <c r="G35" s="15"/>
      <c r="H35" s="15" t="s">
        <v>88</v>
      </c>
    </row>
    <row r="36" spans="1:8">
      <c r="A36" t="s">
        <v>50</v>
      </c>
      <c r="B36" s="13">
        <v>2.629</v>
      </c>
      <c r="C36" s="15"/>
      <c r="D36" s="15"/>
      <c r="E36" s="15"/>
      <c r="F36" s="15"/>
      <c r="G36" s="15"/>
      <c r="H36" s="15"/>
    </row>
    <row r="37" spans="1:8">
      <c r="A37" t="s">
        <v>89</v>
      </c>
      <c r="B37" s="16">
        <v>55.99</v>
      </c>
      <c r="C37" s="15"/>
      <c r="D37" s="15"/>
      <c r="E37" s="15"/>
      <c r="F37" s="15"/>
      <c r="G37" s="15"/>
      <c r="H37" s="15" t="s">
        <v>90</v>
      </c>
    </row>
    <row r="38" spans="1:8">
      <c r="A38" s="3" t="s">
        <v>91</v>
      </c>
      <c r="B38" s="14">
        <v>27.84</v>
      </c>
      <c r="C38" s="15"/>
      <c r="D38" s="15"/>
      <c r="E38" s="15"/>
      <c r="F38" s="15"/>
      <c r="G38" s="15"/>
      <c r="H38" s="15" t="s">
        <v>92</v>
      </c>
    </row>
    <row r="39" spans="1:8">
      <c r="A39" t="s">
        <v>93</v>
      </c>
      <c r="B39" s="13" t="s">
        <v>100</v>
      </c>
      <c r="C39" s="15"/>
      <c r="D39" s="15"/>
      <c r="E39" s="15"/>
      <c r="F39" s="15"/>
      <c r="G39" s="15"/>
      <c r="H39" s="15" t="s">
        <v>95</v>
      </c>
    </row>
    <row r="41" spans="1:8">
      <c r="A41" s="11" t="s">
        <v>101</v>
      </c>
      <c r="B41" s="11"/>
      <c r="C41" s="11"/>
      <c r="D41" s="11"/>
      <c r="E41" s="11"/>
      <c r="F41" s="11"/>
      <c r="G41" s="11"/>
      <c r="H41" s="11"/>
    </row>
    <row r="42" spans="1:8" ht="30" customHeight="1">
      <c r="A42" s="26" t="s">
        <v>102</v>
      </c>
      <c r="B42" s="26"/>
      <c r="C42" s="26"/>
      <c r="D42" s="26"/>
      <c r="E42" s="26"/>
      <c r="F42" s="26"/>
      <c r="G42" s="26"/>
      <c r="H42" s="26"/>
    </row>
    <row r="43" spans="1:8">
      <c r="A43" s="7" t="s">
        <v>25</v>
      </c>
      <c r="B43" s="7" t="s">
        <v>67</v>
      </c>
      <c r="C43" s="7" t="s">
        <v>68</v>
      </c>
      <c r="D43" s="7" t="s">
        <v>69</v>
      </c>
      <c r="E43" s="7" t="s">
        <v>70</v>
      </c>
      <c r="F43" s="7" t="s">
        <v>71</v>
      </c>
      <c r="G43" s="7" t="s">
        <v>72</v>
      </c>
      <c r="H43" s="7" t="s">
        <v>27</v>
      </c>
    </row>
    <row r="44" spans="1:8">
      <c r="A44" t="s">
        <v>73</v>
      </c>
      <c r="B44" s="9">
        <v>0.08</v>
      </c>
      <c r="C44" s="9">
        <v>0.07000000000000001</v>
      </c>
      <c r="D44" s="9">
        <v>0.06</v>
      </c>
      <c r="E44" s="9">
        <v>0.05</v>
      </c>
      <c r="F44" s="9">
        <v>0.04</v>
      </c>
      <c r="G44" s="15"/>
      <c r="H44" s="15" t="s">
        <v>103</v>
      </c>
    </row>
    <row r="45" spans="1:8">
      <c r="A45" t="s">
        <v>75</v>
      </c>
      <c r="B45" s="5">
        <v>592.1</v>
      </c>
      <c r="C45" s="5">
        <v>633.5</v>
      </c>
      <c r="D45" s="5">
        <v>671.5</v>
      </c>
      <c r="E45" s="5">
        <v>705.1</v>
      </c>
      <c r="F45" s="5">
        <v>733.3</v>
      </c>
      <c r="G45" s="15"/>
      <c r="H45" s="15" t="s">
        <v>76</v>
      </c>
    </row>
    <row r="46" spans="1:8">
      <c r="A46" t="s">
        <v>29</v>
      </c>
      <c r="B46" s="5">
        <v>0.8929</v>
      </c>
      <c r="C46" s="5">
        <v>0.7972</v>
      </c>
      <c r="D46" s="5">
        <v>0.7118</v>
      </c>
      <c r="E46" s="5">
        <v>0.6355</v>
      </c>
      <c r="F46" s="5">
        <v>0.5674</v>
      </c>
      <c r="G46" s="15"/>
      <c r="H46" s="15"/>
    </row>
    <row r="47" spans="1:8">
      <c r="A47" t="s">
        <v>30</v>
      </c>
      <c r="B47" s="5">
        <v>528.6</v>
      </c>
      <c r="C47" s="5">
        <v>505</v>
      </c>
      <c r="D47" s="5">
        <v>478</v>
      </c>
      <c r="E47" s="5">
        <v>448.1</v>
      </c>
      <c r="F47" s="5">
        <v>416.1</v>
      </c>
      <c r="G47" s="5">
        <v>2375.8</v>
      </c>
      <c r="H47" s="15" t="s">
        <v>77</v>
      </c>
    </row>
    <row r="48" spans="1:8">
      <c r="A48" t="s">
        <v>78</v>
      </c>
      <c r="B48" s="5">
        <v>751.6</v>
      </c>
      <c r="C48" s="15"/>
      <c r="D48" s="15"/>
      <c r="E48" s="15"/>
      <c r="F48" s="15"/>
      <c r="G48" s="15"/>
      <c r="H48" s="15" t="s">
        <v>104</v>
      </c>
    </row>
    <row r="49" spans="1:8">
      <c r="A49" t="s">
        <v>80</v>
      </c>
      <c r="B49" s="5">
        <v>7911.9</v>
      </c>
      <c r="C49" s="15"/>
      <c r="D49" s="15"/>
      <c r="E49" s="15"/>
      <c r="F49" s="15"/>
      <c r="G49" s="15"/>
      <c r="H49" s="15" t="s">
        <v>81</v>
      </c>
    </row>
    <row r="50" spans="1:8">
      <c r="A50" t="s">
        <v>35</v>
      </c>
      <c r="B50" s="5">
        <v>4489.2</v>
      </c>
      <c r="C50" s="15"/>
      <c r="D50" s="15"/>
      <c r="E50" s="15"/>
      <c r="F50" s="15"/>
      <c r="G50" s="15"/>
      <c r="H50" s="15" t="s">
        <v>82</v>
      </c>
    </row>
    <row r="51" spans="1:8">
      <c r="A51" t="s">
        <v>36</v>
      </c>
      <c r="B51" s="5">
        <v>6865</v>
      </c>
      <c r="C51" s="15"/>
      <c r="D51" s="15"/>
      <c r="E51" s="15"/>
      <c r="F51" s="15"/>
      <c r="G51" s="15"/>
      <c r="H51" s="15" t="s">
        <v>83</v>
      </c>
    </row>
    <row r="52" spans="1:8">
      <c r="A52" t="s">
        <v>84</v>
      </c>
      <c r="B52" s="5">
        <v>1965.4</v>
      </c>
      <c r="C52" s="15"/>
      <c r="D52" s="15"/>
      <c r="E52" s="15"/>
      <c r="F52" s="15"/>
      <c r="G52" s="15"/>
      <c r="H52" s="15" t="s">
        <v>85</v>
      </c>
    </row>
    <row r="53" spans="1:8">
      <c r="A53" t="s">
        <v>38</v>
      </c>
      <c r="B53" s="5">
        <v>4899.6</v>
      </c>
      <c r="C53" s="15"/>
      <c r="D53" s="15"/>
      <c r="E53" s="15"/>
      <c r="F53" s="15"/>
      <c r="G53" s="15"/>
      <c r="H53" s="15" t="s">
        <v>86</v>
      </c>
    </row>
    <row r="54" spans="1:8">
      <c r="A54" s="3" t="s">
        <v>87</v>
      </c>
      <c r="B54" s="12">
        <v>20.22</v>
      </c>
      <c r="C54" s="15"/>
      <c r="D54" s="15"/>
      <c r="E54" s="15"/>
      <c r="F54" s="15"/>
      <c r="G54" s="15"/>
      <c r="H54" s="15" t="s">
        <v>88</v>
      </c>
    </row>
    <row r="55" spans="1:8">
      <c r="A55" t="s">
        <v>50</v>
      </c>
      <c r="B55" s="13">
        <v>0.897</v>
      </c>
      <c r="C55" s="15"/>
      <c r="D55" s="15"/>
      <c r="E55" s="15"/>
      <c r="F55" s="15"/>
      <c r="G55" s="15"/>
      <c r="H55" s="15"/>
    </row>
    <row r="56" spans="1:8">
      <c r="A56" t="s">
        <v>89</v>
      </c>
      <c r="B56" s="16">
        <v>32.65</v>
      </c>
      <c r="C56" s="15"/>
      <c r="D56" s="15"/>
      <c r="E56" s="15"/>
      <c r="F56" s="15"/>
      <c r="G56" s="15"/>
      <c r="H56" s="15" t="s">
        <v>90</v>
      </c>
    </row>
    <row r="57" spans="1:8">
      <c r="A57" s="3" t="s">
        <v>91</v>
      </c>
      <c r="B57" s="14">
        <v>16.23</v>
      </c>
      <c r="C57" s="15"/>
      <c r="D57" s="15"/>
      <c r="E57" s="15"/>
      <c r="F57" s="15"/>
      <c r="G57" s="15"/>
      <c r="H57" s="15" t="s">
        <v>92</v>
      </c>
    </row>
    <row r="58" spans="1:8">
      <c r="A58" t="s">
        <v>93</v>
      </c>
      <c r="B58" s="13" t="s">
        <v>105</v>
      </c>
      <c r="C58" s="15"/>
      <c r="D58" s="15"/>
      <c r="E58" s="15"/>
      <c r="F58" s="15"/>
      <c r="G58" s="15"/>
      <c r="H58" s="15" t="s">
        <v>95</v>
      </c>
    </row>
  </sheetData>
  <mergeCells count="1">
    <mergeCell ref="A1:H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20"/>
  <sheetViews>
    <sheetView zoomScale="90" zoomScaleNormal="90" workbookViewId="0"/>
  </sheetViews>
  <sheetFormatPr defaultRowHeight="15"/>
  <cols>
    <col min="1" max="1" width="25.7109375" customWidth="1"/>
    <col min="2" max="5" width="16.7109375" customWidth="1"/>
  </cols>
  <sheetData>
    <row r="1" spans="1:5">
      <c r="A1" s="1" t="s">
        <v>106</v>
      </c>
      <c r="B1" s="1"/>
      <c r="C1" s="1"/>
      <c r="D1" s="1"/>
      <c r="E1" s="1"/>
    </row>
    <row r="2" spans="1:5">
      <c r="A2" s="2" t="s">
        <v>107</v>
      </c>
      <c r="B2" s="2"/>
      <c r="C2" s="2"/>
      <c r="D2" s="2"/>
      <c r="E2" s="2"/>
    </row>
    <row r="3" spans="1:5">
      <c r="A3" s="7" t="s">
        <v>46</v>
      </c>
      <c r="B3" s="7" t="s">
        <v>108</v>
      </c>
      <c r="C3" s="7" t="s">
        <v>109</v>
      </c>
      <c r="D3" s="7" t="s">
        <v>110</v>
      </c>
      <c r="E3" s="7" t="s">
        <v>27</v>
      </c>
    </row>
    <row r="4" spans="1:5">
      <c r="A4" s="27" t="s">
        <v>111</v>
      </c>
      <c r="B4" s="28">
        <v>0.1487</v>
      </c>
      <c r="C4" s="28">
        <v>0.1598</v>
      </c>
      <c r="D4" s="27" t="s">
        <v>112</v>
      </c>
      <c r="E4" s="27" t="s">
        <v>113</v>
      </c>
    </row>
    <row r="5" spans="1:5">
      <c r="A5" s="27" t="s">
        <v>114</v>
      </c>
      <c r="B5" s="28">
        <v>0.184</v>
      </c>
      <c r="C5" s="28">
        <v>0.1896</v>
      </c>
      <c r="D5" s="27" t="s">
        <v>112</v>
      </c>
      <c r="E5" s="27" t="s">
        <v>115</v>
      </c>
    </row>
    <row r="6" spans="1:5">
      <c r="A6" s="27" t="s">
        <v>116</v>
      </c>
      <c r="B6" s="28">
        <v>0.1492</v>
      </c>
      <c r="C6" s="28">
        <v>0.1969</v>
      </c>
      <c r="D6" s="27" t="s">
        <v>112</v>
      </c>
      <c r="E6" s="27" t="s">
        <v>117</v>
      </c>
    </row>
    <row r="7" spans="1:5">
      <c r="A7" s="29" t="s">
        <v>118</v>
      </c>
      <c r="B7" s="30">
        <v>0.1266</v>
      </c>
      <c r="C7" s="30">
        <v>0.1549</v>
      </c>
      <c r="D7" s="29" t="s">
        <v>112</v>
      </c>
      <c r="E7" s="29" t="s">
        <v>119</v>
      </c>
    </row>
    <row r="9" spans="1:5">
      <c r="A9" s="3" t="s">
        <v>120</v>
      </c>
      <c r="B9" s="9">
        <v>0.1549</v>
      </c>
      <c r="C9" s="15"/>
      <c r="D9" s="15" t="s">
        <v>121</v>
      </c>
      <c r="E9" s="15" t="s">
        <v>122</v>
      </c>
    </row>
    <row r="10" spans="1:5">
      <c r="A10" s="3" t="s">
        <v>123</v>
      </c>
      <c r="B10" s="15" t="s">
        <v>124</v>
      </c>
      <c r="C10" s="15"/>
      <c r="D10" s="15" t="s">
        <v>125</v>
      </c>
      <c r="E10" s="15" t="s">
        <v>126</v>
      </c>
    </row>
    <row r="11" spans="1:5" ht="45" customHeight="1">
      <c r="A11" s="17" t="s">
        <v>127</v>
      </c>
      <c r="B11" s="17"/>
      <c r="C11" s="17"/>
      <c r="D11" s="17"/>
      <c r="E11" s="17"/>
    </row>
    <row r="13" spans="1:5">
      <c r="A13" s="3" t="s">
        <v>128</v>
      </c>
      <c r="B13" s="3"/>
      <c r="C13" s="3"/>
      <c r="D13" s="3"/>
      <c r="E13" s="3"/>
    </row>
    <row r="14" spans="1:5">
      <c r="A14" s="7" t="s">
        <v>110</v>
      </c>
      <c r="B14" s="7" t="s">
        <v>129</v>
      </c>
      <c r="C14" s="7" t="s">
        <v>130</v>
      </c>
      <c r="D14" s="7" t="s">
        <v>131</v>
      </c>
      <c r="E14" s="7" t="s">
        <v>132</v>
      </c>
    </row>
    <row r="15" spans="1:5">
      <c r="A15" s="15" t="s">
        <v>133</v>
      </c>
      <c r="B15" s="5">
        <v>266.8</v>
      </c>
      <c r="C15" s="15"/>
      <c r="D15" s="5">
        <v>98.3</v>
      </c>
      <c r="E15" s="5">
        <v>1354.8</v>
      </c>
    </row>
    <row r="16" spans="1:5">
      <c r="A16" s="15" t="s">
        <v>134</v>
      </c>
      <c r="B16" s="5">
        <v>266.8</v>
      </c>
      <c r="C16" s="9">
        <v>0</v>
      </c>
      <c r="D16" s="5"/>
      <c r="E16" s="5">
        <v>1924.5</v>
      </c>
    </row>
    <row r="17" spans="1:5">
      <c r="A17" s="15" t="s">
        <v>135</v>
      </c>
      <c r="B17" s="5">
        <v>383.4</v>
      </c>
      <c r="C17" s="9">
        <v>0.4370314842578709</v>
      </c>
      <c r="D17" s="5">
        <v>141.1</v>
      </c>
      <c r="E17" s="5">
        <v>2193</v>
      </c>
    </row>
    <row r="18" spans="1:5">
      <c r="A18" s="15" t="s">
        <v>136</v>
      </c>
      <c r="B18" s="5">
        <v>369.2</v>
      </c>
      <c r="C18" s="9">
        <v>-0.03703703703703698</v>
      </c>
      <c r="D18" s="5">
        <v>171.4</v>
      </c>
      <c r="E18" s="5">
        <v>2605.4</v>
      </c>
    </row>
    <row r="19" spans="1:5">
      <c r="A19" s="15" t="s">
        <v>137</v>
      </c>
      <c r="B19" s="5">
        <v>443.2</v>
      </c>
      <c r="C19" s="9">
        <v>0.200433369447454</v>
      </c>
      <c r="D19" s="5">
        <v>206.4</v>
      </c>
      <c r="E19" s="5">
        <v>2969.5</v>
      </c>
    </row>
    <row r="20" spans="1:5">
      <c r="A20" s="15" t="s">
        <v>138</v>
      </c>
      <c r="B20" s="5">
        <v>548.2</v>
      </c>
      <c r="C20" s="9">
        <v>0.2369133574007221</v>
      </c>
      <c r="D20" s="5">
        <v>234.2</v>
      </c>
      <c r="E20" s="5">
        <v>3327.9</v>
      </c>
    </row>
  </sheetData>
  <mergeCells count="4">
    <mergeCell ref="A1:E1"/>
    <mergeCell ref="A2:E2"/>
    <mergeCell ref="A11:E11"/>
    <mergeCell ref="A13:E1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DCF Model</vt:lpstr>
      <vt:lpstr>Sensitivity</vt:lpstr>
      <vt:lpstr>Scenario Detail</vt:lpstr>
      <vt:lpstr>Historical 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2026-02-28T00:21:39Z</dcterms:created>
  <dcterms:modified xsi:type="dcterms:W3CDTF">2026-02-28T00:21:39Z</dcterms:modified>
</cp:coreProperties>
</file>