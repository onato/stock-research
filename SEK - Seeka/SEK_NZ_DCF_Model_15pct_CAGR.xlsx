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Historical Financials" sheetId="2" state="visible" r:id="rId4"/>
    <sheet name="DCF Model" sheetId="3" state="visible" r:id="rId5"/>
    <sheet name="15% CAGR Entry Price" sheetId="4" state="visible" r:id="rId6"/>
    <sheet name="Sensitivity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<sst xmlns="http://schemas.openxmlformats.org/spreadsheetml/2006/main" count="159" uniqueCount="157">
  <si>
    <t xml:space="preserve">SEEKA LIMITED (SEK.NZ) - DEEP DIVE &amp; DCF VALUATION</t>
  </si>
  <si>
    <t xml:space="preserve">COMPANY OVERVIEW</t>
  </si>
  <si>
    <t xml:space="preserve">Business Description:</t>
  </si>
  <si>
    <t xml:space="preserve">Seeka Limited is New Zealand's largest kiwifruit post-harvest operator and integrated horticultural company.</t>
  </si>
  <si>
    <t xml:space="preserve">The company grows, processes, distributes and markets high-quality produce globally, with ~21% market share in NZ kiwifruit.</t>
  </si>
  <si>
    <t xml:space="preserve">Core business segments: Orchard Operations, Post-Harvest Operations, Retail Services, Australian Operations.</t>
  </si>
  <si>
    <t xml:space="preserve">KEY INVESTMENT HIGHLIGHTS</t>
  </si>
  <si>
    <t xml:space="preserve">1. Market Leader: Dominant 21% market share in NZ kiwifruit via Zespri partnership</t>
  </si>
  <si>
    <t xml:space="preserve">2. Strong Industry Tailwinds: Kiwifruit market growing ~4.5% CAGR, Zespri forecasts 17% volume growth 2024-2029</t>
  </si>
  <si>
    <t xml:space="preserve">3. Turnaround Story: Record FY24 results with $30m NPBT (vs $21m loss in FY23)</t>
  </si>
  <si>
    <t xml:space="preserve">4. Deleveraging: Net debt reduced from $170m to $130m, improving financial flexibility</t>
  </si>
  <si>
    <t xml:space="preserve">5. Automation Investment: Capacity for 50+ million trays with improved labor efficiency</t>
  </si>
  <si>
    <t xml:space="preserve">6. New Varieties: Exposure to premium SunGold and emerging RubyRed kiwifruit</t>
  </si>
  <si>
    <t xml:space="preserve">7. Dividend Resumption: 15 cents per share dividend in FY24 (first since FY22)</t>
  </si>
  <si>
    <t xml:space="preserve">KEY RISKS</t>
  </si>
  <si>
    <t xml:space="preserve">1. Weather Dependency: La Nina/climate events can significantly impact yields</t>
  </si>
  <si>
    <t xml:space="preserve">2. Customer Concentration: Heavy reliance on Zespri marketing partnership</t>
  </si>
  <si>
    <t xml:space="preserve">3. Debt Levels: Still elevated debt-to-equity (~63%), interest coverage ~1.5x</t>
  </si>
  <si>
    <t xml:space="preserve">4. Labor Shortages: Seasonal worker availability remains industry challenge</t>
  </si>
  <si>
    <t xml:space="preserve">5. Currency Risk: NZD fluctuations impact export competitiveness</t>
  </si>
  <si>
    <t xml:space="preserve">6. Commodity Risk: Fruit pricing volatility affects margins</t>
  </si>
  <si>
    <t xml:space="preserve">SEEKA LIMITED - HISTORICAL FINANCIALS (NZ$ millions)</t>
  </si>
  <si>
    <t xml:space="preserve">Metric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</si>
  <si>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</si>
  <si>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</si>
  <si>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</si>
  <si>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</si>
  <si>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</si>
  <si>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H1 2025</t>
  </si>
  <si>
    <t xml:space="preserve">Operating Revenue</t>
  </si>
  <si>
    <t xml:space="preserve">YoY Revenue Growth</t>
  </si>
  <si>
    <t xml:space="preserve">EBITDA</t>
  </si>
  <si>
    <t xml:space="preserve">EBITDA Margin</t>
  </si>
  <si>
    <t xml:space="preserve">NPBT (Net Profit Before Tax)</t>
  </si>
  <si>
    <t xml:space="preserve">NPAT (Net Profit After Tax)</t>
  </si>
  <si>
    <t xml:space="preserve">EPS ($)</t>
  </si>
  <si>
    <t xml:space="preserve">Adjusted EPS (excl. one-offs) ($)</t>
  </si>
  <si>
    <t xml:space="preserve">Dividend Per Share ($)</t>
  </si>
  <si>
    <t xml:space="preserve">Operating Cash Flow</t>
  </si>
  <si>
    <t xml:space="preserve">Capex (estimated)</t>
  </si>
  <si>
    <t xml:space="preserve">Free Cash Flow</t>
  </si>
  <si>
    <t xml:space="preserve">Net Bank Debt</t>
  </si>
  <si>
    <t xml:space="preserve">Total Equity</t>
  </si>
  <si>
    <t xml:space="preserve">Debt/Equity</t>
  </si>
  <si>
    <t xml:space="preserve">Kiwifruit Trays Handled (millions)</t>
  </si>
  <si>
    <t xml:space="preserve">SEEKA LIMITED - DCF VALUATION MODEL</t>
  </si>
  <si>
    <t xml:space="preserve">KEY ASSUMPTIONS</t>
  </si>
  <si>
    <t xml:space="preserve">Risk-Free Rate (NZ 10yr bond)</t>
  </si>
  <si>
    <t xml:space="preserve">Source: Trading Economics, Jan 2026</t>
  </si>
  <si>
    <t xml:space="preserve">Equity Risk Premium</t>
  </si>
  <si>
    <t xml:space="preserve">NZ market standard</t>
  </si>
  <si>
    <t xml:space="preserve">Beta (adjusted for small-cap)</t>
  </si>
  <si>
    <t xml:space="preserve">Industry beta ~0.7, + small-cap adjustment</t>
  </si>
  <si>
    <t xml:space="preserve">Small-Cap Premium</t>
  </si>
  <si>
    <t xml:space="preserve">Additional risk premium for small-cap</t>
  </si>
  <si>
    <t xml:space="preserve">Cost of Debt (pre-tax)</t>
  </si>
  <si>
    <t xml:space="preserve">Estimated bank borrowing rate (elevated)</t>
  </si>
  <si>
    <t xml:space="preserve">Tax Rate</t>
  </si>
  <si>
    <t xml:space="preserve">NZ corporate tax rate</t>
  </si>
  <si>
    <t xml:space="preserve">Cost of Debt (after-tax)</t>
  </si>
  <si>
    <t xml:space="preserve">Debt/Capital</t>
  </si>
  <si>
    <t xml:space="preserve">Based on current capital structure</t>
  </si>
  <si>
    <t xml:space="preserve">Equity/Capital</t>
  </si>
  <si>
    <t xml:space="preserve">Cost of Equity (CAPM)</t>
  </si>
  <si>
    <t xml:space="preserve">Rf + Beta*ERP + Small-cap</t>
  </si>
  <si>
    <t xml:space="preserve">WACC</t>
  </si>
  <si>
    <t xml:space="preserve">Terminal Growth Rate</t>
  </si>
  <si>
    <t xml:space="preserve">Long-term GDP growth proxy</t>
  </si>
  <si>
    <t xml:space="preserve">REVENUE PROJECTIONS</t>
  </si>
  <si>
    <t xml:space="preserve">FY2024A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</si>
  <si>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</si>
  <si>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</si>
  <si>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</si>
  <si>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</si>
  <si>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</si>
  <si>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Terminal</t>
  </si>
  <si>
    <t xml:space="preserve">Revenue ($m)</t>
  </si>
  <si>
    <t xml:space="preserve">Revenue Growth Rate</t>
  </si>
  <si>
    <t xml:space="preserve">EBITDA ($m)</t>
  </si>
  <si>
    <t xml:space="preserve">D&amp;A (% of Revenue)</t>
  </si>
  <si>
    <t xml:space="preserve">D&amp;A ($m)</t>
  </si>
  <si>
    <t xml:space="preserve">Capex (% of Revenue)</t>
  </si>
  <si>
    <t xml:space="preserve">Capex ($m)</t>
  </si>
  <si>
    <t xml:space="preserve">Change in NWC (% of Rev growth)</t>
  </si>
  <si>
    <t xml:space="preserve">Change in NWC ($m)</t>
  </si>
  <si>
    <t xml:space="preserve">FCFF CALCULATION</t>
  </si>
  <si>
    <t xml:space="preserve">EBIT ($m)</t>
  </si>
  <si>
    <t xml:space="preserve">Tax on EBIT</t>
  </si>
  <si>
    <t xml:space="preserve">NOPAT</t>
  </si>
  <si>
    <t xml:space="preserve">+ D&amp;A</t>
  </si>
  <si>
    <t xml:space="preserve">- Capex</t>
  </si>
  <si>
    <t xml:space="preserve">- Change in NWC</t>
  </si>
  <si>
    <t xml:space="preserve">Free Cash Flow to Firm</t>
  </si>
  <si>
    <t xml:space="preserve">DCF VALUATION</t>
  </si>
  <si>
    <t xml:space="preserve">Discount Period</t>
  </si>
  <si>
    <t xml:space="preserve">Discount Factor</t>
  </si>
  <si>
    <t xml:space="preserve">PV of FCFF</t>
  </si>
  <si>
    <t xml:space="preserve">Sum of PV FCFF</t>
  </si>
  <si>
    <t xml:space="preserve">Terminal Value Calculation</t>
  </si>
  <si>
    <t xml:space="preserve">Terminal Year FCFF</t>
  </si>
  <si>
    <t xml:space="preserve">Terminal Value (Gordon Growth)</t>
  </si>
  <si>
    <t xml:space="preserve">PV of Terminal Value</t>
  </si>
  <si>
    <t xml:space="preserve">ENTERPRISE VALUE</t>
  </si>
  <si>
    <t xml:space="preserve">Bridge to Equity Value</t>
  </si>
  <si>
    <t xml:space="preserve">Less: Net Debt</t>
  </si>
  <si>
    <t xml:space="preserve">EQUITY VALUE</t>
  </si>
  <si>
    <t xml:space="preserve">Shares Outstanding (millions)</t>
  </si>
  <si>
    <t xml:space="preserve">FAIR VALUE PER SHARE</t>
  </si>
  <si>
    <t xml:space="preserve">Current Share Price</t>
  </si>
  <si>
    <t xml:space="preserve">Upside/(Downside)</t>
  </si>
  <si>
    <t xml:space="preserve">15% CAGR TARGET ENTRY PRICE ANALYSIS</t>
  </si>
  <si>
    <t xml:space="preserve">This sheet calculates the entry price needed to achieve a 15% CAGR over 5 years</t>
  </si>
  <si>
    <t xml:space="preserve">Formula: Entry Price = Future Value / (1 + CAGR)^Years</t>
  </si>
  <si>
    <t xml:space="preserve">KEY INPUTS</t>
  </si>
  <si>
    <t xml:space="preserve">Target CAGR</t>
  </si>
  <si>
    <t xml:space="preserve">Investment Horizon (Years)</t>
  </si>
  <si>
    <t xml:space="preserve">SCENARIO ANALYSIS</t>
  </si>
  <si>
    <t xml:space="preserve">Exit Valuation Method</t>
  </si>
  <si>
    <t xml:space="preserve">Exit Multiple</t>
  </si>
  <si>
    <t xml:space="preserve">Exit Value/Share</t>
  </si>
  <si>
    <t xml:space="preserve">Entry Price for 15% CAGR</t>
  </si>
  <si>
    <t xml:space="preserve">Current Price Gap</t>
  </si>
  <si>
    <t xml:space="preserve">Action</t>
  </si>
  <si>
    <t xml:space="preserve">1. DCF Fair Value (Base Case)</t>
  </si>
  <si>
    <t xml:space="preserve">N/A</t>
  </si>
  <si>
    <t xml:space="preserve">FY2025E EPS (estimated)</t>
  </si>
  <si>
    <t xml:space="preserve">FY2029E EPS (projected)</t>
  </si>
  <si>
    <t xml:space="preserve">2. P/E Multiple - Conservative (10x)</t>
  </si>
  <si>
    <t xml:space="preserve">3. P/E Multiple - Base (12x)</t>
  </si>
  <si>
    <t xml:space="preserve">4. P/E Multiple - Optimistic (15x)</t>
  </si>
  <si>
    <t xml:space="preserve">FY2029E EBITDA/Share (projected)</t>
  </si>
  <si>
    <t xml:space="preserve">Less: Net Debt/Share</t>
  </si>
  <si>
    <t xml:space="preserve">5. EV/EBITDA - Conservative (5x)</t>
  </si>
  <si>
    <t xml:space="preserve">6. EV/EBITDA - Base (6x)</t>
  </si>
  <si>
    <t xml:space="preserve">7. EV/EBITDA - Optimistic (7x)</t>
  </si>
  <si>
    <t xml:space="preserve">SUMMARY: ENTRY PRICE FOR 15% CAGR</t>
  </si>
  <si>
    <t xml:space="preserve">Average Entry Price (All Scenarios)</t>
  </si>
  <si>
    <t xml:space="preserve">Conservative Entry Price (Lowest)</t>
  </si>
  <si>
    <t xml:space="preserve">Aggressive Entry Price (Highest)</t>
  </si>
  <si>
    <t xml:space="preserve">Current Price vs Average Entry</t>
  </si>
  <si>
    <t xml:space="preserve">RECOMMENDATION</t>
  </si>
  <si>
    <t xml:space="preserve">DIVIDEND-ADJUSTED RETURN</t>
  </si>
  <si>
    <t xml:space="preserve">Projected Annual Dividend</t>
  </si>
  <si>
    <t xml:space="preserve">Dividend Yield at Current Price</t>
  </si>
  <si>
    <t xml:space="preserve">5-Year Cumulative Dividends</t>
  </si>
  <si>
    <t xml:space="preserve">Adjusted Entry (incl. dividends)</t>
  </si>
  <si>
    <t xml:space="preserve">Note: Dividend-adjusted entry accounts for expected dividend income,</t>
  </si>
  <si>
    <t xml:space="preserve">allowing a slightly higher entry price while still achieving 15% total return.</t>
  </si>
  <si>
    <t xml:space="preserve">DCF SENSITIVITY ANALYSIS</t>
  </si>
  <si>
    <t xml:space="preserve">Fair Value Sensitivity to WACC and Terminal Growth Rate</t>
  </si>
  <si>
    <t xml:space="preserve">Terminal Growth →</t>
  </si>
  <si>
    <t xml:space="preserve">WACC ↓</t>
  </si>
  <si>
    <t xml:space="preserve">Green cells indicate fair value within ±10% of current price ($4.45)</t>
  </si>
  <si>
    <t xml:space="preserve">Entry Price Sensitivity for 15% CAGR (5-Year Horizon)</t>
  </si>
  <si>
    <t xml:space="preserve">Exit Price →</t>
  </si>
  <si>
    <t xml:space="preserve">CAGR ↓</t>
  </si>
  <si>
    <t xml:space="preserve">Green cells indicate entry prices &gt;= $3.50 (reasonable discount to current)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</si>
</sst>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%"/>
    <numFmt numFmtId="167" formatCode="0.00%"/>
    <numFmt numFmtId="168" formatCode="0.000"/>
    <numFmt numFmtId="169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4"/>
      <color rgb="FF0064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2"/>
      <color rgb="FF0064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10" customFormat="false" ht="15" hidden="false" customHeight="false" outlineLevel="0" collapsed="false">
      <c r="A10" s="4" t="s">
        <v>6</v>
      </c>
    </row>
    <row r="12" customFormat="false" ht="15" hidden="false" customHeight="false" outlineLevel="0" collapsed="false">
      <c r="A12" s="0" t="s">
        <v>7</v>
      </c>
    </row>
    <row r="13" customFormat="false" ht="15" hidden="false" customHeight="false" outlineLevel="0" collapsed="false">
      <c r="A13" s="0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8" customFormat="false" ht="15" hidden="false" customHeight="false" outlineLevel="0" collapsed="false">
      <c r="A18" s="0" t="s">
        <v>13</v>
      </c>
    </row>
    <row r="21" customFormat="false" ht="15" hidden="false" customHeight="false" outlineLevel="0" collapsed="false">
      <c r="A21" s="4" t="s">
        <v>14</v>
      </c>
    </row>
    <row r="23" customFormat="false" ht="15" hidden="false" customHeight="false" outlineLevel="0" collapsed="false">
      <c r="A23" s="0" t="s">
        <v>15</v>
      </c>
    </row>
    <row r="24" customFormat="false" ht="15" hidden="false" customHeight="false" outlineLevel="0" collapsed="false">
      <c r="A24" s="0" t="s">
        <v>16</v>
      </c>
    </row>
    <row r="25" customFormat="false" ht="15" hidden="false" customHeight="false" outlineLevel="0" collapsed="false">
      <c r="A25" s="0" t="s">
        <v>17</v>
      </c>
    </row>
    <row r="26" customFormat="false" ht="15" hidden="false" customHeight="false" outlineLevel="0" collapsed="false">
      <c r="A26" s="0" t="s">
        <v>18</v>
      </c>
    </row>
    <row r="27" customFormat="false" ht="15" hidden="false" customHeight="false" outlineLevel="0" collapsed="false">
      <c r="A27" s="0" t="s">
        <v>19</v>
      </c>
    </row>
    <row r="28" customFormat="false" ht="15" hidden="false" customHeight="false" outlineLevel="0" collapsed="false">
      <c r="A28" s="0" t="s">
        <v>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5" t="s">
        <v>21</v>
      </c>
      <c r="B1" s="5"/>
      <c r="C1" s="5"/>
      <c r="D1" s="5"/>
      <c r="E1" s="5"/>
      <c r="F1" s="5"/>
      <c r="G1" s="5"/>
    </row>
    <row r="3" customFormat="false" ht="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</row>
    <row r="4" customFormat="false" ht="15" hidden="false" customHeight="false" outlineLevel="0" collapsed="false">
      <c r="A4" s="3" t="s">
        <v>29</v>
      </c>
      <c r="B4" s="7" t="n">
        <v>251.5</v>
      </c>
      <c r="C4" s="7" t="n">
        <v>309.6</v>
      </c>
      <c r="D4" s="7" t="n">
        <v>348.4</v>
      </c>
      <c r="E4" s="7" t="n">
        <v>300.9</v>
      </c>
      <c r="F4" s="7" t="n">
        <v>411</v>
      </c>
      <c r="G4" s="7" t="n">
        <v>307.9</v>
      </c>
    </row>
    <row r="5" customFormat="false" ht="15" hidden="false" customHeight="false" outlineLevel="0" collapsed="false">
      <c r="A5" s="3" t="s">
        <v>30</v>
      </c>
      <c r="B5" s="8"/>
      <c r="C5" s="8" t="n">
        <f aca="false">(C4-B4)/B4</f>
        <v>0.231013916500994</v>
      </c>
      <c r="D5" s="8" t="n">
        <f aca="false">(D4-C4)/C4</f>
        <v>0.125322997416021</v>
      </c>
      <c r="E5" s="8" t="n">
        <f aca="false">(E4-D4)/D4</f>
        <v>-0.136337543053961</v>
      </c>
      <c r="F5" s="8" t="n">
        <f aca="false">(F4-E4)/E4</f>
        <v>0.365902293120638</v>
      </c>
      <c r="G5" s="8" t="n">
        <f aca="false">(G4-F4)/F4</f>
        <v>-0.250851581508516</v>
      </c>
    </row>
    <row r="6" customFormat="false" ht="15" hidden="false" customHeight="false" outlineLevel="0" collapsed="false">
      <c r="A6" s="3" t="s">
        <v>31</v>
      </c>
      <c r="B6" s="7" t="n">
        <v>42.9</v>
      </c>
      <c r="C6" s="7" t="n">
        <v>56.8</v>
      </c>
      <c r="D6" s="7" t="n">
        <v>46.1</v>
      </c>
      <c r="E6" s="7" t="n">
        <v>26</v>
      </c>
      <c r="F6" s="7" t="n">
        <v>76</v>
      </c>
      <c r="G6" s="7" t="n">
        <v>83.5</v>
      </c>
    </row>
    <row r="7" customFormat="false" ht="15" hidden="false" customHeight="false" outlineLevel="0" collapsed="false">
      <c r="A7" s="3" t="s">
        <v>32</v>
      </c>
      <c r="B7" s="8" t="n">
        <f aca="false">B6/B4</f>
        <v>0.170576540755467</v>
      </c>
      <c r="C7" s="8" t="n">
        <f aca="false">C6/C4</f>
        <v>0.183462532299742</v>
      </c>
      <c r="D7" s="8" t="n">
        <f aca="false">D6/D4</f>
        <v>0.13231917336395</v>
      </c>
      <c r="E7" s="8" t="n">
        <f aca="false">E6/E4</f>
        <v>0.0864074443336657</v>
      </c>
      <c r="F7" s="8" t="n">
        <f aca="false">F6/F4</f>
        <v>0.184914841849148</v>
      </c>
      <c r="G7" s="8" t="n">
        <f aca="false">G6/G4</f>
        <v>0.27119194543683</v>
      </c>
    </row>
    <row r="8" customFormat="false" ht="15" hidden="false" customHeight="false" outlineLevel="0" collapsed="false">
      <c r="A8" s="3" t="s">
        <v>33</v>
      </c>
      <c r="B8" s="7" t="n">
        <v>22</v>
      </c>
      <c r="C8" s="7" t="n">
        <v>29</v>
      </c>
      <c r="D8" s="7" t="n">
        <v>14</v>
      </c>
      <c r="E8" s="7" t="n">
        <v>-21</v>
      </c>
      <c r="F8" s="7" t="n">
        <v>29.7</v>
      </c>
      <c r="G8" s="7" t="n">
        <v>59.4</v>
      </c>
    </row>
    <row r="9" customFormat="false" ht="15" hidden="false" customHeight="false" outlineLevel="0" collapsed="false">
      <c r="A9" s="3" t="s">
        <v>34</v>
      </c>
      <c r="B9" s="7" t="n">
        <v>15.2</v>
      </c>
      <c r="C9" s="7" t="n">
        <v>14.9</v>
      </c>
      <c r="D9" s="7" t="n">
        <v>6.5</v>
      </c>
      <c r="E9" s="7" t="n">
        <v>-14.5</v>
      </c>
      <c r="F9" s="7" t="n">
        <v>8.8</v>
      </c>
      <c r="G9" s="7" t="n">
        <v>37.8</v>
      </c>
    </row>
    <row r="10" customFormat="false" ht="15" hidden="false" customHeight="false" outlineLevel="0" collapsed="false">
      <c r="A10" s="3" t="s">
        <v>35</v>
      </c>
      <c r="B10" s="7" t="n">
        <v>0.47</v>
      </c>
      <c r="C10" s="7" t="n">
        <v>0.37</v>
      </c>
      <c r="D10" s="7" t="n">
        <v>0.155</v>
      </c>
      <c r="E10" s="7" t="n">
        <v>-0.345</v>
      </c>
      <c r="F10" s="7" t="n">
        <v>0.21</v>
      </c>
      <c r="G10" s="7" t="n">
        <v>0.88</v>
      </c>
    </row>
    <row r="11" customFormat="false" ht="15" hidden="false" customHeight="false" outlineLevel="0" collapsed="false">
      <c r="A11" s="3" t="s">
        <v>36</v>
      </c>
      <c r="B11" s="7" t="n">
        <v>0.47</v>
      </c>
      <c r="C11" s="7" t="n">
        <v>0.37</v>
      </c>
      <c r="D11" s="7" t="n">
        <v>0.155</v>
      </c>
      <c r="E11" s="7" t="n">
        <v>-0.345</v>
      </c>
      <c r="F11" s="7" t="n">
        <v>0.51</v>
      </c>
      <c r="G11" s="7" t="n">
        <v>0.88</v>
      </c>
    </row>
    <row r="12" customFormat="false" ht="15" hidden="false" customHeight="false" outlineLevel="0" collapsed="false">
      <c r="A12" s="3" t="s">
        <v>37</v>
      </c>
      <c r="B12" s="7" t="n">
        <v>0.24</v>
      </c>
      <c r="C12" s="7" t="n">
        <v>0.26</v>
      </c>
      <c r="D12" s="7" t="n">
        <v>0</v>
      </c>
      <c r="E12" s="7" t="n">
        <v>0</v>
      </c>
      <c r="F12" s="7" t="n">
        <v>0.15</v>
      </c>
      <c r="G12" s="7" t="n">
        <v>0.15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38</v>
      </c>
      <c r="B14" s="7" t="n">
        <v>26.3</v>
      </c>
      <c r="C14" s="7" t="n">
        <v>41.6</v>
      </c>
      <c r="D14" s="7" t="n">
        <v>12.1</v>
      </c>
      <c r="E14" s="7" t="n">
        <v>2.7</v>
      </c>
      <c r="F14" s="7" t="n">
        <v>48.6</v>
      </c>
    </row>
    <row r="15" customFormat="false" ht="15" hidden="false" customHeight="false" outlineLevel="0" collapsed="false">
      <c r="A15" s="3" t="s">
        <v>39</v>
      </c>
      <c r="B15" s="7" t="n">
        <v>-15</v>
      </c>
      <c r="C15" s="7" t="n">
        <v>-18</v>
      </c>
      <c r="D15" s="7" t="n">
        <v>-20</v>
      </c>
      <c r="E15" s="7" t="n">
        <v>-15</v>
      </c>
      <c r="F15" s="7" t="n">
        <v>-18</v>
      </c>
    </row>
    <row r="16" customFormat="false" ht="15" hidden="false" customHeight="false" outlineLevel="0" collapsed="false">
      <c r="A16" s="3" t="s">
        <v>40</v>
      </c>
      <c r="B16" s="9" t="n">
        <f aca="false">B14+B15</f>
        <v>11.3</v>
      </c>
      <c r="C16" s="9" t="n">
        <f aca="false">C14+C15</f>
        <v>23.6</v>
      </c>
      <c r="D16" s="9" t="n">
        <f aca="false">D14+D15</f>
        <v>-7.9</v>
      </c>
      <c r="E16" s="9" t="n">
        <f aca="false">E14+E15</f>
        <v>-12.3</v>
      </c>
      <c r="F16" s="9" t="n">
        <f aca="false">F14+F15</f>
        <v>30.6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41</v>
      </c>
      <c r="B18" s="7" t="n">
        <v>150</v>
      </c>
      <c r="C18" s="7" t="n">
        <v>165</v>
      </c>
      <c r="D18" s="7" t="n">
        <v>177</v>
      </c>
      <c r="E18" s="7" t="n">
        <v>170.8</v>
      </c>
      <c r="F18" s="7" t="n">
        <v>135</v>
      </c>
      <c r="G18" s="7" t="n">
        <v>130.6</v>
      </c>
    </row>
    <row r="19" customFormat="false" ht="15" hidden="false" customHeight="false" outlineLevel="0" collapsed="false">
      <c r="A19" s="3" t="s">
        <v>42</v>
      </c>
      <c r="B19" s="7" t="n">
        <v>235</v>
      </c>
      <c r="C19" s="7" t="n">
        <v>260</v>
      </c>
      <c r="D19" s="7" t="n">
        <v>280</v>
      </c>
      <c r="E19" s="7" t="n">
        <v>270</v>
      </c>
      <c r="F19" s="7" t="n">
        <v>277.6</v>
      </c>
      <c r="G19" s="7" t="n">
        <v>285</v>
      </c>
    </row>
    <row r="20" customFormat="false" ht="15" hidden="false" customHeight="false" outlineLevel="0" collapsed="false">
      <c r="A20" s="3" t="s">
        <v>43</v>
      </c>
      <c r="B20" s="8" t="n">
        <f aca="false">B18/B19</f>
        <v>0.638297872340426</v>
      </c>
      <c r="C20" s="8" t="n">
        <f aca="false">C18/C19</f>
        <v>0.634615384615385</v>
      </c>
      <c r="D20" s="8" t="n">
        <f aca="false">D18/D19</f>
        <v>0.632142857142857</v>
      </c>
      <c r="E20" s="8" t="n">
        <f aca="false">E18/E19</f>
        <v>0.632592592592593</v>
      </c>
      <c r="F20" s="8" t="n">
        <f aca="false">F18/F19</f>
        <v>0.486311239193084</v>
      </c>
      <c r="G20" s="8" t="n">
        <f aca="false">G18/G19</f>
        <v>0.458245614035088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44</v>
      </c>
      <c r="B22" s="10" t="n">
        <v>29</v>
      </c>
      <c r="C22" s="10" t="n">
        <v>34</v>
      </c>
      <c r="D22" s="10" t="n">
        <v>30</v>
      </c>
      <c r="E22" s="10" t="n">
        <v>30</v>
      </c>
      <c r="F22" s="10" t="n">
        <v>43</v>
      </c>
      <c r="G22" s="10" t="n">
        <v>47.1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5" t="s">
        <v>45</v>
      </c>
      <c r="B1" s="5"/>
      <c r="C1" s="5"/>
      <c r="D1" s="5"/>
      <c r="E1" s="5"/>
      <c r="F1" s="5"/>
      <c r="G1" s="5"/>
      <c r="H1" s="5"/>
    </row>
    <row r="3" customFormat="false" ht="15" hidden="false" customHeight="false" outlineLevel="0" collapsed="false">
      <c r="A3" s="11" t="s">
        <v>46</v>
      </c>
      <c r="B3" s="11"/>
      <c r="C3" s="11"/>
    </row>
    <row r="5" customFormat="false" ht="15" hidden="false" customHeight="false" outlineLevel="0" collapsed="false">
      <c r="A5" s="3" t="s">
        <v>47</v>
      </c>
      <c r="B5" s="12" t="n">
        <v>0.044</v>
      </c>
      <c r="C5" s="13" t="s">
        <v>48</v>
      </c>
    </row>
    <row r="6" customFormat="false" ht="15" hidden="false" customHeight="false" outlineLevel="0" collapsed="false">
      <c r="A6" s="3" t="s">
        <v>49</v>
      </c>
      <c r="B6" s="12" t="n">
        <v>0.055</v>
      </c>
      <c r="C6" s="13" t="s">
        <v>50</v>
      </c>
    </row>
    <row r="7" customFormat="false" ht="15" hidden="false" customHeight="false" outlineLevel="0" collapsed="false">
      <c r="A7" s="3" t="s">
        <v>51</v>
      </c>
      <c r="B7" s="12" t="n">
        <v>0.9</v>
      </c>
      <c r="C7" s="13" t="s">
        <v>52</v>
      </c>
    </row>
    <row r="8" customFormat="false" ht="15" hidden="false" customHeight="false" outlineLevel="0" collapsed="false">
      <c r="A8" s="3" t="s">
        <v>53</v>
      </c>
      <c r="B8" s="12" t="n">
        <v>0.025</v>
      </c>
      <c r="C8" s="13" t="s">
        <v>54</v>
      </c>
    </row>
    <row r="9" customFormat="false" ht="15" hidden="false" customHeight="false" outlineLevel="0" collapsed="false">
      <c r="A9" s="3" t="s">
        <v>55</v>
      </c>
      <c r="B9" s="12" t="n">
        <v>0.075</v>
      </c>
      <c r="C9" s="13" t="s">
        <v>56</v>
      </c>
    </row>
    <row r="10" customFormat="false" ht="15" hidden="false" customHeight="false" outlineLevel="0" collapsed="false">
      <c r="A10" s="3" t="s">
        <v>57</v>
      </c>
      <c r="B10" s="12" t="n">
        <v>0.28</v>
      </c>
      <c r="C10" s="13" t="s">
        <v>58</v>
      </c>
    </row>
    <row r="11" customFormat="false" ht="15" hidden="false" customHeight="false" outlineLevel="0" collapsed="false">
      <c r="A11" s="3" t="s">
        <v>59</v>
      </c>
      <c r="B11" s="14" t="n">
        <f aca="false">B9*(1-B10)</f>
        <v>0.054</v>
      </c>
    </row>
    <row r="12" customFormat="false" ht="15" hidden="false" customHeight="false" outlineLevel="0" collapsed="false">
      <c r="A12" s="3" t="s">
        <v>60</v>
      </c>
      <c r="B12" s="12" t="n">
        <v>0.35</v>
      </c>
      <c r="C12" s="13" t="s">
        <v>61</v>
      </c>
    </row>
    <row r="13" customFormat="false" ht="15" hidden="false" customHeight="false" outlineLevel="0" collapsed="false">
      <c r="A13" s="3" t="s">
        <v>62</v>
      </c>
      <c r="B13" s="14" t="n">
        <f aca="false">1-B12</f>
        <v>0.65</v>
      </c>
    </row>
    <row r="14" customFormat="false" ht="15" hidden="false" customHeight="false" outlineLevel="0" collapsed="false">
      <c r="A14" s="3" t="s">
        <v>63</v>
      </c>
      <c r="B14" s="14" t="n">
        <f aca="false">B5+B7*B6+B8</f>
        <v>0.1185</v>
      </c>
      <c r="C14" s="13" t="s">
        <v>64</v>
      </c>
    </row>
    <row r="15" customFormat="false" ht="15" hidden="false" customHeight="false" outlineLevel="0" collapsed="false">
      <c r="A15" s="3" t="s">
        <v>65</v>
      </c>
      <c r="B15" s="14" t="n">
        <f aca="false">B14*B13+B11*B12</f>
        <v>0.095925</v>
      </c>
    </row>
    <row r="16" customFormat="false" ht="15" hidden="false" customHeight="false" outlineLevel="0" collapsed="false">
      <c r="A16" s="3" t="s">
        <v>66</v>
      </c>
      <c r="B16" s="12" t="n">
        <v>0.02</v>
      </c>
      <c r="C16" s="13" t="s">
        <v>67</v>
      </c>
    </row>
    <row r="18" customFormat="false" ht="15" hidden="false" customHeight="false" outlineLevel="0" collapsed="false">
      <c r="A18" s="11" t="s">
        <v>68</v>
      </c>
      <c r="B18" s="11"/>
      <c r="C18" s="11"/>
      <c r="D18" s="11"/>
      <c r="E18" s="11"/>
      <c r="F18" s="11"/>
      <c r="G18" s="11"/>
      <c r="H18" s="11"/>
    </row>
    <row r="20" customFormat="false" ht="15" hidden="false" customHeight="false" outlineLevel="0" collapsed="false">
      <c r="A20" s="6"/>
      <c r="B20" s="6" t="s">
        <v>69</v>
      </c>
      <c r="C20" s="6" t="s">
        <v>70</v>
      </c>
      <c r="D20" s="6" t="s">
        <v>71</v>
      </c>
      <c r="E20" s="6" t="s">
        <v>72</v>
      </c>
      <c r="F20" s="6" t="s">
        <v>73</v>
      </c>
      <c r="G20" s="6" t="s">
        <v>74</v>
      </c>
      <c r="H20" s="6" t="s">
        <v>75</v>
      </c>
    </row>
    <row r="21" customFormat="false" ht="15" hidden="false" customHeight="false" outlineLevel="0" collapsed="false">
      <c r="A21" s="0" t="s">
        <v>76</v>
      </c>
      <c r="B21" s="15" t="n">
        <v>411</v>
      </c>
      <c r="C21" s="9" t="n">
        <f aca="false">B21*(1+C22)</f>
        <v>443.88</v>
      </c>
      <c r="D21" s="9" t="n">
        <f aca="false">C21*(1+D22)</f>
        <v>466.074</v>
      </c>
      <c r="E21" s="9" t="n">
        <f aca="false">D21*(1+E22)</f>
        <v>484.71696</v>
      </c>
      <c r="F21" s="9" t="n">
        <f aca="false">E21*(1+F22)</f>
        <v>499.2584688</v>
      </c>
      <c r="G21" s="9" t="n">
        <f aca="false">F21*(1+G22)</f>
        <v>509.243638176</v>
      </c>
      <c r="H21" s="9" t="n">
        <f aca="false">G21*(1+$B$16)</f>
        <v>519.42851093952</v>
      </c>
    </row>
    <row r="22" customFormat="false" ht="15" hidden="false" customHeight="false" outlineLevel="0" collapsed="false">
      <c r="A22" s="0" t="s">
        <v>77</v>
      </c>
      <c r="C22" s="16" t="n">
        <v>0.08</v>
      </c>
      <c r="D22" s="16" t="n">
        <v>0.05</v>
      </c>
      <c r="E22" s="16" t="n">
        <v>0.04</v>
      </c>
      <c r="F22" s="16" t="n">
        <v>0.03</v>
      </c>
      <c r="G22" s="16" t="n">
        <v>0.02</v>
      </c>
    </row>
    <row r="24" customFormat="false" ht="15" hidden="false" customHeight="false" outlineLevel="0" collapsed="false">
      <c r="A24" s="0" t="s">
        <v>32</v>
      </c>
      <c r="B24" s="16" t="n">
        <v>0.185</v>
      </c>
      <c r="C24" s="16" t="n">
        <v>0.185</v>
      </c>
      <c r="D24" s="16" t="n">
        <v>0.18</v>
      </c>
      <c r="E24" s="16" t="n">
        <v>0.175</v>
      </c>
      <c r="F24" s="16" t="n">
        <v>0.17</v>
      </c>
      <c r="G24" s="16" t="n">
        <v>0.165</v>
      </c>
    </row>
    <row r="25" customFormat="false" ht="15" hidden="false" customHeight="false" outlineLevel="0" collapsed="false">
      <c r="A25" s="0" t="s">
        <v>78</v>
      </c>
      <c r="B25" s="9" t="n">
        <f aca="false">B21*B24</f>
        <v>76.035</v>
      </c>
      <c r="C25" s="9" t="n">
        <f aca="false">C21*C24</f>
        <v>82.1178</v>
      </c>
      <c r="D25" s="9" t="n">
        <f aca="false">D21*D24</f>
        <v>83.89332</v>
      </c>
      <c r="E25" s="9" t="n">
        <f aca="false">E21*E24</f>
        <v>84.825468</v>
      </c>
      <c r="F25" s="9" t="n">
        <f aca="false">F21*F24</f>
        <v>84.873939696</v>
      </c>
      <c r="G25" s="9" t="n">
        <f aca="false">G21*G24</f>
        <v>84.02520029904</v>
      </c>
      <c r="H25" s="9" t="n">
        <f aca="false">H21*0.17</f>
        <v>88.3028468597184</v>
      </c>
    </row>
    <row r="27" customFormat="false" ht="15" hidden="false" customHeight="false" outlineLevel="0" collapsed="false">
      <c r="A27" s="0" t="s">
        <v>79</v>
      </c>
      <c r="B27" s="17" t="n">
        <v>0.11</v>
      </c>
      <c r="C27" s="0" t="n">
        <v>0.11</v>
      </c>
      <c r="D27" s="0" t="n">
        <v>0.11</v>
      </c>
      <c r="E27" s="0" t="n">
        <v>0.11</v>
      </c>
      <c r="F27" s="0" t="n">
        <v>0.11</v>
      </c>
      <c r="G27" s="0" t="n">
        <v>0.11</v>
      </c>
    </row>
    <row r="28" customFormat="false" ht="15" hidden="false" customHeight="false" outlineLevel="0" collapsed="false">
      <c r="A28" s="0" t="s">
        <v>80</v>
      </c>
      <c r="B28" s="9" t="n">
        <f aca="false">B21*B27</f>
        <v>45.21</v>
      </c>
      <c r="C28" s="9" t="n">
        <f aca="false">C21*$B$27</f>
        <v>48.8268</v>
      </c>
      <c r="D28" s="9" t="n">
        <f aca="false">D21*$B$27</f>
        <v>51.26814</v>
      </c>
      <c r="E28" s="9" t="n">
        <f aca="false">E21*$B$27</f>
        <v>53.3188656</v>
      </c>
      <c r="F28" s="9" t="n">
        <f aca="false">F21*$B$27</f>
        <v>54.918431568</v>
      </c>
      <c r="G28" s="9" t="n">
        <f aca="false">G21*$B$27</f>
        <v>56.01680019936</v>
      </c>
      <c r="H28" s="9" t="n">
        <f aca="false">H21*$B$27</f>
        <v>57.1371362033472</v>
      </c>
    </row>
    <row r="30" customFormat="false" ht="15" hidden="false" customHeight="false" outlineLevel="0" collapsed="false">
      <c r="A30" s="0" t="s">
        <v>81</v>
      </c>
      <c r="B30" s="17" t="n">
        <v>0.04</v>
      </c>
      <c r="C30" s="0" t="n">
        <v>0.04</v>
      </c>
      <c r="D30" s="0" t="n">
        <v>0.04</v>
      </c>
      <c r="E30" s="0" t="n">
        <v>0.04</v>
      </c>
      <c r="F30" s="0" t="n">
        <v>0.04</v>
      </c>
      <c r="G30" s="0" t="n">
        <v>0.04</v>
      </c>
    </row>
    <row r="31" customFormat="false" ht="15" hidden="false" customHeight="false" outlineLevel="0" collapsed="false">
      <c r="A31" s="0" t="s">
        <v>82</v>
      </c>
      <c r="B31" s="9" t="n">
        <f aca="false">-B21*B30</f>
        <v>-16.44</v>
      </c>
      <c r="C31" s="9" t="n">
        <f aca="false">-C21*$B$30</f>
        <v>-17.7552</v>
      </c>
      <c r="D31" s="9" t="n">
        <f aca="false">-D21*$B$30</f>
        <v>-18.64296</v>
      </c>
      <c r="E31" s="9" t="n">
        <f aca="false">-E21*$B$30</f>
        <v>-19.3886784</v>
      </c>
      <c r="F31" s="9" t="n">
        <f aca="false">-F21*$B$30</f>
        <v>-19.970338752</v>
      </c>
      <c r="G31" s="9" t="n">
        <f aca="false">-G21*$B$30</f>
        <v>-20.36974552704</v>
      </c>
      <c r="H31" s="9" t="n">
        <f aca="false">-H21*$B$30</f>
        <v>-20.7771404375808</v>
      </c>
    </row>
    <row r="33" customFormat="false" ht="15" hidden="false" customHeight="false" outlineLevel="0" collapsed="false">
      <c r="A33" s="0" t="s">
        <v>83</v>
      </c>
      <c r="B33" s="17" t="n">
        <v>0.1</v>
      </c>
    </row>
    <row r="34" customFormat="false" ht="15" hidden="false" customHeight="false" outlineLevel="0" collapsed="false">
      <c r="A34" s="0" t="s">
        <v>84</v>
      </c>
      <c r="B34" s="9" t="n">
        <v>0</v>
      </c>
      <c r="C34" s="9" t="n">
        <f aca="false">-$B$33*(C21-B21)</f>
        <v>-3.28800000000001</v>
      </c>
      <c r="D34" s="9" t="n">
        <f aca="false">-$B$33*(D21-C21)</f>
        <v>-2.2194</v>
      </c>
      <c r="E34" s="9" t="n">
        <f aca="false">-$B$33*(E21-D21)</f>
        <v>-1.864296</v>
      </c>
      <c r="F34" s="9" t="n">
        <f aca="false">-$B$33*(F21-E21)</f>
        <v>-1.45415088</v>
      </c>
      <c r="G34" s="9" t="n">
        <f aca="false">-$B$33*(G21-F21)</f>
        <v>-0.998516937599999</v>
      </c>
      <c r="H34" s="9" t="n">
        <f aca="false">-$B$33*(H21-G21)</f>
        <v>-1.018487276352</v>
      </c>
    </row>
    <row r="36" customFormat="false" ht="15" hidden="false" customHeight="false" outlineLevel="0" collapsed="false">
      <c r="A36" s="11" t="s">
        <v>85</v>
      </c>
      <c r="B36" s="11"/>
      <c r="C36" s="11"/>
      <c r="D36" s="11"/>
      <c r="E36" s="11"/>
      <c r="F36" s="11"/>
      <c r="G36" s="11"/>
      <c r="H36" s="11"/>
    </row>
    <row r="38" customFormat="false" ht="15" hidden="false" customHeight="false" outlineLevel="0" collapsed="false">
      <c r="A38" s="0" t="s">
        <v>86</v>
      </c>
      <c r="B38" s="9" t="n">
        <f aca="false">B25-B28</f>
        <v>30.825</v>
      </c>
      <c r="C38" s="9" t="n">
        <f aca="false">C25-C28</f>
        <v>33.291</v>
      </c>
      <c r="D38" s="9" t="n">
        <f aca="false">D25-D28</f>
        <v>32.62518</v>
      </c>
      <c r="E38" s="9" t="n">
        <f aca="false">E25-E28</f>
        <v>31.5066024</v>
      </c>
      <c r="F38" s="9" t="n">
        <f aca="false">F25-F28</f>
        <v>29.955508128</v>
      </c>
      <c r="G38" s="9" t="n">
        <f aca="false">G25-G28</f>
        <v>28.00840009968</v>
      </c>
      <c r="H38" s="9" t="n">
        <f aca="false">H25-H28</f>
        <v>31.1657106563712</v>
      </c>
    </row>
    <row r="39" customFormat="false" ht="15" hidden="false" customHeight="false" outlineLevel="0" collapsed="false">
      <c r="A39" s="0" t="s">
        <v>87</v>
      </c>
      <c r="B39" s="9" t="n">
        <f aca="false">-B38*$B$10</f>
        <v>-8.631</v>
      </c>
      <c r="C39" s="9" t="n">
        <f aca="false">-C38*$B$10</f>
        <v>-9.32148</v>
      </c>
      <c r="D39" s="9" t="n">
        <f aca="false">-D38*$B$10</f>
        <v>-9.1350504</v>
      </c>
      <c r="E39" s="9" t="n">
        <f aca="false">-E38*$B$10</f>
        <v>-8.821848672</v>
      </c>
      <c r="F39" s="9" t="n">
        <f aca="false">-F38*$B$10</f>
        <v>-8.38754227584001</v>
      </c>
      <c r="G39" s="9" t="n">
        <f aca="false">-G38*$B$10</f>
        <v>-7.8423520279104</v>
      </c>
      <c r="H39" s="9" t="n">
        <f aca="false">-H38*$B$10</f>
        <v>-8.72639898378394</v>
      </c>
    </row>
    <row r="40" customFormat="false" ht="15" hidden="false" customHeight="false" outlineLevel="0" collapsed="false">
      <c r="A40" s="0" t="s">
        <v>88</v>
      </c>
      <c r="B40" s="9" t="n">
        <f aca="false">B38+B39</f>
        <v>22.194</v>
      </c>
      <c r="C40" s="9" t="n">
        <f aca="false">C38+C39</f>
        <v>23.96952</v>
      </c>
      <c r="D40" s="9" t="n">
        <f aca="false">D38+D39</f>
        <v>23.4901296</v>
      </c>
      <c r="E40" s="9" t="n">
        <f aca="false">E38+E39</f>
        <v>22.684753728</v>
      </c>
      <c r="F40" s="9" t="n">
        <f aca="false">F38+F39</f>
        <v>21.56796585216</v>
      </c>
      <c r="G40" s="9" t="n">
        <f aca="false">G38+G39</f>
        <v>20.1660480717696</v>
      </c>
      <c r="H40" s="9" t="n">
        <f aca="false">H38+H39</f>
        <v>22.4393116725873</v>
      </c>
    </row>
    <row r="41" customFormat="false" ht="15" hidden="false" customHeight="false" outlineLevel="0" collapsed="false">
      <c r="A41" s="0" t="s">
        <v>89</v>
      </c>
      <c r="B41" s="9" t="n">
        <f aca="false">B28</f>
        <v>45.21</v>
      </c>
      <c r="C41" s="9" t="n">
        <f aca="false">C28</f>
        <v>48.8268</v>
      </c>
      <c r="D41" s="9" t="n">
        <f aca="false">D28</f>
        <v>51.26814</v>
      </c>
      <c r="E41" s="9" t="n">
        <f aca="false">E28</f>
        <v>53.3188656</v>
      </c>
      <c r="F41" s="9" t="n">
        <f aca="false">F28</f>
        <v>54.918431568</v>
      </c>
      <c r="G41" s="9" t="n">
        <f aca="false">G28</f>
        <v>56.01680019936</v>
      </c>
      <c r="H41" s="9" t="n">
        <f aca="false">H28</f>
        <v>57.1371362033472</v>
      </c>
    </row>
    <row r="42" customFormat="false" ht="15" hidden="false" customHeight="false" outlineLevel="0" collapsed="false">
      <c r="A42" s="0" t="s">
        <v>90</v>
      </c>
      <c r="B42" s="9" t="n">
        <f aca="false">B31</f>
        <v>-16.44</v>
      </c>
      <c r="C42" s="9" t="n">
        <f aca="false">C31</f>
        <v>-17.7552</v>
      </c>
      <c r="D42" s="9" t="n">
        <f aca="false">D31</f>
        <v>-18.64296</v>
      </c>
      <c r="E42" s="9" t="n">
        <f aca="false">E31</f>
        <v>-19.3886784</v>
      </c>
      <c r="F42" s="9" t="n">
        <f aca="false">F31</f>
        <v>-19.970338752</v>
      </c>
      <c r="G42" s="9" t="n">
        <f aca="false">G31</f>
        <v>-20.36974552704</v>
      </c>
      <c r="H42" s="9" t="n">
        <f aca="false">H31</f>
        <v>-20.7771404375808</v>
      </c>
    </row>
    <row r="43" customFormat="false" ht="15" hidden="false" customHeight="false" outlineLevel="0" collapsed="false">
      <c r="A43" s="0" t="s">
        <v>91</v>
      </c>
      <c r="B43" s="9" t="n">
        <f aca="false">B34</f>
        <v>0</v>
      </c>
      <c r="C43" s="9" t="n">
        <f aca="false">C34</f>
        <v>-3.28800000000001</v>
      </c>
      <c r="D43" s="9" t="n">
        <f aca="false">D34</f>
        <v>-2.2194</v>
      </c>
      <c r="E43" s="9" t="n">
        <f aca="false">E34</f>
        <v>-1.864296</v>
      </c>
      <c r="F43" s="9" t="n">
        <f aca="false">F34</f>
        <v>-1.45415088</v>
      </c>
      <c r="G43" s="9" t="n">
        <f aca="false">G34</f>
        <v>-0.998516937599999</v>
      </c>
      <c r="H43" s="9" t="n">
        <f aca="false">H34</f>
        <v>-1.018487276352</v>
      </c>
    </row>
    <row r="44" customFormat="false" ht="15" hidden="false" customHeight="false" outlineLevel="0" collapsed="false">
      <c r="A44" s="3" t="s">
        <v>92</v>
      </c>
      <c r="B44" s="18" t="n">
        <f aca="false">B40+B41+B42+B43</f>
        <v>50.964</v>
      </c>
      <c r="C44" s="18" t="n">
        <f aca="false">C40+C41+C42+C43</f>
        <v>51.75312</v>
      </c>
      <c r="D44" s="18" t="n">
        <f aca="false">D40+D41+D42+D43</f>
        <v>53.8959096</v>
      </c>
      <c r="E44" s="18" t="n">
        <f aca="false">E40+E41+E42+E43</f>
        <v>54.750644928</v>
      </c>
      <c r="F44" s="18" t="n">
        <f aca="false">F40+F41+F42+F43</f>
        <v>55.06190778816</v>
      </c>
      <c r="G44" s="18" t="n">
        <f aca="false">G40+G41+G42+G43</f>
        <v>54.8145858064896</v>
      </c>
      <c r="H44" s="18" t="n">
        <f aca="false">H40+H41+H42+H43</f>
        <v>57.7808201620017</v>
      </c>
    </row>
    <row r="47" customFormat="false" ht="15" hidden="false" customHeight="false" outlineLevel="0" collapsed="false">
      <c r="A47" s="11" t="s">
        <v>93</v>
      </c>
      <c r="B47" s="11"/>
      <c r="C47" s="11"/>
      <c r="D47" s="11"/>
    </row>
    <row r="49" customFormat="false" ht="15" hidden="false" customHeight="false" outlineLevel="0" collapsed="false">
      <c r="A49" s="0" t="s">
        <v>94</v>
      </c>
      <c r="C49" s="0" t="n">
        <v>1</v>
      </c>
      <c r="D49" s="0" t="n">
        <v>2</v>
      </c>
      <c r="E49" s="0" t="n">
        <v>3</v>
      </c>
      <c r="F49" s="0" t="n">
        <v>4</v>
      </c>
      <c r="G49" s="0" t="n">
        <v>5</v>
      </c>
    </row>
    <row r="50" customFormat="false" ht="15" hidden="false" customHeight="false" outlineLevel="0" collapsed="false">
      <c r="A50" s="0" t="s">
        <v>95</v>
      </c>
      <c r="C50" s="19" t="n">
        <f aca="false">1/(1+$B$15)^C49</f>
        <v>0.912471200127746</v>
      </c>
      <c r="D50" s="19" t="n">
        <f aca="false">1/(1+$B$15)^D49</f>
        <v>0.832603691062569</v>
      </c>
      <c r="E50" s="19" t="n">
        <f aca="false">1/(1+$B$15)^E49</f>
        <v>0.759726889214653</v>
      </c>
      <c r="F50" s="19" t="n">
        <f aca="false">1/(1+$B$15)^F49</f>
        <v>0.693228906371014</v>
      </c>
      <c r="G50" s="19" t="n">
        <f aca="false">1/(1+$B$15)^G49</f>
        <v>0.632551412159604</v>
      </c>
    </row>
    <row r="51" customFormat="false" ht="15" hidden="false" customHeight="false" outlineLevel="0" collapsed="false">
      <c r="A51" s="0" t="s">
        <v>96</v>
      </c>
      <c r="C51" s="9" t="n">
        <f aca="false">C44*C50</f>
        <v>47.2232315167553</v>
      </c>
      <c r="D51" s="9" t="n">
        <f aca="false">D44*D50</f>
        <v>44.8739332661346</v>
      </c>
      <c r="E51" s="9" t="n">
        <f aca="false">E44*E50</f>
        <v>41.5955371536455</v>
      </c>
      <c r="F51" s="9" t="n">
        <f aca="false">F44*F50</f>
        <v>38.1705061186878</v>
      </c>
      <c r="G51" s="9" t="n">
        <f aca="false">G44*G50</f>
        <v>34.6730436588388</v>
      </c>
    </row>
    <row r="53" customFormat="false" ht="15" hidden="false" customHeight="false" outlineLevel="0" collapsed="false">
      <c r="A53" s="0" t="s">
        <v>97</v>
      </c>
      <c r="B53" s="18" t="n">
        <f aca="false">SUM(C51:G51)</f>
        <v>206.536251714062</v>
      </c>
    </row>
    <row r="55" customFormat="false" ht="15" hidden="false" customHeight="false" outlineLevel="0" collapsed="false">
      <c r="A55" s="3" t="s">
        <v>98</v>
      </c>
    </row>
    <row r="56" customFormat="false" ht="15" hidden="false" customHeight="false" outlineLevel="0" collapsed="false">
      <c r="A56" s="0" t="s">
        <v>99</v>
      </c>
      <c r="B56" s="9" t="n">
        <f aca="false">H44</f>
        <v>57.7808201620017</v>
      </c>
    </row>
    <row r="57" customFormat="false" ht="15" hidden="false" customHeight="false" outlineLevel="0" collapsed="false">
      <c r="A57" s="0" t="s">
        <v>100</v>
      </c>
      <c r="B57" s="9" t="n">
        <f aca="false">B56/($B$15-$B$16)</f>
        <v>761.024960974668</v>
      </c>
    </row>
    <row r="58" customFormat="false" ht="15" hidden="false" customHeight="false" outlineLevel="0" collapsed="false">
      <c r="A58" s="0" t="s">
        <v>101</v>
      </c>
      <c r="B58" s="9" t="n">
        <f aca="false">B57*G50</f>
        <v>481.387413753234</v>
      </c>
    </row>
    <row r="60" customFormat="false" ht="15" hidden="false" customHeight="false" outlineLevel="0" collapsed="false">
      <c r="A60" s="3" t="s">
        <v>102</v>
      </c>
      <c r="B60" s="18" t="n">
        <f aca="false">B53+B58</f>
        <v>687.923665467296</v>
      </c>
    </row>
    <row r="62" customFormat="false" ht="15" hidden="false" customHeight="false" outlineLevel="0" collapsed="false">
      <c r="A62" s="3" t="s">
        <v>103</v>
      </c>
    </row>
    <row r="63" customFormat="false" ht="15" hidden="false" customHeight="false" outlineLevel="0" collapsed="false">
      <c r="A63" s="0" t="s">
        <v>104</v>
      </c>
      <c r="B63" s="20" t="n">
        <v>-130.6</v>
      </c>
    </row>
    <row r="64" customFormat="false" ht="15" hidden="false" customHeight="false" outlineLevel="0" collapsed="false">
      <c r="A64" s="3" t="s">
        <v>105</v>
      </c>
      <c r="B64" s="18" t="n">
        <f aca="false">B60+B63</f>
        <v>557.323665467295</v>
      </c>
    </row>
    <row r="66" customFormat="false" ht="15" hidden="false" customHeight="false" outlineLevel="0" collapsed="false">
      <c r="A66" s="0" t="s">
        <v>106</v>
      </c>
      <c r="B66" s="17" t="n">
        <v>44.03</v>
      </c>
    </row>
    <row r="67" customFormat="false" ht="17.35" hidden="false" customHeight="false" outlineLevel="0" collapsed="false">
      <c r="A67" s="3" t="s">
        <v>107</v>
      </c>
      <c r="B67" s="21" t="n">
        <f aca="false">B64/B66</f>
        <v>12.6578166129297</v>
      </c>
    </row>
    <row r="69" customFormat="false" ht="15" hidden="false" customHeight="false" outlineLevel="0" collapsed="false">
      <c r="A69" s="0" t="s">
        <v>108</v>
      </c>
      <c r="B69" s="22" t="n">
        <v>4.45</v>
      </c>
    </row>
    <row r="70" customFormat="false" ht="15" hidden="false" customHeight="false" outlineLevel="0" collapsed="false">
      <c r="A70" s="0" t="s">
        <v>109</v>
      </c>
      <c r="B70" s="8" t="n">
        <f aca="false">(B67-B69)/B69</f>
        <v>1.84445317144488</v>
      </c>
    </row>
  </sheetData>
  <mergeCells count="5">
    <mergeCell ref="A1:H1"/>
    <mergeCell ref="A3:C3"/>
    <mergeCell ref="A18:H18"/>
    <mergeCell ref="A36:H36"/>
    <mergeCell ref="A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5" t="s">
        <v>110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0" t="s">
        <v>111</v>
      </c>
    </row>
    <row r="4" customFormat="false" ht="15" hidden="false" customHeight="false" outlineLevel="0" collapsed="false">
      <c r="A4" s="0" t="s">
        <v>112</v>
      </c>
    </row>
    <row r="6" customFormat="false" ht="15" hidden="false" customHeight="false" outlineLevel="0" collapsed="false">
      <c r="A6" s="23" t="s">
        <v>113</v>
      </c>
    </row>
    <row r="8" customFormat="false" ht="15" hidden="false" customHeight="false" outlineLevel="0" collapsed="false">
      <c r="A8" s="0" t="s">
        <v>114</v>
      </c>
      <c r="B8" s="16" t="n">
        <v>0.15</v>
      </c>
    </row>
    <row r="9" customFormat="false" ht="15" hidden="false" customHeight="false" outlineLevel="0" collapsed="false">
      <c r="A9" s="0" t="s">
        <v>115</v>
      </c>
      <c r="B9" s="17" t="n">
        <v>5</v>
      </c>
    </row>
    <row r="10" customFormat="false" ht="15" hidden="false" customHeight="false" outlineLevel="0" collapsed="false">
      <c r="A10" s="0" t="s">
        <v>108</v>
      </c>
      <c r="B10" s="22" t="n">
        <v>4.45</v>
      </c>
    </row>
    <row r="12" customFormat="false" ht="15" hidden="false" customHeight="false" outlineLevel="0" collapsed="false">
      <c r="A12" s="11" t="s">
        <v>116</v>
      </c>
      <c r="B12" s="11"/>
      <c r="C12" s="11"/>
      <c r="D12" s="11"/>
      <c r="E12" s="11"/>
      <c r="F12" s="11"/>
    </row>
    <row r="14" customFormat="false" ht="15" hidden="false" customHeight="false" outlineLevel="0" collapsed="false">
      <c r="A14" s="6" t="s">
        <v>117</v>
      </c>
      <c r="B14" s="6" t="s">
        <v>118</v>
      </c>
      <c r="C14" s="6" t="s">
        <v>119</v>
      </c>
      <c r="D14" s="6" t="s">
        <v>120</v>
      </c>
      <c r="E14" s="6" t="s">
        <v>121</v>
      </c>
      <c r="F14" s="6" t="s">
        <v>122</v>
      </c>
    </row>
    <row r="16" customFormat="false" ht="15" hidden="false" customHeight="false" outlineLevel="0" collapsed="false">
      <c r="A16" s="0" t="s">
        <v>123</v>
      </c>
      <c r="B16" s="0" t="s">
        <v>124</v>
      </c>
      <c r="C16" s="24" t="n">
        <f aca="false">'DCF Model'!B67</f>
        <v>12.6578166129297</v>
      </c>
      <c r="D16" s="24" t="n">
        <f aca="false">C16/(1+$B$8)^$B$9</f>
        <v>6.29317193962085</v>
      </c>
      <c r="E16" s="8" t="n">
        <f aca="false">($B$10-D16)/D16</f>
        <v>-0.292884408261043</v>
      </c>
      <c r="F16" s="0" t="str">
        <f aca="false">IF(B10&lt;=D16,"BUY","WAIT")</f>
        <v>BUY</v>
      </c>
    </row>
    <row r="18" customFormat="false" ht="15" hidden="false" customHeight="false" outlineLevel="0" collapsed="false">
      <c r="A18" s="0" t="s">
        <v>125</v>
      </c>
      <c r="B18" s="22" t="n">
        <v>0.85</v>
      </c>
    </row>
    <row r="19" customFormat="false" ht="15" hidden="false" customHeight="false" outlineLevel="0" collapsed="false">
      <c r="A19" s="0" t="s">
        <v>126</v>
      </c>
      <c r="B19" s="24" t="n">
        <f aca="false">B18*(1+0.08)^4</f>
        <v>1.156415616</v>
      </c>
    </row>
    <row r="21" customFormat="false" ht="15" hidden="false" customHeight="false" outlineLevel="0" collapsed="false">
      <c r="A21" s="0" t="s">
        <v>127</v>
      </c>
      <c r="B21" s="25" t="n">
        <v>10</v>
      </c>
      <c r="C21" s="24" t="n">
        <f aca="false">$B$19*B21</f>
        <v>11.56415616</v>
      </c>
      <c r="D21" s="24" t="n">
        <f aca="false">C21/(1+$B$8)^$B$9</f>
        <v>5.74942940610841</v>
      </c>
      <c r="E21" s="8" t="n">
        <f aca="false">($B$10-D21)/D21</f>
        <v>-0.22601015062953</v>
      </c>
      <c r="F21" s="0" t="str">
        <f aca="false">IF($B$10&lt;=D21,"BUY","WAIT")</f>
        <v>BUY</v>
      </c>
    </row>
    <row r="22" customFormat="false" ht="15" hidden="false" customHeight="false" outlineLevel="0" collapsed="false">
      <c r="A22" s="0" t="s">
        <v>128</v>
      </c>
      <c r="B22" s="25" t="n">
        <v>12</v>
      </c>
      <c r="C22" s="24" t="n">
        <f aca="false">$B$19*B22</f>
        <v>13.876987392</v>
      </c>
      <c r="D22" s="24" t="n">
        <f aca="false">C22/(1+$B$8)^$B$9</f>
        <v>6.89931528733009</v>
      </c>
      <c r="E22" s="8" t="n">
        <f aca="false">($B$10-D22)/D22</f>
        <v>-0.355008458857941</v>
      </c>
      <c r="F22" s="0" t="str">
        <f aca="false">IF($B$10&lt;=D22,"BUY","WAIT")</f>
        <v>BUY</v>
      </c>
    </row>
    <row r="23" customFormat="false" ht="15" hidden="false" customHeight="false" outlineLevel="0" collapsed="false">
      <c r="A23" s="0" t="s">
        <v>129</v>
      </c>
      <c r="B23" s="25" t="n">
        <v>15</v>
      </c>
      <c r="C23" s="24" t="n">
        <f aca="false">$B$19*B23</f>
        <v>17.34623424</v>
      </c>
      <c r="D23" s="24" t="n">
        <f aca="false">C23/(1+$B$8)^$B$9</f>
        <v>8.62414410916261</v>
      </c>
      <c r="E23" s="8" t="n">
        <f aca="false">($B$10-D23)/D23</f>
        <v>-0.484006767086353</v>
      </c>
      <c r="F23" s="0" t="str">
        <f aca="false">IF($B$10&lt;=D23,"BUY","WAIT")</f>
        <v>BUY</v>
      </c>
    </row>
    <row r="25" customFormat="false" ht="15" hidden="false" customHeight="false" outlineLevel="0" collapsed="false">
      <c r="A25" s="0" t="s">
        <v>130</v>
      </c>
      <c r="B25" s="24" t="n">
        <f aca="false">86.7/44.03</f>
        <v>1.96911196911197</v>
      </c>
    </row>
    <row r="26" customFormat="false" ht="15" hidden="false" customHeight="false" outlineLevel="0" collapsed="false">
      <c r="A26" s="0" t="s">
        <v>131</v>
      </c>
      <c r="B26" s="24" t="n">
        <f aca="false">-100/44.03</f>
        <v>-2.27117874176698</v>
      </c>
    </row>
    <row r="28" customFormat="false" ht="15" hidden="false" customHeight="false" outlineLevel="0" collapsed="false">
      <c r="A28" s="0" t="s">
        <v>132</v>
      </c>
      <c r="B28" s="25" t="n">
        <v>5</v>
      </c>
      <c r="C28" s="24" t="n">
        <f aca="false">$B$25*B28+$B$26</f>
        <v>7.57438110379287</v>
      </c>
      <c r="D28" s="24" t="n">
        <f aca="false">C28/(1+$B$8)^$B$9</f>
        <v>3.7658060690888</v>
      </c>
      <c r="E28" s="8" t="n">
        <f aca="false">($B$10-D28)/D28</f>
        <v>0.181685917532327</v>
      </c>
      <c r="F28" s="0" t="str">
        <f aca="false">IF($B$10&lt;=D28,"BUY","WAIT")</f>
        <v>WAIT</v>
      </c>
    </row>
    <row r="29" customFormat="false" ht="15" hidden="false" customHeight="false" outlineLevel="0" collapsed="false">
      <c r="A29" s="0" t="s">
        <v>133</v>
      </c>
      <c r="B29" s="25" t="n">
        <v>6</v>
      </c>
      <c r="C29" s="24" t="n">
        <f aca="false">$B$25*B29+$B$26</f>
        <v>9.54349307290484</v>
      </c>
      <c r="D29" s="24" t="n">
        <f aca="false">C29/(1+$B$8)^$B$9</f>
        <v>4.74480272932867</v>
      </c>
      <c r="E29" s="8" t="n">
        <f aca="false">($B$10-D29)/D29</f>
        <v>-0.0621317146667511</v>
      </c>
      <c r="F29" s="0" t="str">
        <f aca="false">IF($B$10&lt;=D29,"BUY","WAIT")</f>
        <v>BUY</v>
      </c>
    </row>
    <row r="30" customFormat="false" ht="15" hidden="false" customHeight="false" outlineLevel="0" collapsed="false">
      <c r="A30" s="0" t="s">
        <v>134</v>
      </c>
      <c r="B30" s="25" t="n">
        <v>7</v>
      </c>
      <c r="C30" s="24" t="n">
        <f aca="false">$B$25*B30+$B$26</f>
        <v>11.5126050420168</v>
      </c>
      <c r="D30" s="24" t="n">
        <f aca="false">C30/(1+$B$8)^$B$9</f>
        <v>5.72379938956855</v>
      </c>
      <c r="E30" s="8" t="n">
        <f aca="false">($B$10-D30)/D30</f>
        <v>-0.222544380554289</v>
      </c>
      <c r="F30" s="0" t="str">
        <f aca="false">IF($B$10&lt;=D30,"BUY","WAIT")</f>
        <v>BUY</v>
      </c>
    </row>
    <row r="33" customFormat="false" ht="15" hidden="false" customHeight="false" outlineLevel="0" collapsed="false">
      <c r="A33" s="26" t="s">
        <v>135</v>
      </c>
      <c r="B33" s="26"/>
      <c r="C33" s="26"/>
      <c r="D33" s="26"/>
      <c r="E33" s="26"/>
      <c r="F33" s="26"/>
    </row>
    <row r="35" customFormat="false" ht="17.35" hidden="false" customHeight="false" outlineLevel="0" collapsed="false">
      <c r="A35" s="0" t="s">
        <v>136</v>
      </c>
      <c r="B35" s="27" t="n">
        <f aca="false">AVERAGE(D16,D21,D22,D23,D28,D29,D30)</f>
        <v>5.97149556145828</v>
      </c>
    </row>
    <row r="36" customFormat="false" ht="15" hidden="false" customHeight="false" outlineLevel="0" collapsed="false">
      <c r="A36" s="0" t="s">
        <v>137</v>
      </c>
      <c r="B36" s="28" t="n">
        <f aca="false">MIN(D16,D21,D22,D23,D28,D29,D30)</f>
        <v>3.7658060690888</v>
      </c>
    </row>
    <row r="37" customFormat="false" ht="15" hidden="false" customHeight="false" outlineLevel="0" collapsed="false">
      <c r="A37" s="0" t="s">
        <v>138</v>
      </c>
      <c r="B37" s="28" t="n">
        <f aca="false">MAX(D16,D21,D22,D23,D28,D29,D30)</f>
        <v>8.62414410916261</v>
      </c>
    </row>
    <row r="39" customFormat="false" ht="15" hidden="false" customHeight="false" outlineLevel="0" collapsed="false">
      <c r="A39" s="0" t="s">
        <v>139</v>
      </c>
      <c r="B39" s="8" t="n">
        <f aca="false">($B$10-B35)/B35</f>
        <v>-0.25479304904427</v>
      </c>
    </row>
    <row r="41" customFormat="false" ht="15" hidden="false" customHeight="false" outlineLevel="0" collapsed="false">
      <c r="A41" s="4" t="s">
        <v>140</v>
      </c>
    </row>
    <row r="42" customFormat="false" ht="15" hidden="false" customHeight="false" outlineLevel="0" collapsed="false">
      <c r="A42" s="29" t="str">
        <f aca="false">IF(B10&lt;=B35,"Current price is BELOW target entry - consider BUYING","Current price is ABOVE target entry - WAIT for pullback")</f>
        <v>Current price is BELOW target entry - consider BUYING</v>
      </c>
    </row>
    <row r="45" customFormat="false" ht="15" hidden="false" customHeight="false" outlineLevel="0" collapsed="false">
      <c r="A45" s="23" t="s">
        <v>141</v>
      </c>
    </row>
    <row r="47" customFormat="false" ht="15" hidden="false" customHeight="false" outlineLevel="0" collapsed="false">
      <c r="A47" s="0" t="s">
        <v>142</v>
      </c>
      <c r="B47" s="22" t="n">
        <v>0.2</v>
      </c>
    </row>
    <row r="48" customFormat="false" ht="15" hidden="false" customHeight="false" outlineLevel="0" collapsed="false">
      <c r="A48" s="0" t="s">
        <v>143</v>
      </c>
      <c r="B48" s="8" t="n">
        <f aca="false">B47/B10</f>
        <v>0.0449438202247191</v>
      </c>
    </row>
    <row r="49" customFormat="false" ht="15" hidden="false" customHeight="false" outlineLevel="0" collapsed="false">
      <c r="A49" s="0" t="s">
        <v>144</v>
      </c>
      <c r="B49" s="24" t="n">
        <f aca="false">B47*5</f>
        <v>1</v>
      </c>
    </row>
    <row r="50" customFormat="false" ht="15" hidden="false" customHeight="false" outlineLevel="0" collapsed="false">
      <c r="A50" s="0" t="s">
        <v>145</v>
      </c>
      <c r="B50" s="30" t="n">
        <f aca="false">B35+B49/(1+B8)^(B9/2)</f>
        <v>6.676603166933</v>
      </c>
    </row>
    <row r="52" customFormat="false" ht="15" hidden="false" customHeight="false" outlineLevel="0" collapsed="false">
      <c r="A52" s="0" t="s">
        <v>146</v>
      </c>
    </row>
    <row r="53" customFormat="false" ht="15" hidden="false" customHeight="false" outlineLevel="0" collapsed="false">
      <c r="A53" s="0" t="s">
        <v>147</v>
      </c>
    </row>
  </sheetData>
  <mergeCells count="3">
    <mergeCell ref="A1:F1"/>
    <mergeCell ref="A12:F1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5" t="s">
        <v>148</v>
      </c>
      <c r="B1" s="5"/>
      <c r="C1" s="5"/>
      <c r="D1" s="5"/>
      <c r="E1" s="5"/>
      <c r="F1" s="5"/>
      <c r="G1" s="5"/>
    </row>
    <row r="3" customFormat="false" ht="15" hidden="false" customHeight="false" outlineLevel="0" collapsed="false">
      <c r="A3" s="4" t="s">
        <v>149</v>
      </c>
    </row>
    <row r="5" customFormat="false" ht="15" hidden="false" customHeight="false" outlineLevel="0" collapsed="false">
      <c r="A5" s="0" t="s">
        <v>150</v>
      </c>
      <c r="B5" s="31" t="n">
        <v>0.015</v>
      </c>
      <c r="C5" s="31" t="n">
        <v>0.02</v>
      </c>
      <c r="D5" s="31" t="n">
        <v>0.025</v>
      </c>
      <c r="E5" s="31" t="n">
        <v>0.03</v>
      </c>
      <c r="F5" s="31" t="n">
        <v>0.035</v>
      </c>
    </row>
    <row r="6" customFormat="false" ht="15" hidden="false" customHeight="false" outlineLevel="0" collapsed="false">
      <c r="A6" s="0" t="s">
        <v>151</v>
      </c>
    </row>
    <row r="7" customFormat="false" ht="15" hidden="false" customHeight="false" outlineLevel="0" collapsed="false">
      <c r="A7" s="32" t="n">
        <v>0.065</v>
      </c>
      <c r="B7" s="24" t="n">
        <v>19.7456279809221</v>
      </c>
      <c r="C7" s="24" t="n">
        <v>22.2691599162187</v>
      </c>
      <c r="D7" s="24" t="n">
        <v>25.4235748353395</v>
      </c>
      <c r="E7" s="24" t="n">
        <v>29.4792511599234</v>
      </c>
      <c r="F7" s="24" t="n">
        <v>34.886819592702</v>
      </c>
    </row>
    <row r="8" customFormat="false" ht="15" hidden="false" customHeight="false" outlineLevel="0" collapsed="false">
      <c r="A8" s="32" t="n">
        <v>0.07</v>
      </c>
      <c r="B8" s="24" t="n">
        <v>17.6809200338612</v>
      </c>
      <c r="C8" s="24" t="n">
        <v>19.7456279809221</v>
      </c>
      <c r="D8" s="24" t="n">
        <v>22.2691599162187</v>
      </c>
      <c r="E8" s="24" t="n">
        <v>25.4235748353395</v>
      </c>
      <c r="F8" s="24" t="n">
        <v>29.4792511599234</v>
      </c>
    </row>
    <row r="9" customFormat="false" ht="15" hidden="false" customHeight="false" outlineLevel="0" collapsed="false">
      <c r="A9" s="32" t="n">
        <v>0.075</v>
      </c>
      <c r="B9" s="24" t="n">
        <v>15.9603300779771</v>
      </c>
      <c r="C9" s="24" t="n">
        <v>17.6809200338612</v>
      </c>
      <c r="D9" s="24" t="n">
        <v>19.7456279809221</v>
      </c>
      <c r="E9" s="24" t="n">
        <v>22.2691599162187</v>
      </c>
      <c r="F9" s="24" t="n">
        <v>25.4235748353396</v>
      </c>
    </row>
    <row r="10" customFormat="false" ht="15" hidden="false" customHeight="false" outlineLevel="0" collapsed="false">
      <c r="A10" s="32" t="n">
        <v>0.08</v>
      </c>
      <c r="B10" s="24" t="n">
        <v>14.5044462691522</v>
      </c>
      <c r="C10" s="24" t="n">
        <v>15.9603300779771</v>
      </c>
      <c r="D10" s="24" t="n">
        <v>17.6809200338612</v>
      </c>
      <c r="E10" s="24" t="n">
        <v>19.7456279809221</v>
      </c>
      <c r="F10" s="24" t="n">
        <v>22.2691599162187</v>
      </c>
    </row>
    <row r="11" customFormat="false" ht="15" hidden="false" customHeight="false" outlineLevel="0" collapsed="false">
      <c r="A11" s="32" t="n">
        <v>0.085</v>
      </c>
      <c r="B11" s="24" t="n">
        <v>13.2565458615879</v>
      </c>
      <c r="C11" s="24" t="n">
        <v>14.5044462691522</v>
      </c>
      <c r="D11" s="24" t="n">
        <v>15.9603300779771</v>
      </c>
      <c r="E11" s="24" t="n">
        <v>17.6809200338612</v>
      </c>
      <c r="F11" s="24" t="n">
        <v>19.7456279809221</v>
      </c>
    </row>
    <row r="12" customFormat="false" ht="15" hidden="false" customHeight="false" outlineLevel="0" collapsed="false">
      <c r="A12" s="32" t="n">
        <v>0.09</v>
      </c>
      <c r="B12" s="24" t="n">
        <v>12.1750321750322</v>
      </c>
      <c r="C12" s="24" t="n">
        <v>13.2565458615879</v>
      </c>
      <c r="D12" s="24" t="n">
        <v>14.5044462691522</v>
      </c>
      <c r="E12" s="24" t="n">
        <v>15.9603300779771</v>
      </c>
      <c r="F12" s="24" t="n">
        <v>17.6809200338612</v>
      </c>
    </row>
    <row r="15" customFormat="false" ht="15" hidden="false" customHeight="false" outlineLevel="0" collapsed="false">
      <c r="A15" s="0" t="s">
        <v>152</v>
      </c>
    </row>
    <row r="18" customFormat="false" ht="15" hidden="false" customHeight="false" outlineLevel="0" collapsed="false">
      <c r="A18" s="4" t="s">
        <v>153</v>
      </c>
    </row>
    <row r="20" customFormat="false" ht="15" hidden="false" customHeight="false" outlineLevel="0" collapsed="false">
      <c r="A20" s="0" t="s">
        <v>154</v>
      </c>
      <c r="B20" s="33" t="n">
        <v>4.5</v>
      </c>
      <c r="C20" s="33" t="n">
        <v>5.5</v>
      </c>
      <c r="D20" s="33" t="n">
        <v>6.5</v>
      </c>
      <c r="E20" s="33" t="n">
        <v>7.5</v>
      </c>
      <c r="F20" s="33" t="n">
        <v>8.5</v>
      </c>
      <c r="G20" s="33" t="n">
        <v>9.5</v>
      </c>
    </row>
    <row r="21" customFormat="false" ht="15" hidden="false" customHeight="false" outlineLevel="0" collapsed="false">
      <c r="A21" s="0" t="s">
        <v>155</v>
      </c>
    </row>
    <row r="22" customFormat="false" ht="15" hidden="false" customHeight="false" outlineLevel="0" collapsed="false">
      <c r="A22" s="32" t="n">
        <v>0.1</v>
      </c>
      <c r="B22" s="24" t="n">
        <v>2.7941459537662</v>
      </c>
      <c r="C22" s="24" t="n">
        <v>3.41506727682535</v>
      </c>
      <c r="D22" s="34" t="n">
        <v>4.03598859988451</v>
      </c>
      <c r="E22" s="34" t="n">
        <v>4.65690992294366</v>
      </c>
      <c r="F22" s="34" t="n">
        <v>5.27783124600282</v>
      </c>
      <c r="G22" s="34" t="n">
        <v>5.89875256906197</v>
      </c>
    </row>
    <row r="23" customFormat="false" ht="15" hidden="false" customHeight="false" outlineLevel="0" collapsed="false">
      <c r="A23" s="32" t="n">
        <v>0.12</v>
      </c>
      <c r="B23" s="24" t="n">
        <v>2.5534208507337</v>
      </c>
      <c r="C23" s="24" t="n">
        <v>3.1208477064523</v>
      </c>
      <c r="D23" s="34" t="n">
        <v>3.6882745621709</v>
      </c>
      <c r="E23" s="34" t="n">
        <v>4.25570141788949</v>
      </c>
      <c r="F23" s="34" t="n">
        <v>4.82312827360809</v>
      </c>
      <c r="G23" s="34" t="n">
        <v>5.39055512932669</v>
      </c>
    </row>
    <row r="24" customFormat="false" ht="15" hidden="false" customHeight="false" outlineLevel="0" collapsed="false">
      <c r="A24" s="32" t="n">
        <v>0.15</v>
      </c>
      <c r="B24" s="24" t="n">
        <v>2.23729530884231</v>
      </c>
      <c r="C24" s="24" t="n">
        <v>2.7344720441406</v>
      </c>
      <c r="D24" s="24" t="n">
        <v>3.23164877943888</v>
      </c>
      <c r="E24" s="34" t="n">
        <v>3.72882551473717</v>
      </c>
      <c r="F24" s="34" t="n">
        <v>4.22600225003546</v>
      </c>
      <c r="G24" s="34" t="n">
        <v>4.72317898533375</v>
      </c>
    </row>
    <row r="25" customFormat="false" ht="15" hidden="false" customHeight="false" outlineLevel="0" collapsed="false">
      <c r="A25" s="32" t="n">
        <v>0.18</v>
      </c>
      <c r="B25" s="24" t="n">
        <v>1.96699147303706</v>
      </c>
      <c r="C25" s="24" t="n">
        <v>2.40410068926752</v>
      </c>
      <c r="D25" s="24" t="n">
        <v>2.84120990549798</v>
      </c>
      <c r="E25" s="24" t="n">
        <v>3.27831912172844</v>
      </c>
      <c r="F25" s="34" t="n">
        <v>3.7154283379589</v>
      </c>
      <c r="G25" s="34" t="n">
        <v>4.15253755418936</v>
      </c>
    </row>
    <row r="26" customFormat="false" ht="15" hidden="false" customHeight="false" outlineLevel="0" collapsed="false">
      <c r="A26" s="32" t="n">
        <v>0.2</v>
      </c>
      <c r="B26" s="24" t="n">
        <v>1.80844907407407</v>
      </c>
      <c r="C26" s="24" t="n">
        <v>2.21032664609054</v>
      </c>
      <c r="D26" s="24" t="n">
        <v>2.612204218107</v>
      </c>
      <c r="E26" s="24" t="n">
        <v>3.01408179012346</v>
      </c>
      <c r="F26" s="24" t="n">
        <v>3.41595936213992</v>
      </c>
      <c r="G26" s="34" t="n">
        <v>3.81783693415638</v>
      </c>
    </row>
    <row r="28" customFormat="false" ht="15" hidden="false" customHeight="false" outlineLevel="0" collapsed="false">
      <c r="A28" s="0" t="s">
        <v>156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2026-01-05T09:04:53Z</dcterms:created>
  <dc:creator>openpyxl</dc:creator>
  <dc:description/>
  <dc:language>en-US</dc:language>
  <cp:lastModifiedBy/>
  <dcterms:modified xsi:type="dcterms:W3CDTF">2026-01-05T09:04:53Z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