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 (Base)" sheetId="1" r:id="rId1"/>
    <sheet name="Scenarios" sheetId="2" r:id="rId2"/>
    <sheet name="Sensitivity" sheetId="3" r:id="rId3"/>
    <sheet name="Historical Data" sheetId="4" r:id="rId4"/>
    <sheet name="Sanity Check" sheetId="5" r:id="rId5"/>
  </sheets>
  <calcPr calcId="124519" fullCalcOnLoad="1"/>
</workbook>
</file>

<file path=xl/sharedStrings.xml><?xml version="1.0" encoding="utf-8"?>
<sst xmlns="http://schemas.openxmlformats.org/spreadsheetml/2006/main" count="189" uniqueCount="167">
  <si>
    <t>AVGO – Broadcom Inc. DCF Valuation Model (Base Case)</t>
  </si>
  <si>
    <t>Gray cells are INPUTS — adjust to see valuation update automatically | All values in USD millions except per-share figures</t>
  </si>
  <si>
    <t>Valuation Date: 2026-06-24  |  Current Price: $380.15  |  52-Week Range: $262.66–$495.00</t>
  </si>
  <si>
    <t>KEY INPUTS</t>
  </si>
  <si>
    <t>Current Stock Price ($)</t>
  </si>
  <si>
    <t>Shares Outstanding (M)</t>
  </si>
  <si>
    <t>Cash &amp; Equivalents (M)</t>
  </si>
  <si>
    <t>Total Debt (M)</t>
  </si>
  <si>
    <t>Net Debt (M)  [Debt − Cash]</t>
  </si>
  <si>
    <t>Base Year FCF (M)  [FY2025]</t>
  </si>
  <si>
    <t>WACC</t>
  </si>
  <si>
    <t>Terminal Growth Rate</t>
  </si>
  <si>
    <t>FCF GROWTH ASSUMPTIONS  (adjust Year 1–5 growth rates below)</t>
  </si>
  <si>
    <t>Year Label</t>
  </si>
  <si>
    <t>Base FCF</t>
  </si>
  <si>
    <t>Year 1</t>
  </si>
  <si>
    <t>Year 2</t>
  </si>
  <si>
    <t>Year 3</t>
  </si>
  <si>
    <t>Year 4</t>
  </si>
  <si>
    <t>Year 5</t>
  </si>
  <si>
    <t>FCF Growth Rate</t>
  </si>
  <si>
    <t>PROJECTIONS</t>
  </si>
  <si>
    <t>Free Cash Flow (M)</t>
  </si>
  <si>
    <t>YoY FCF Growth</t>
  </si>
  <si>
    <t>Discount Factor  [1/(1+WACC)^t]</t>
  </si>
  <si>
    <t>PV of FCF (M)</t>
  </si>
  <si>
    <t>VALUATION SUMMARY</t>
  </si>
  <si>
    <t>Sum of PV of FCF (M)</t>
  </si>
  <si>
    <t>Terminal FCF  [Y5 × (1+g)]</t>
  </si>
  <si>
    <t>Terminal Value  [FCF_t / (WACC−g)]</t>
  </si>
  <si>
    <t>PV of Terminal Value</t>
  </si>
  <si>
    <t>Enterprise Value  [Sum PV FCF + PV TV]</t>
  </si>
  <si>
    <t>Less: Net Debt (M)</t>
  </si>
  <si>
    <t>Equity Value (M)</t>
  </si>
  <si>
    <t>INTRINSIC VALUE PER SHARE</t>
  </si>
  <si>
    <t>Upside / (Downside) to Current Price</t>
  </si>
  <si>
    <t>ENTRY PRICE  (Price to achieve 15% CAGR to Terminal Value)</t>
  </si>
  <si>
    <t>Terminal Value per Share</t>
  </si>
  <si>
    <t>Entry Price  [TV/Share ÷ (1.15)^5]</t>
  </si>
  <si>
    <t>Entry Discount from Current Price</t>
  </si>
  <si>
    <t>VALUATION CONTEXT</t>
  </si>
  <si>
    <t>Company</t>
  </si>
  <si>
    <t>Broadcom Inc. (AVGO)</t>
  </si>
  <si>
    <t>Sector</t>
  </si>
  <si>
    <t>Semiconductors &amp; Infra Software</t>
  </si>
  <si>
    <t>Market Cap (approx)</t>
  </si>
  <si>
    <t>~$1.85 trillion</t>
  </si>
  <si>
    <t>FY2025 Revenue</t>
  </si>
  <si>
    <t>$63.9B (+24% YoY)</t>
  </si>
  <si>
    <t>FY2025 FCF</t>
  </si>
  <si>
    <t>$26.9B (42% FCF margin)</t>
  </si>
  <si>
    <t>H1 FY2026 FCF</t>
  </si>
  <si>
    <t>$18.3B (ann. ~$36.5B)</t>
  </si>
  <si>
    <t>AI Semi Revenue FY2025</t>
  </si>
  <si>
    <t>$20B (+65% YoY)</t>
  </si>
  <si>
    <t>AI Semi Revenue FY2026E</t>
  </si>
  <si>
    <t>$56B (management guide)</t>
  </si>
  <si>
    <t>Net Debt (post-VMware)</t>
  </si>
  <si>
    <t>~$49B, rapidly declining</t>
  </si>
  <si>
    <t>FCF Driver Note</t>
  </si>
  <si>
    <t>FCF is the primary valuation driver (not equity CAGR). Shareholders equity is inflated by ~$54B VMware goodwill; GAAP EPS is depressed by ~$9-10B/yr amortization. FCF margin ~42% is the cleanest measure of value creation.</t>
  </si>
  <si>
    <t>Current P/E (GAAP)</t>
  </si>
  <si>
    <t>79.7x</t>
  </si>
  <si>
    <t>Current EV/EBITDA</t>
  </si>
  <si>
    <t>~44.5x</t>
  </si>
  <si>
    <t>Historical P/E Range</t>
  </si>
  <si>
    <t>20x-40x non-GAAP</t>
  </si>
  <si>
    <t>Base IV P/E (implied)</t>
  </si>
  <si>
    <t>36.2x GAAP</t>
  </si>
  <si>
    <t>Base IV EV/EBITDA</t>
  </si>
  <si>
    <t>20.8x adjusted</t>
  </si>
  <si>
    <t>AVGO DCF – Three-Scenario Comparison (Base / Bull / Bear)</t>
  </si>
  <si>
    <t>All values in USD millions except per-share. Adjust inputs in "DCF Model (Base)" sheet.</t>
  </si>
  <si>
    <t>BEAR CASE</t>
  </si>
  <si>
    <t>BASE CASE</t>
  </si>
  <si>
    <t>BULL CASE</t>
  </si>
  <si>
    <t>PROBABILITY</t>
  </si>
  <si>
    <t>WEIGHTED</t>
  </si>
  <si>
    <t>Probability Weight</t>
  </si>
  <si>
    <t>FCF GROWTH RATES</t>
  </si>
  <si>
    <t>PROJECTED FCF (M)</t>
  </si>
  <si>
    <t>VALUATION RESULTS</t>
  </si>
  <si>
    <t>Sum PV of FCF (M)</t>
  </si>
  <si>
    <t>Terminal Value (M)</t>
  </si>
  <si>
    <t>PV of Terminal Value (M)</t>
  </si>
  <si>
    <t>Enterprise Value (M)</t>
  </si>
  <si>
    <t>INTRINSIC VALUE / SHARE</t>
  </si>
  <si>
    <t>Upside vs Current Price ($380.15)</t>
  </si>
  <si>
    <t>ENTRY PRICE  (15% CAGR target)</t>
  </si>
  <si>
    <t>Terminal Value / Share</t>
  </si>
  <si>
    <t>Entry Price (15% CAGR over 5 yrs)</t>
  </si>
  <si>
    <t>Discount to Current Price</t>
  </si>
  <si>
    <t>SCENARIO RATIONALE</t>
  </si>
  <si>
    <t>BEAR: AI capex digestion / hyperscaler in-sourcing / VMware churn / China export restrictions. FCF growth slows sharply; margins compress.</t>
  </si>
  <si>
    <t>BASE: AI ramp decelerates from current run-rate. $56B FY2026 AI guidance broadly achieved, $100B FY2027 partially achieved. VMware steady growth.</t>
  </si>
  <si>
    <t>BULL: AI revenue exceeds $100B FY2027 target. New hyperscaler wins. VMware VCF AI monetization succeeds. FCF margins expand above 45%.</t>
  </si>
  <si>
    <t>AVGO DCF – Sensitivity Analysis: Intrinsic Value by WACC &amp; Terminal Growth Rate</t>
  </si>
  <si>
    <t>Uses BASE CASE FCF path. Values in USD per share. Current price: $380.15.</t>
  </si>
  <si>
    <t>(Inputs linked to "DCF Model (Base)" sheet B11 and growth rates)</t>
  </si>
  <si>
    <t>WACC \ Term G</t>
  </si>
  <si>
    <t>Legend:</t>
  </si>
  <si>
    <t>Green = IV ≥ Current Price ($380.15) — appears to offer value</t>
  </si>
  <si>
    <t>Yellow = IV 50-100% of current price</t>
  </si>
  <si>
    <t>Red = IV &lt; 50% of current price — significant premium</t>
  </si>
  <si>
    <t>Key Observation:</t>
  </si>
  <si>
    <t>Under ALL combinations of WACC (8-12%) and terminal growth (2-4%), the base case DCF intrinsic value is BELOW the current stock price of $380.15. The nearest scenario to justifying the current price is 8% WACC / 4% terminal growth at $305.46/share — still 20% below market. This confirms the stock is pricing in growth assumptions substantially more aggressive than the base case. A bull case DCF (WACC 9%, terminal 3.5%) yields $299.36. The market is pricing approximately a bull++ scenario.</t>
  </si>
  <si>
    <t>AVGO – Historical Financial Data (from Metrics CSV)</t>
  </si>
  <si>
    <t>All values in USD millions except EPS and margins.</t>
  </si>
  <si>
    <t>Period</t>
  </si>
  <si>
    <t>Revenue</t>
  </si>
  <si>
    <t>FCF</t>
  </si>
  <si>
    <t>FCF Margin</t>
  </si>
  <si>
    <t>EPS</t>
  </si>
  <si>
    <t>Net Income</t>
  </si>
  <si>
    <t>Equity</t>
  </si>
  <si>
    <t>Total Debt</t>
  </si>
  <si>
    <t>Cash</t>
  </si>
  <si>
    <t>FY2020</t>
  </si>
  <si>
    <t>FY2021</t>
  </si>
  <si>
    <t>FY2022</t>
  </si>
  <si>
    <t>FY2023</t>
  </si>
  <si>
    <t>FY2024</t>
  </si>
  <si>
    <t>FY2025</t>
  </si>
  <si>
    <t>Q1 FY2026</t>
  </si>
  <si>
    <t>Q2 FY2026</t>
  </si>
  <si>
    <t>HISTORICAL GROWTH RATES</t>
  </si>
  <si>
    <t>Metric</t>
  </si>
  <si>
    <t>3-Year CAGR</t>
  </si>
  <si>
    <t>5-Year CAGR</t>
  </si>
  <si>
    <t>Note</t>
  </si>
  <si>
    <t>FY2022→FY2025 / FY2020→FY2025</t>
  </si>
  <si>
    <t>GAAP; distorted by VMware amortization</t>
  </si>
  <si>
    <t>SELECTED DRIVER — cleanest metric</t>
  </si>
  <si>
    <t>Inflated by VMware goodwill — NOT used</t>
  </si>
  <si>
    <t>Selected Growth Driver:</t>
  </si>
  <si>
    <t>FCF (5yr CAGR: 18.3%)</t>
  </si>
  <si>
    <t>Note on selection:</t>
  </si>
  <si>
    <t>Equity CAGR diverges &gt;30pp from FCF/Revenue on 3yr basis, triggering the flag threshold. FCF CAGR understates forward growth (AI ramp starting): actual FY2026 FCF tracking ~$36-40B (+35-49% YoY). Base case uses 40% Y1 FCF growth to reflect H1 FY2026 actuals.</t>
  </si>
  <si>
    <t>AVGO DCF – Sanity Check: Implied Multiples vs Historical Range</t>
  </si>
  <si>
    <t>Context: Broadcom is a high-growth compounder — premium multiples are historically normal.</t>
  </si>
  <si>
    <t>Bear IV ($88.11)</t>
  </si>
  <si>
    <t>Base IV ($172.47)</t>
  </si>
  <si>
    <t>Bull IV ($299.36)</t>
  </si>
  <si>
    <t>Implied P/E (vs FY2025 GAAP EPS $4.77)</t>
  </si>
  <si>
    <t>Implied P/FCF (vs FY2025 FCF/share ~$5.53)</t>
  </si>
  <si>
    <t>Implied EV/EBITDA (vs $42.8B adj EBITDA)</t>
  </si>
  <si>
    <t>Shares × IV = Equity Value ($B)</t>
  </si>
  <si>
    <t>CURRENT MARKET PRICING</t>
  </si>
  <si>
    <t>Current ($380.15)</t>
  </si>
  <si>
    <t>Historical AVGO Range</t>
  </si>
  <si>
    <t>Assessment</t>
  </si>
  <si>
    <t>GAAP P/E</t>
  </si>
  <si>
    <t>20x-40x non-GAAP (GAAP lower due to amortization)</t>
  </si>
  <si>
    <t>Elevated — reflects AI growth premium &amp; amortization distortion</t>
  </si>
  <si>
    <t>EV/EBITDA</t>
  </si>
  <si>
    <t>18x-30x (pre-AI), 35-50x (2023-2026)</t>
  </si>
  <si>
    <t>At high end of recent expanded range</t>
  </si>
  <si>
    <t>P/FCF</t>
  </si>
  <si>
    <t>68.7x</t>
  </si>
  <si>
    <t>15x-25x historically</t>
  </si>
  <si>
    <t>Premium — AI growth priced in heavily</t>
  </si>
  <si>
    <t>Market Cap</t>
  </si>
  <si>
    <t>~$1.85T</t>
  </si>
  <si>
    <t>Below $500B pre-VMware (2023)</t>
  </si>
  <si>
    <t>Reflects transformational AI opportunity</t>
  </si>
  <si>
    <t>SANITY CHECK CONCLUSION</t>
  </si>
  <si>
    <t>ASSESSMENT: Base case DCF IV of $172.47/share implies 36.2x FY2025 GAAP P/E and 20.8x EV/EBITDA — both WITHIN Broadcom's historical trading range. This is internally consistent; the model is NOT broken.
The current stock price ($380.15) implies 79.7x GAAP P/E and 44.5x EV/EBITDA, well above the base-case DCF value. Even the bull-case IV ($299.36) is -21.3% below the current price.
CONCLUSION: AVGO trades at a significant premium to fundamental DCF value across all three scenarios. The market is pricing in extraordinary AI growth execution (management's $100B+ FY2027 AI target plus ongoing VMware monetization). This is NOT a modeling error — it reflects genuine growth optionality that DCF models are inherently challenged to capture for near-vertical growth curves.
NO FIX APPLIED. For a value investor, the appropriate entry would be ~$111 (base, 15% CAGR target) to $194 (bull, 15% CAGR). A momentum/growth investor might accept the current premium given the AI trajectory visibility.</t>
  </si>
</sst>
</file>

<file path=xl/styles.xml><?xml version="1.0" encoding="utf-8"?>
<styleSheet xmlns="http://schemas.openxmlformats.org/spreadsheetml/2006/main">
  <numFmts count="8">
    <numFmt numFmtId="164" formatCode="#,##0.0"/>
    <numFmt numFmtId="165" formatCode="0.0%"/>
    <numFmt numFmtId="166" formatCode="&quot;$&quot;#,##0.00"/>
    <numFmt numFmtId="167" formatCode="+0.0%;-0.0%;0.0%"/>
    <numFmt numFmtId="168" formatCode="#,##0"/>
    <numFmt numFmtId="169" formatCode="#,##0.00"/>
    <numFmt numFmtId="170" formatCode="#,##0.0&quot;x&quot;"/>
    <numFmt numFmtId="171" formatCode="&quot;$&quot;#,##0.0&quot;B&quot;"/>
  </numFmts>
  <fonts count="13">
    <font>
      <sz val="11"/>
      <color theme="1"/>
      <name val="Calibri"/>
      <family val="2"/>
      <scheme val="minor"/>
    </font>
    <font>
      <b/>
      <sz val="16"/>
      <color rgb="FF2D3436"/>
      <name val="Calibri"/>
      <family val="2"/>
      <scheme val="minor"/>
    </font>
    <font>
      <i/>
      <sz val="10"/>
      <color rgb="FF636E72"/>
      <name val="Calibri"/>
      <family val="2"/>
      <scheme val="minor"/>
    </font>
    <font>
      <i/>
      <sz val="9"/>
      <color rgb="FF636E72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D3436"/>
      <name val="Calibri"/>
      <family val="2"/>
      <scheme val="minor"/>
    </font>
    <font>
      <sz val="11"/>
      <color rgb="FFFFFFFF"/>
      <name val="Calibri"/>
      <family val="2"/>
      <scheme val="minor"/>
    </font>
    <font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FDCB6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1" xfId="0" applyFont="1" applyBorder="1"/>
    <xf numFmtId="164" fontId="0" fillId="2" borderId="2" xfId="0" applyNumberFormat="1" applyFill="1" applyBorder="1" applyAlignment="1">
      <alignment horizontal="right"/>
    </xf>
    <xf numFmtId="0" fontId="5" fillId="0" borderId="0" xfId="0" applyFont="1"/>
    <xf numFmtId="164" fontId="0" fillId="0" borderId="2" xfId="0" applyNumberFormat="1" applyBorder="1" applyAlignment="1">
      <alignment horizontal="right"/>
    </xf>
    <xf numFmtId="165" fontId="0" fillId="2" borderId="2" xfId="0" applyNumberFormat="1" applyFill="1" applyBorder="1" applyAlignment="1">
      <alignment horizontal="right"/>
    </xf>
    <xf numFmtId="0" fontId="6" fillId="3" borderId="2" xfId="0" applyFont="1" applyFill="1" applyBorder="1" applyAlignment="1">
      <alignment horizontal="center"/>
    </xf>
    <xf numFmtId="165" fontId="0" fillId="0" borderId="2" xfId="0" applyNumberFormat="1" applyBorder="1" applyAlignment="1">
      <alignment horizontal="right"/>
    </xf>
    <xf numFmtId="166" fontId="6" fillId="4" borderId="2" xfId="0" applyNumberFormat="1" applyFont="1" applyFill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0" fontId="6" fillId="5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168" fontId="0" fillId="0" borderId="2" xfId="0" applyNumberFormat="1" applyBorder="1" applyAlignment="1">
      <alignment horizontal="right"/>
    </xf>
    <xf numFmtId="166" fontId="6" fillId="5" borderId="2" xfId="0" applyNumberFormat="1" applyFont="1" applyFill="1" applyBorder="1" applyAlignment="1">
      <alignment horizontal="right"/>
    </xf>
    <xf numFmtId="166" fontId="4" fillId="7" borderId="2" xfId="0" applyNumberFormat="1" applyFont="1" applyFill="1" applyBorder="1" applyAlignment="1">
      <alignment horizontal="right"/>
    </xf>
    <xf numFmtId="165" fontId="6" fillId="3" borderId="2" xfId="0" applyNumberFormat="1" applyFont="1" applyFill="1" applyBorder="1" applyAlignment="1">
      <alignment horizontal="center"/>
    </xf>
    <xf numFmtId="166" fontId="7" fillId="7" borderId="2" xfId="0" applyNumberFormat="1" applyFont="1" applyFill="1" applyBorder="1" applyAlignment="1">
      <alignment horizontal="right"/>
    </xf>
    <xf numFmtId="166" fontId="8" fillId="5" borderId="2" xfId="0" applyNumberFormat="1" applyFont="1" applyFill="1" applyBorder="1" applyAlignment="1">
      <alignment horizontal="right"/>
    </xf>
    <xf numFmtId="0" fontId="9" fillId="4" borderId="0" xfId="0" applyFont="1" applyFill="1"/>
    <xf numFmtId="0" fontId="10" fillId="7" borderId="0" xfId="0" applyFont="1" applyFill="1"/>
    <xf numFmtId="0" fontId="9" fillId="5" borderId="0" xfId="0" applyFont="1" applyFill="1"/>
    <xf numFmtId="0" fontId="11" fillId="0" borderId="2" xfId="0" applyFont="1" applyBorder="1"/>
    <xf numFmtId="168" fontId="11" fillId="0" borderId="2" xfId="0" applyNumberFormat="1" applyFont="1" applyBorder="1" applyAlignment="1">
      <alignment horizontal="right"/>
    </xf>
    <xf numFmtId="165" fontId="11" fillId="0" borderId="2" xfId="0" applyNumberFormat="1" applyFont="1" applyBorder="1" applyAlignment="1">
      <alignment horizontal="right"/>
    </xf>
    <xf numFmtId="169" fontId="11" fillId="0" borderId="2" xfId="0" applyNumberFormat="1" applyFont="1" applyBorder="1" applyAlignment="1">
      <alignment horizontal="right"/>
    </xf>
    <xf numFmtId="0" fontId="5" fillId="0" borderId="2" xfId="0" applyFont="1" applyBorder="1"/>
    <xf numFmtId="168" fontId="5" fillId="0" borderId="2" xfId="0" applyNumberFormat="1" applyFont="1" applyBorder="1" applyAlignment="1">
      <alignment horizontal="right"/>
    </xf>
    <xf numFmtId="165" fontId="5" fillId="0" borderId="2" xfId="0" applyNumberFormat="1" applyFont="1" applyBorder="1" applyAlignment="1">
      <alignment horizontal="right"/>
    </xf>
    <xf numFmtId="169" fontId="5" fillId="0" borderId="2" xfId="0" applyNumberFormat="1" applyFont="1" applyBorder="1" applyAlignment="1">
      <alignment horizontal="right"/>
    </xf>
    <xf numFmtId="0" fontId="12" fillId="0" borderId="0" xfId="0" applyFont="1"/>
    <xf numFmtId="170" fontId="0" fillId="0" borderId="2" xfId="0" applyNumberFormat="1" applyBorder="1" applyAlignment="1">
      <alignment horizontal="right"/>
    </xf>
    <xf numFmtId="171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zoomScale="95" zoomScaleNormal="95" workbookViewId="0"/>
  </sheetViews>
  <sheetFormatPr defaultRowHeight="15"/>
  <cols>
    <col min="1" max="1" width="28.7109375" customWidth="1"/>
    <col min="2" max="2" width="16.7109375" customWidth="1"/>
    <col min="3" max="7" width="14.7109375" customWidth="1"/>
    <col min="8" max="8" width="2.7109375" customWidth="1"/>
    <col min="9" max="10" width="26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</row>
    <row r="2" spans="1:10">
      <c r="A2" s="2" t="s">
        <v>1</v>
      </c>
      <c r="B2" s="2"/>
      <c r="C2" s="2"/>
      <c r="D2" s="2"/>
      <c r="E2" s="2"/>
      <c r="F2" s="2"/>
      <c r="G2" s="2"/>
    </row>
    <row r="3" spans="1:10">
      <c r="A3" s="3" t="s">
        <v>2</v>
      </c>
    </row>
    <row r="5" spans="1:10">
      <c r="A5" s="4" t="s">
        <v>3</v>
      </c>
      <c r="B5" s="4"/>
      <c r="I5" s="4" t="s">
        <v>40</v>
      </c>
      <c r="J5" s="4"/>
    </row>
    <row r="6" spans="1:10">
      <c r="A6" t="s">
        <v>4</v>
      </c>
      <c r="B6" s="5">
        <v>380.15</v>
      </c>
      <c r="I6" s="6" t="s">
        <v>41</v>
      </c>
      <c r="J6" t="s">
        <v>42</v>
      </c>
    </row>
    <row r="7" spans="1:10">
      <c r="A7" t="s">
        <v>5</v>
      </c>
      <c r="B7" s="5">
        <v>4880</v>
      </c>
      <c r="I7" s="6" t="s">
        <v>43</v>
      </c>
      <c r="J7" t="s">
        <v>44</v>
      </c>
    </row>
    <row r="8" spans="1:10">
      <c r="A8" t="s">
        <v>6</v>
      </c>
      <c r="B8" s="5">
        <v>16178</v>
      </c>
      <c r="I8" s="6" t="s">
        <v>45</v>
      </c>
      <c r="J8" t="s">
        <v>46</v>
      </c>
    </row>
    <row r="9" spans="1:10">
      <c r="A9" t="s">
        <v>7</v>
      </c>
      <c r="B9" s="5">
        <v>65136</v>
      </c>
      <c r="I9" s="6" t="s">
        <v>47</v>
      </c>
      <c r="J9" t="s">
        <v>48</v>
      </c>
    </row>
    <row r="10" spans="1:10">
      <c r="A10" t="s">
        <v>8</v>
      </c>
      <c r="B10" s="7">
        <f>B9-B8</f>
        <v>0</v>
      </c>
      <c r="I10" s="6" t="s">
        <v>49</v>
      </c>
      <c r="J10" t="s">
        <v>50</v>
      </c>
    </row>
    <row r="11" spans="1:10">
      <c r="A11" t="s">
        <v>9</v>
      </c>
      <c r="B11" s="5">
        <v>26914</v>
      </c>
      <c r="I11" s="6" t="s">
        <v>51</v>
      </c>
      <c r="J11" t="s">
        <v>52</v>
      </c>
    </row>
    <row r="12" spans="1:10">
      <c r="I12" s="6" t="s">
        <v>53</v>
      </c>
      <c r="J12" t="s">
        <v>54</v>
      </c>
    </row>
    <row r="13" spans="1:10">
      <c r="A13" t="s">
        <v>10</v>
      </c>
      <c r="B13" s="8">
        <v>0.1</v>
      </c>
      <c r="I13" s="6" t="s">
        <v>55</v>
      </c>
      <c r="J13" t="s">
        <v>56</v>
      </c>
    </row>
    <row r="14" spans="1:10">
      <c r="A14" t="s">
        <v>11</v>
      </c>
      <c r="B14" s="8">
        <v>0.03</v>
      </c>
      <c r="I14" s="6" t="s">
        <v>57</v>
      </c>
      <c r="J14" t="s">
        <v>58</v>
      </c>
    </row>
    <row r="16" spans="1:10">
      <c r="A16" s="4" t="s">
        <v>12</v>
      </c>
      <c r="B16" s="4"/>
      <c r="C16" s="4"/>
      <c r="D16" s="4"/>
      <c r="E16" s="4"/>
      <c r="F16" s="4"/>
      <c r="G16" s="4"/>
      <c r="I16" s="6" t="s">
        <v>59</v>
      </c>
    </row>
    <row r="17" spans="1:10">
      <c r="A17" s="9" t="s">
        <v>13</v>
      </c>
      <c r="B17" s="9" t="s">
        <v>14</v>
      </c>
      <c r="C17" s="9" t="s">
        <v>15</v>
      </c>
      <c r="D17" s="9" t="s">
        <v>16</v>
      </c>
      <c r="E17" s="9" t="s">
        <v>17</v>
      </c>
      <c r="F17" s="9" t="s">
        <v>18</v>
      </c>
      <c r="G17" s="9" t="s">
        <v>19</v>
      </c>
      <c r="I17" s="3" t="s">
        <v>60</v>
      </c>
      <c r="J17" s="3"/>
    </row>
    <row r="18" spans="1:10">
      <c r="A18" t="s">
        <v>20</v>
      </c>
      <c r="B18" s="7"/>
      <c r="C18" s="8">
        <v>0.4</v>
      </c>
      <c r="D18" s="8">
        <v>0.3</v>
      </c>
      <c r="E18" s="8">
        <v>0.2</v>
      </c>
      <c r="F18" s="8">
        <v>0.15</v>
      </c>
      <c r="G18" s="8">
        <v>0.1</v>
      </c>
      <c r="I18" s="3"/>
      <c r="J18" s="3"/>
    </row>
    <row r="19" spans="1:10">
      <c r="I19" s="3"/>
      <c r="J19" s="3"/>
    </row>
    <row r="20" spans="1:10">
      <c r="A20" s="4" t="s">
        <v>21</v>
      </c>
      <c r="B20" s="4"/>
      <c r="C20" s="4"/>
      <c r="D20" s="4"/>
      <c r="E20" s="4"/>
      <c r="F20" s="4"/>
      <c r="G20" s="4"/>
      <c r="I20" s="3"/>
      <c r="J20" s="3"/>
    </row>
    <row r="21" spans="1:10">
      <c r="A21" t="s">
        <v>22</v>
      </c>
      <c r="B21" s="7">
        <f>B11</f>
        <v>0</v>
      </c>
      <c r="C21" s="7">
        <f>B21*(1+C18)</f>
        <v>0</v>
      </c>
      <c r="D21" s="7">
        <f>C21*(1+D18)</f>
        <v>0</v>
      </c>
      <c r="E21" s="7">
        <f>D21*(1+E18)</f>
        <v>0</v>
      </c>
      <c r="F21" s="7">
        <f>E21*(1+F18)</f>
        <v>0</v>
      </c>
      <c r="G21" s="7">
        <f>F21*(1+G18)</f>
        <v>0</v>
      </c>
    </row>
    <row r="22" spans="1:10">
      <c r="A22" t="s">
        <v>23</v>
      </c>
      <c r="C22" s="10">
        <f>C21/B21-1</f>
        <v>0</v>
      </c>
      <c r="D22" s="10">
        <f>D21/C21-1</f>
        <v>0</v>
      </c>
      <c r="E22" s="10">
        <f>E21/D21-1</f>
        <v>0</v>
      </c>
      <c r="F22" s="10">
        <f>F21/E21-1</f>
        <v>0</v>
      </c>
      <c r="G22" s="10">
        <f>G21/F21-1</f>
        <v>0</v>
      </c>
      <c r="I22" s="6" t="s">
        <v>61</v>
      </c>
      <c r="J22" t="s">
        <v>62</v>
      </c>
    </row>
    <row r="23" spans="1:10">
      <c r="A23" t="s">
        <v>24</v>
      </c>
      <c r="C23" s="7">
        <f>1/(1+$B$13)^1</f>
        <v>0</v>
      </c>
      <c r="D23" s="7">
        <f>1/(1+$B$13)^2</f>
        <v>0</v>
      </c>
      <c r="E23" s="7">
        <f>1/(1+$B$13)^3</f>
        <v>0</v>
      </c>
      <c r="F23" s="7">
        <f>1/(1+$B$13)^4</f>
        <v>0</v>
      </c>
      <c r="G23" s="7">
        <f>1/(1+$B$13)^5</f>
        <v>0</v>
      </c>
      <c r="I23" s="6" t="s">
        <v>63</v>
      </c>
      <c r="J23" t="s">
        <v>64</v>
      </c>
    </row>
    <row r="24" spans="1:10">
      <c r="A24" t="s">
        <v>25</v>
      </c>
      <c r="C24" s="7">
        <f>C21*C23</f>
        <v>0</v>
      </c>
      <c r="D24" s="7">
        <f>D21*D23</f>
        <v>0</v>
      </c>
      <c r="E24" s="7">
        <f>E21*E23</f>
        <v>0</v>
      </c>
      <c r="F24" s="7">
        <f>F21*F23</f>
        <v>0</v>
      </c>
      <c r="G24" s="7">
        <f>G21*G23</f>
        <v>0</v>
      </c>
      <c r="I24" s="6" t="s">
        <v>65</v>
      </c>
      <c r="J24" t="s">
        <v>66</v>
      </c>
    </row>
    <row r="25" spans="1:10">
      <c r="I25" s="6" t="s">
        <v>67</v>
      </c>
      <c r="J25" t="s">
        <v>68</v>
      </c>
    </row>
    <row r="26" spans="1:10">
      <c r="A26" s="4" t="s">
        <v>26</v>
      </c>
      <c r="B26" s="4"/>
      <c r="C26" s="4"/>
      <c r="D26" s="4"/>
      <c r="E26" s="4"/>
      <c r="F26" s="4"/>
      <c r="G26" s="4"/>
      <c r="I26" s="6" t="s">
        <v>69</v>
      </c>
      <c r="J26" t="s">
        <v>70</v>
      </c>
    </row>
    <row r="27" spans="1:10">
      <c r="A27" t="s">
        <v>27</v>
      </c>
      <c r="B27" s="7">
        <f>SUM(C24:G24)</f>
        <v>0</v>
      </c>
    </row>
    <row r="28" spans="1:10">
      <c r="A28" t="s">
        <v>28</v>
      </c>
      <c r="B28" s="7">
        <f>G21*(1+$B$14)</f>
        <v>0</v>
      </c>
    </row>
    <row r="29" spans="1:10">
      <c r="A29" t="s">
        <v>29</v>
      </c>
      <c r="B29" s="7">
        <f>B28/($B$13-$B$14)</f>
        <v>0</v>
      </c>
    </row>
    <row r="30" spans="1:10">
      <c r="A30" t="s">
        <v>30</v>
      </c>
      <c r="B30" s="7">
        <f>B29*G23</f>
        <v>0</v>
      </c>
    </row>
    <row r="31" spans="1:10">
      <c r="A31" t="s">
        <v>31</v>
      </c>
      <c r="B31" s="7">
        <f>B27+B30</f>
        <v>0</v>
      </c>
    </row>
    <row r="32" spans="1:10">
      <c r="A32" t="s">
        <v>32</v>
      </c>
      <c r="B32" s="7">
        <f>B10</f>
        <v>0</v>
      </c>
    </row>
    <row r="33" spans="1:7">
      <c r="A33" t="s">
        <v>33</v>
      </c>
      <c r="B33" s="7">
        <f>B31-B32</f>
        <v>0</v>
      </c>
    </row>
    <row r="34" spans="1:7">
      <c r="A34" s="6" t="s">
        <v>34</v>
      </c>
      <c r="B34" s="11">
        <f>B33/B7</f>
        <v>0</v>
      </c>
    </row>
    <row r="35" spans="1:7">
      <c r="A35" t="s">
        <v>35</v>
      </c>
      <c r="B35" s="12">
        <f>(B34-B6)/B6</f>
        <v>0</v>
      </c>
    </row>
    <row r="37" spans="1:7">
      <c r="A37" s="4" t="s">
        <v>36</v>
      </c>
      <c r="B37" s="4"/>
      <c r="C37" s="4"/>
      <c r="D37" s="4"/>
      <c r="E37" s="4"/>
      <c r="F37" s="4"/>
      <c r="G37" s="4"/>
    </row>
    <row r="38" spans="1:7">
      <c r="A38" t="s">
        <v>37</v>
      </c>
      <c r="B38" s="13">
        <f>B29/B7</f>
        <v>0</v>
      </c>
    </row>
    <row r="39" spans="1:7">
      <c r="A39" t="s">
        <v>38</v>
      </c>
      <c r="B39" s="11">
        <f>B38/(1.15^5)</f>
        <v>0</v>
      </c>
    </row>
    <row r="40" spans="1:7">
      <c r="A40" t="s">
        <v>39</v>
      </c>
      <c r="B40" s="12">
        <f>(B39-B6)/B6</f>
        <v>0</v>
      </c>
    </row>
  </sheetData>
  <mergeCells count="9">
    <mergeCell ref="A1:G1"/>
    <mergeCell ref="A2:G2"/>
    <mergeCell ref="A5:B5"/>
    <mergeCell ref="A16:G16"/>
    <mergeCell ref="A20:G20"/>
    <mergeCell ref="A26:G26"/>
    <mergeCell ref="A37:G37"/>
    <mergeCell ref="I5:J5"/>
    <mergeCell ref="I17:J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zoomScale="95" zoomScaleNormal="95" workbookViewId="0"/>
  </sheetViews>
  <sheetFormatPr defaultRowHeight="15"/>
  <cols>
    <col min="1" max="1" width="28.7109375" customWidth="1"/>
    <col min="2" max="7" width="14.7109375" customWidth="1"/>
  </cols>
  <sheetData>
    <row r="1" spans="1:7">
      <c r="A1" s="1" t="s">
        <v>71</v>
      </c>
      <c r="B1" s="1"/>
      <c r="C1" s="1"/>
      <c r="D1" s="1"/>
      <c r="E1" s="1"/>
      <c r="F1" s="1"/>
      <c r="G1" s="1"/>
    </row>
    <row r="2" spans="1:7">
      <c r="A2" s="2" t="s">
        <v>72</v>
      </c>
      <c r="B2" s="2"/>
      <c r="C2" s="2"/>
      <c r="D2" s="2"/>
      <c r="E2" s="2"/>
      <c r="F2" s="2"/>
      <c r="G2" s="2"/>
    </row>
    <row r="3" spans="1:7">
      <c r="B3" s="14" t="s">
        <v>73</v>
      </c>
      <c r="C3" s="15" t="s">
        <v>74</v>
      </c>
      <c r="D3" s="16" t="s">
        <v>75</v>
      </c>
      <c r="E3" s="9" t="s">
        <v>76</v>
      </c>
      <c r="F3" s="9" t="s">
        <v>77</v>
      </c>
    </row>
    <row r="4" spans="1:7">
      <c r="A4" s="6" t="s">
        <v>10</v>
      </c>
      <c r="B4" s="10">
        <v>0.11</v>
      </c>
      <c r="C4" s="10">
        <v>0.1</v>
      </c>
      <c r="D4" s="10">
        <v>0.09</v>
      </c>
    </row>
    <row r="5" spans="1:7">
      <c r="A5" s="6" t="s">
        <v>11</v>
      </c>
      <c r="B5" s="10">
        <v>0.025</v>
      </c>
      <c r="C5" s="10">
        <v>0.03</v>
      </c>
      <c r="D5" s="10">
        <v>0.035</v>
      </c>
    </row>
    <row r="6" spans="1:7">
      <c r="A6" s="6" t="s">
        <v>78</v>
      </c>
      <c r="B6" s="10">
        <v>0.25</v>
      </c>
      <c r="C6" s="10">
        <v>0.5</v>
      </c>
      <c r="D6" s="10">
        <v>0.25</v>
      </c>
    </row>
    <row r="8" spans="1:7">
      <c r="A8" s="4" t="s">
        <v>79</v>
      </c>
    </row>
    <row r="10" spans="1:7">
      <c r="A10" t="s">
        <v>15</v>
      </c>
      <c r="B10" s="10">
        <v>0.25</v>
      </c>
      <c r="C10" s="10">
        <v>0.4</v>
      </c>
      <c r="D10" s="10">
        <v>0.5</v>
      </c>
    </row>
    <row r="11" spans="1:7">
      <c r="A11" t="s">
        <v>16</v>
      </c>
      <c r="B11" s="10">
        <v>0.15</v>
      </c>
      <c r="C11" s="10">
        <v>0.3</v>
      </c>
      <c r="D11" s="10">
        <v>0.4</v>
      </c>
    </row>
    <row r="12" spans="1:7">
      <c r="A12" t="s">
        <v>17</v>
      </c>
      <c r="B12" s="10">
        <v>0.1</v>
      </c>
      <c r="C12" s="10">
        <v>0.2</v>
      </c>
      <c r="D12" s="10">
        <v>0.3</v>
      </c>
    </row>
    <row r="13" spans="1:7">
      <c r="A13" t="s">
        <v>18</v>
      </c>
      <c r="B13" s="10">
        <v>0.05</v>
      </c>
      <c r="C13" s="10">
        <v>0.15</v>
      </c>
      <c r="D13" s="10">
        <v>0.2</v>
      </c>
    </row>
    <row r="14" spans="1:7">
      <c r="A14" t="s">
        <v>19</v>
      </c>
      <c r="B14" s="10">
        <v>0.03</v>
      </c>
      <c r="C14" s="10">
        <v>0.1</v>
      </c>
      <c r="D14" s="10">
        <v>0.15</v>
      </c>
    </row>
    <row r="15" spans="1:7">
      <c r="A15" s="4" t="s">
        <v>80</v>
      </c>
    </row>
    <row r="17" spans="1:6">
      <c r="A17" t="s">
        <v>15</v>
      </c>
      <c r="B17" s="17">
        <v>33642.5</v>
      </c>
      <c r="C17" s="17">
        <v>37679.6</v>
      </c>
      <c r="D17" s="17">
        <v>40371</v>
      </c>
    </row>
    <row r="18" spans="1:6">
      <c r="A18" t="s">
        <v>16</v>
      </c>
      <c r="B18" s="17">
        <v>38688.9</v>
      </c>
      <c r="C18" s="17">
        <v>48983.5</v>
      </c>
      <c r="D18" s="17">
        <v>56519.4</v>
      </c>
    </row>
    <row r="19" spans="1:6">
      <c r="A19" t="s">
        <v>17</v>
      </c>
      <c r="B19" s="17">
        <v>42557.7</v>
      </c>
      <c r="C19" s="17">
        <v>58780.2</v>
      </c>
      <c r="D19" s="17">
        <v>73475.2</v>
      </c>
    </row>
    <row r="20" spans="1:6">
      <c r="A20" t="s">
        <v>18</v>
      </c>
      <c r="B20" s="17">
        <v>44685.6</v>
      </c>
      <c r="C20" s="17">
        <v>67597.2</v>
      </c>
      <c r="D20" s="17">
        <v>88170.3</v>
      </c>
    </row>
    <row r="21" spans="1:6">
      <c r="A21" t="s">
        <v>19</v>
      </c>
      <c r="B21" s="17">
        <v>46026.2</v>
      </c>
      <c r="C21" s="17">
        <v>74356.89999999999</v>
      </c>
      <c r="D21" s="17">
        <v>101395.8</v>
      </c>
    </row>
    <row r="22" spans="1:6">
      <c r="A22" s="4" t="s">
        <v>81</v>
      </c>
    </row>
    <row r="24" spans="1:6">
      <c r="A24" t="s">
        <v>82</v>
      </c>
      <c r="B24" s="17">
        <v>149578.2</v>
      </c>
      <c r="C24" s="17">
        <v>211236.7</v>
      </c>
      <c r="D24" s="17">
        <v>269707.8</v>
      </c>
    </row>
    <row r="25" spans="1:6">
      <c r="A25" t="s">
        <v>83</v>
      </c>
      <c r="B25" s="17">
        <v>555022.1</v>
      </c>
      <c r="C25" s="17">
        <v>1094108.6</v>
      </c>
      <c r="D25" s="17">
        <v>1908085.5</v>
      </c>
    </row>
    <row r="26" spans="1:6">
      <c r="A26" t="s">
        <v>84</v>
      </c>
      <c r="B26" s="17">
        <v>329379</v>
      </c>
      <c r="C26" s="17">
        <v>679356</v>
      </c>
      <c r="D26" s="17">
        <v>1240124</v>
      </c>
    </row>
    <row r="27" spans="1:6">
      <c r="A27" t="s">
        <v>85</v>
      </c>
      <c r="B27" s="17">
        <v>478957.2</v>
      </c>
      <c r="C27" s="17">
        <v>890592.7</v>
      </c>
      <c r="D27" s="17">
        <v>1509831.8</v>
      </c>
    </row>
    <row r="28" spans="1:6">
      <c r="A28" t="s">
        <v>32</v>
      </c>
      <c r="B28" s="17">
        <v>48958</v>
      </c>
      <c r="C28" s="17">
        <v>48958</v>
      </c>
      <c r="D28" s="17">
        <v>48958</v>
      </c>
    </row>
    <row r="29" spans="1:6">
      <c r="A29" t="s">
        <v>33</v>
      </c>
      <c r="B29" s="17">
        <v>429999.2</v>
      </c>
      <c r="C29" s="17">
        <v>841634.7</v>
      </c>
      <c r="D29" s="17">
        <v>1460873.8</v>
      </c>
    </row>
    <row r="30" spans="1:6">
      <c r="A30" s="6" t="s">
        <v>86</v>
      </c>
      <c r="B30" s="18">
        <v>88.11</v>
      </c>
      <c r="C30" s="19">
        <v>172.47</v>
      </c>
      <c r="D30" s="11">
        <v>299.36</v>
      </c>
      <c r="E30" s="9"/>
      <c r="F30" s="19">
        <v>183.1</v>
      </c>
    </row>
    <row r="31" spans="1:6">
      <c r="A31" t="s">
        <v>87</v>
      </c>
      <c r="B31" s="12">
        <v>-0.768</v>
      </c>
      <c r="C31" s="12">
        <v>-0.546</v>
      </c>
      <c r="D31" s="12">
        <v>-0.213</v>
      </c>
      <c r="E31" s="9"/>
      <c r="F31" s="12">
        <v>-0.518</v>
      </c>
    </row>
    <row r="33" spans="1:4">
      <c r="A33" s="4" t="s">
        <v>88</v>
      </c>
    </row>
    <row r="34" spans="1:4">
      <c r="A34" t="s">
        <v>89</v>
      </c>
      <c r="B34" s="13">
        <v>113.73</v>
      </c>
      <c r="C34" s="13">
        <v>224.2</v>
      </c>
      <c r="D34" s="13">
        <v>391</v>
      </c>
    </row>
    <row r="35" spans="1:4">
      <c r="A35" t="s">
        <v>90</v>
      </c>
      <c r="B35" s="18">
        <v>56.55</v>
      </c>
      <c r="C35" s="19">
        <v>111.47</v>
      </c>
      <c r="D35" s="11">
        <v>194.4</v>
      </c>
    </row>
    <row r="36" spans="1:4">
      <c r="A36" t="s">
        <v>91</v>
      </c>
      <c r="B36" s="12">
        <v>-0.851</v>
      </c>
      <c r="C36" s="12">
        <v>-0.7070000000000001</v>
      </c>
      <c r="D36" s="12">
        <v>-0.489</v>
      </c>
    </row>
    <row r="38" spans="1:4">
      <c r="A38" s="4" t="s">
        <v>92</v>
      </c>
    </row>
    <row r="39" spans="1:4">
      <c r="A39" s="3" t="s">
        <v>93</v>
      </c>
      <c r="B39" s="3"/>
      <c r="C39" s="3" t="s">
        <v>94</v>
      </c>
      <c r="D39" s="3" t="s">
        <v>95</v>
      </c>
    </row>
    <row r="40" spans="1:4">
      <c r="A40" s="3"/>
      <c r="B40" s="3"/>
      <c r="C40" s="3"/>
      <c r="D40" s="3"/>
    </row>
  </sheetData>
  <mergeCells count="5">
    <mergeCell ref="A1:G1"/>
    <mergeCell ref="A2:G2"/>
    <mergeCell ref="A39:B40"/>
    <mergeCell ref="C39:C40"/>
    <mergeCell ref="D39:D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18.7109375" customWidth="1"/>
    <col min="2" max="6" width="13.7109375" customWidth="1"/>
  </cols>
  <sheetData>
    <row r="1" spans="1:6">
      <c r="A1" s="1" t="s">
        <v>96</v>
      </c>
      <c r="B1" s="1"/>
      <c r="C1" s="1"/>
      <c r="D1" s="1"/>
      <c r="E1" s="1"/>
      <c r="F1" s="1"/>
    </row>
    <row r="2" spans="1:6">
      <c r="A2" s="2" t="s">
        <v>97</v>
      </c>
      <c r="B2" s="2"/>
      <c r="C2" s="2"/>
      <c r="D2" s="2"/>
      <c r="E2" s="2"/>
      <c r="F2" s="2"/>
    </row>
    <row r="3" spans="1:6">
      <c r="A3" s="3" t="s">
        <v>98</v>
      </c>
    </row>
    <row r="5" spans="1:6">
      <c r="A5" s="9" t="s">
        <v>99</v>
      </c>
      <c r="B5" s="20">
        <v>0.02</v>
      </c>
      <c r="C5" s="20">
        <v>0.025</v>
      </c>
      <c r="D5" s="20">
        <v>0.03</v>
      </c>
      <c r="E5" s="20">
        <v>0.035</v>
      </c>
      <c r="F5" s="20">
        <v>0.04</v>
      </c>
    </row>
    <row r="6" spans="1:6">
      <c r="A6" s="20">
        <v>0.08</v>
      </c>
      <c r="B6" s="21">
        <v>212.13</v>
      </c>
      <c r="C6" s="21">
        <v>229.1</v>
      </c>
      <c r="D6" s="21">
        <v>249.46</v>
      </c>
      <c r="E6" s="21">
        <v>274.35</v>
      </c>
      <c r="F6" s="21">
        <v>305.46</v>
      </c>
    </row>
    <row r="7" spans="1:6">
      <c r="A7" s="20">
        <v>0.09</v>
      </c>
      <c r="B7" s="22">
        <v>178.82</v>
      </c>
      <c r="C7" s="21">
        <v>190.68</v>
      </c>
      <c r="D7" s="21">
        <v>204.52</v>
      </c>
      <c r="E7" s="21">
        <v>220.87</v>
      </c>
      <c r="F7" s="21">
        <v>240.5</v>
      </c>
    </row>
    <row r="8" spans="1:6">
      <c r="A8" s="20">
        <v>0.1</v>
      </c>
      <c r="B8" s="22">
        <v>153.88</v>
      </c>
      <c r="C8" s="22">
        <v>162.55</v>
      </c>
      <c r="D8" s="22">
        <v>172.47</v>
      </c>
      <c r="E8" s="22">
        <v>183.9</v>
      </c>
      <c r="F8" s="21">
        <v>197.25</v>
      </c>
    </row>
    <row r="9" spans="1:6">
      <c r="A9" s="20">
        <v>0.11</v>
      </c>
      <c r="B9" s="22">
        <v>134.53</v>
      </c>
      <c r="C9" s="22">
        <v>141.09</v>
      </c>
      <c r="D9" s="22">
        <v>148.47</v>
      </c>
      <c r="E9" s="22">
        <v>156.83</v>
      </c>
      <c r="F9" s="22">
        <v>166.39</v>
      </c>
    </row>
    <row r="10" spans="1:6">
      <c r="A10" s="20">
        <v>0.12</v>
      </c>
      <c r="B10" s="22">
        <v>119.07</v>
      </c>
      <c r="C10" s="22">
        <v>124.17</v>
      </c>
      <c r="D10" s="22">
        <v>129.83</v>
      </c>
      <c r="E10" s="22">
        <v>136.16</v>
      </c>
      <c r="F10" s="22">
        <v>143.28</v>
      </c>
    </row>
    <row r="12" spans="1:6">
      <c r="A12" s="6" t="s">
        <v>100</v>
      </c>
      <c r="B12" s="23" t="s">
        <v>101</v>
      </c>
      <c r="C12" s="24" t="s">
        <v>102</v>
      </c>
      <c r="D12" s="24"/>
      <c r="E12" s="25" t="s">
        <v>103</v>
      </c>
    </row>
    <row r="14" spans="1:6">
      <c r="A14" s="6" t="s">
        <v>104</v>
      </c>
    </row>
    <row r="15" spans="1:6">
      <c r="A15" s="3" t="s">
        <v>105</v>
      </c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</sheetData>
  <mergeCells count="4">
    <mergeCell ref="A1:F1"/>
    <mergeCell ref="A2:F2"/>
    <mergeCell ref="C12:D12"/>
    <mergeCell ref="A15:F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cols>
    <col min="1" max="1" width="20.7109375" customWidth="1"/>
    <col min="2" max="9" width="14.7109375" customWidth="1"/>
  </cols>
  <sheetData>
    <row r="1" spans="1:9">
      <c r="A1" s="1" t="s">
        <v>106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107</v>
      </c>
    </row>
    <row r="4" spans="1:9">
      <c r="A4" s="9" t="s">
        <v>108</v>
      </c>
      <c r="B4" s="9" t="s">
        <v>109</v>
      </c>
      <c r="C4" s="9" t="s">
        <v>110</v>
      </c>
      <c r="D4" s="9" t="s">
        <v>111</v>
      </c>
      <c r="E4" s="9" t="s">
        <v>112</v>
      </c>
      <c r="F4" s="9" t="s">
        <v>113</v>
      </c>
      <c r="G4" s="9" t="s">
        <v>114</v>
      </c>
      <c r="H4" s="9" t="s">
        <v>115</v>
      </c>
      <c r="I4" s="9" t="s">
        <v>116</v>
      </c>
    </row>
    <row r="5" spans="1:9">
      <c r="A5" s="26" t="s">
        <v>117</v>
      </c>
      <c r="B5" s="27">
        <v>23888</v>
      </c>
      <c r="C5" s="27">
        <v>11598</v>
      </c>
      <c r="D5" s="28">
        <v>0.4855157401205626</v>
      </c>
      <c r="E5" s="29">
        <v>0.63</v>
      </c>
      <c r="F5" s="27">
        <v>2960</v>
      </c>
      <c r="G5" s="27">
        <v>23874</v>
      </c>
      <c r="H5" s="27">
        <v>41062</v>
      </c>
      <c r="I5" s="27">
        <v>7618</v>
      </c>
    </row>
    <row r="6" spans="1:9">
      <c r="A6" s="26" t="s">
        <v>118</v>
      </c>
      <c r="B6" s="27">
        <v>27450</v>
      </c>
      <c r="C6" s="27">
        <v>13321</v>
      </c>
      <c r="D6" s="28">
        <v>0.4852823315118397</v>
      </c>
      <c r="E6" s="29">
        <v>1.5</v>
      </c>
      <c r="F6" s="27">
        <v>6736</v>
      </c>
      <c r="G6" s="27">
        <v>24962</v>
      </c>
      <c r="H6" s="27">
        <v>39730</v>
      </c>
      <c r="I6" s="27">
        <v>12163</v>
      </c>
    </row>
    <row r="7" spans="1:9">
      <c r="A7" s="26" t="s">
        <v>119</v>
      </c>
      <c r="B7" s="27">
        <v>33203</v>
      </c>
      <c r="C7" s="27">
        <v>16312</v>
      </c>
      <c r="D7" s="28">
        <v>0.4912809083516549</v>
      </c>
      <c r="E7" s="29">
        <v>2.65</v>
      </c>
      <c r="F7" s="27">
        <v>11495</v>
      </c>
      <c r="G7" s="27">
        <v>22709</v>
      </c>
      <c r="H7" s="27">
        <v>39515</v>
      </c>
      <c r="I7" s="27">
        <v>12416</v>
      </c>
    </row>
    <row r="8" spans="1:9">
      <c r="A8" s="26" t="s">
        <v>120</v>
      </c>
      <c r="B8" s="27">
        <v>35819</v>
      </c>
      <c r="C8" s="27">
        <v>17633</v>
      </c>
      <c r="D8" s="28">
        <v>0.492280633183506</v>
      </c>
      <c r="E8" s="29">
        <v>3.3</v>
      </c>
      <c r="F8" s="27">
        <v>14082</v>
      </c>
      <c r="G8" s="27">
        <v>23988</v>
      </c>
      <c r="H8" s="27">
        <v>39229</v>
      </c>
      <c r="I8" s="27">
        <v>14189</v>
      </c>
    </row>
    <row r="9" spans="1:9">
      <c r="A9" s="26" t="s">
        <v>121</v>
      </c>
      <c r="B9" s="27">
        <v>51574</v>
      </c>
      <c r="C9" s="27">
        <v>19414</v>
      </c>
      <c r="D9" s="28">
        <v>0.3764299841005158</v>
      </c>
      <c r="E9" s="29">
        <v>1.23</v>
      </c>
      <c r="F9" s="27">
        <v>5895</v>
      </c>
      <c r="G9" s="27">
        <v>67678</v>
      </c>
      <c r="H9" s="27">
        <v>67566</v>
      </c>
      <c r="I9" s="27">
        <v>9348</v>
      </c>
    </row>
    <row r="10" spans="1:9">
      <c r="A10" s="30" t="s">
        <v>122</v>
      </c>
      <c r="B10" s="31">
        <v>63887</v>
      </c>
      <c r="C10" s="31">
        <v>26914</v>
      </c>
      <c r="D10" s="32">
        <v>0.4212750637844945</v>
      </c>
      <c r="E10" s="33">
        <v>4.77</v>
      </c>
      <c r="F10" s="31">
        <v>23126</v>
      </c>
      <c r="G10" s="31">
        <v>81292</v>
      </c>
      <c r="H10" s="31">
        <v>65136</v>
      </c>
      <c r="I10" s="31">
        <v>16178</v>
      </c>
    </row>
    <row r="11" spans="1:9">
      <c r="A11" s="26" t="s">
        <v>123</v>
      </c>
      <c r="B11" s="27">
        <v>19311</v>
      </c>
      <c r="C11" s="27">
        <v>8010</v>
      </c>
      <c r="D11" s="28">
        <v>0.4147894982134535</v>
      </c>
      <c r="E11" s="29">
        <v>1.5</v>
      </c>
      <c r="F11" s="27">
        <v>7349</v>
      </c>
      <c r="G11" s="27">
        <v>79872</v>
      </c>
      <c r="H11" s="27">
        <v>66057</v>
      </c>
      <c r="I11" s="27">
        <v>14174</v>
      </c>
    </row>
    <row r="12" spans="1:9">
      <c r="A12" s="26" t="s">
        <v>124</v>
      </c>
      <c r="B12" s="27">
        <v>22187</v>
      </c>
      <c r="C12" s="27">
        <v>10262</v>
      </c>
      <c r="D12" s="28">
        <v>0.4625230991120927</v>
      </c>
      <c r="E12" s="29">
        <v>1.91</v>
      </c>
      <c r="F12" s="27">
        <v>9310</v>
      </c>
      <c r="G12" s="27">
        <v>87691</v>
      </c>
      <c r="H12" s="27">
        <v>64907</v>
      </c>
      <c r="I12" s="27">
        <v>19628</v>
      </c>
    </row>
    <row r="14" spans="1:9">
      <c r="A14" s="4" t="s">
        <v>125</v>
      </c>
    </row>
    <row r="15" spans="1:9">
      <c r="A15" s="9" t="s">
        <v>126</v>
      </c>
      <c r="B15" s="9" t="s">
        <v>127</v>
      </c>
      <c r="C15" s="9" t="s">
        <v>128</v>
      </c>
      <c r="D15" s="9" t="s">
        <v>129</v>
      </c>
    </row>
    <row r="17" spans="1:9">
      <c r="A17" t="s">
        <v>109</v>
      </c>
      <c r="B17" s="10">
        <v>0.244</v>
      </c>
      <c r="C17" s="10">
        <v>0.217</v>
      </c>
      <c r="D17" s="34" t="s">
        <v>130</v>
      </c>
    </row>
    <row r="18" spans="1:9">
      <c r="A18" t="s">
        <v>112</v>
      </c>
      <c r="B18" s="10">
        <v>0.216</v>
      </c>
      <c r="C18" s="10">
        <v>0.499</v>
      </c>
      <c r="D18" s="34" t="s">
        <v>131</v>
      </c>
    </row>
    <row r="19" spans="1:9">
      <c r="A19" t="s">
        <v>110</v>
      </c>
      <c r="B19" s="10">
        <v>0.182</v>
      </c>
      <c r="C19" s="10">
        <v>0.183</v>
      </c>
      <c r="D19" s="34" t="s">
        <v>132</v>
      </c>
    </row>
    <row r="20" spans="1:9">
      <c r="A20" t="s">
        <v>114</v>
      </c>
      <c r="B20" s="10">
        <v>0.53</v>
      </c>
      <c r="C20" s="10">
        <v>0.278</v>
      </c>
      <c r="D20" s="34" t="s">
        <v>133</v>
      </c>
    </row>
    <row r="21" spans="1:9">
      <c r="A21" s="6" t="s">
        <v>134</v>
      </c>
      <c r="B21" t="s">
        <v>135</v>
      </c>
    </row>
    <row r="22" spans="1:9">
      <c r="A22" t="s">
        <v>136</v>
      </c>
      <c r="B22" s="3" t="s">
        <v>137</v>
      </c>
      <c r="C22" s="3"/>
      <c r="D22" s="3"/>
      <c r="E22" s="3"/>
      <c r="F22" s="3"/>
      <c r="G22" s="3"/>
      <c r="H22" s="3"/>
      <c r="I22" s="3"/>
    </row>
    <row r="23" spans="1:9">
      <c r="B23" s="3"/>
      <c r="C23" s="3"/>
      <c r="D23" s="3"/>
      <c r="E23" s="3"/>
      <c r="F23" s="3"/>
      <c r="G23" s="3"/>
      <c r="H23" s="3"/>
      <c r="I23" s="3"/>
    </row>
  </sheetData>
  <mergeCells count="2">
    <mergeCell ref="A1:I1"/>
    <mergeCell ref="B22:I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cols>
    <col min="1" max="1" width="36.7109375" customWidth="1"/>
    <col min="2" max="4" width="18.7109375" customWidth="1"/>
  </cols>
  <sheetData>
    <row r="1" spans="1:4">
      <c r="A1" s="1" t="s">
        <v>138</v>
      </c>
      <c r="B1" s="1"/>
      <c r="C1" s="1"/>
      <c r="D1" s="1"/>
    </row>
    <row r="2" spans="1:4">
      <c r="A2" s="2" t="s">
        <v>139</v>
      </c>
    </row>
    <row r="4" spans="1:4">
      <c r="A4" s="9" t="s">
        <v>126</v>
      </c>
      <c r="B4" s="14" t="s">
        <v>140</v>
      </c>
      <c r="C4" s="15" t="s">
        <v>141</v>
      </c>
      <c r="D4" s="16" t="s">
        <v>142</v>
      </c>
    </row>
    <row r="6" spans="1:4">
      <c r="A6" t="s">
        <v>143</v>
      </c>
      <c r="B6" s="35">
        <v>18.47169811320755</v>
      </c>
      <c r="C6" s="35">
        <v>36.15723270440252</v>
      </c>
      <c r="D6" s="35">
        <v>62.75890985324948</v>
      </c>
    </row>
    <row r="7" spans="1:4">
      <c r="A7" t="s">
        <v>144</v>
      </c>
      <c r="B7" s="35">
        <v>15.93309222423146</v>
      </c>
      <c r="C7" s="35">
        <v>31.1880650994575</v>
      </c>
      <c r="D7" s="35">
        <v>54.13381555153707</v>
      </c>
    </row>
    <row r="8" spans="1:4">
      <c r="A8" t="s">
        <v>145</v>
      </c>
      <c r="B8" s="35">
        <v>11.18953836090085</v>
      </c>
      <c r="C8" s="35">
        <v>20.80630314923839</v>
      </c>
      <c r="D8" s="35">
        <v>35.27315204186525</v>
      </c>
    </row>
    <row r="9" spans="1:4">
      <c r="A9" t="s">
        <v>146</v>
      </c>
      <c r="B9" s="36">
        <v>429.9768</v>
      </c>
      <c r="C9" s="36">
        <v>841.6536</v>
      </c>
      <c r="D9" s="36">
        <v>1460.8768</v>
      </c>
    </row>
    <row r="10" spans="1:4">
      <c r="A10" s="4" t="s">
        <v>147</v>
      </c>
    </row>
    <row r="11" spans="1:4">
      <c r="A11" s="9" t="s">
        <v>126</v>
      </c>
      <c r="B11" s="9" t="s">
        <v>148</v>
      </c>
      <c r="C11" s="9" t="s">
        <v>149</v>
      </c>
      <c r="D11" s="9" t="s">
        <v>150</v>
      </c>
    </row>
    <row r="13" spans="1:4">
      <c r="A13" t="s">
        <v>151</v>
      </c>
      <c r="B13" t="s">
        <v>62</v>
      </c>
      <c r="C13" t="s">
        <v>152</v>
      </c>
      <c r="D13" t="s">
        <v>153</v>
      </c>
    </row>
    <row r="14" spans="1:4">
      <c r="A14" t="s">
        <v>154</v>
      </c>
      <c r="B14" t="s">
        <v>64</v>
      </c>
      <c r="C14" t="s">
        <v>155</v>
      </c>
      <c r="D14" t="s">
        <v>156</v>
      </c>
    </row>
    <row r="15" spans="1:4">
      <c r="A15" t="s">
        <v>157</v>
      </c>
      <c r="B15" t="s">
        <v>158</v>
      </c>
      <c r="C15" t="s">
        <v>159</v>
      </c>
      <c r="D15" t="s">
        <v>160</v>
      </c>
    </row>
    <row r="16" spans="1:4">
      <c r="A16" t="s">
        <v>161</v>
      </c>
      <c r="B16" t="s">
        <v>162</v>
      </c>
      <c r="C16" t="s">
        <v>163</v>
      </c>
      <c r="D16" t="s">
        <v>164</v>
      </c>
    </row>
    <row r="17" spans="1:4">
      <c r="A17" s="4" t="s">
        <v>165</v>
      </c>
    </row>
    <row r="18" spans="1:4">
      <c r="A18" s="3" t="s">
        <v>166</v>
      </c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</sheetData>
  <mergeCells count="2">
    <mergeCell ref="A1:D1"/>
    <mergeCell ref="A18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 (Base)</vt:lpstr>
      <vt:lpstr>Scenarios</vt:lpstr>
      <vt:lpstr>Sensitivity</vt:lpstr>
      <vt:lpstr>Historical Data</vt:lpstr>
      <vt:lpstr>Sanity 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2026-06-24T02:50:00Z</dcterms:created>
  <dcterms:modified xsi:type="dcterms:W3CDTF">2026-06-24T02:50:00Z</dcterms:modified>
</cp:coreProperties>
</file>