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 Comparison" sheetId="2" r:id="rId2"/>
    <sheet name="Sensitivity Analysis" sheetId="3" r:id="rId3"/>
    <sheet name="Historical Data" sheetId="4" r:id="rId4"/>
  </sheets>
  <calcPr calcId="124519" fullCalcOnLoad="1"/>
</workbook>
</file>

<file path=xl/sharedStrings.xml><?xml version="1.0" encoding="utf-8"?>
<sst xmlns="http://schemas.openxmlformats.org/spreadsheetml/2006/main" count="254" uniqueCount="233">
  <si>
    <t>OCEANIA HEALTHCARE (OCA.NZ) - DCF VALUATION MODEL</t>
  </si>
  <si>
    <t>As at 2026-03-27 | NZD millions | Fiscal year ends 31 March | Base Case (Moderate Recovery)</t>
  </si>
  <si>
    <t>Gray/yellow highlighted cells are INPUTS - adjust values to see instant recalculation</t>
  </si>
  <si>
    <t>SECTION A: KEY INPUTS</t>
  </si>
  <si>
    <t>Input</t>
  </si>
  <si>
    <t>Value</t>
  </si>
  <si>
    <t>Notes</t>
  </si>
  <si>
    <t>Current Stock Price (NZD)</t>
  </si>
  <si>
    <t>Live price as at valuation date - update before use</t>
  </si>
  <si>
    <t>Shares Outstanding (millions)</t>
  </si>
  <si>
    <t>Diluted shares per FY25 annual report; no change expected</t>
  </si>
  <si>
    <t>Cash &amp; Equivalents (NZD $m)</t>
  </si>
  <si>
    <t>FY25 balance sheet cash balance</t>
  </si>
  <si>
    <t>Total Bank Debt (NZD $m)</t>
  </si>
  <si>
    <t>$627.7m: $393m variable bank + $225m retail bonds (2.7% blended)</t>
  </si>
  <si>
    <t>Net Debt (NZD $m)</t>
  </si>
  <si>
    <t>Formula: Total Debt - Cash (auto-calculated)</t>
  </si>
  <si>
    <t>FY2025 Underlying EBITDA (NZD $m)</t>
  </si>
  <si>
    <t>Base year EBITDA for projections; grows per Section B rates</t>
  </si>
  <si>
    <t>Normalised FCF FY2025 (reference, $m)</t>
  </si>
  <si>
    <t>EBITDA $86m minus maint capex $22m, interest $28m, tax $4m = $32m</t>
  </si>
  <si>
    <t>WACC (%)</t>
  </si>
  <si>
    <t>NZ risk-free 4.0% + equity risk premium 5.0% x beta 0.9; range 8-12% in sensitivity</t>
  </si>
  <si>
    <t>Terminal Growth Rate (%)</t>
  </si>
  <si>
    <t>NZ nominal GDP ~2.5% + aged care demographic volume ~0.5pp; range 2-4%</t>
  </si>
  <si>
    <t>SECTION B: PROJECTION ASSUMPTIONS  (yellow cells = editable inputs)</t>
  </si>
  <si>
    <t>Assumption</t>
  </si>
  <si>
    <t>Year 1 (FY26)</t>
  </si>
  <si>
    <t>Year 2 (FY27)</t>
  </si>
  <si>
    <t>Year 3 (FY28)</t>
  </si>
  <si>
    <t>Year 4 (FY29)</t>
  </si>
  <si>
    <t>Year 5 (FY30)</t>
  </si>
  <si>
    <t>Terminal yr</t>
  </si>
  <si>
    <t>Underlying EBITDA Growth Rate (%)</t>
  </si>
  <si>
    <t>n/a</t>
  </si>
  <si>
    <t>Maintenance Capex (NZD $m)</t>
  </si>
  <si>
    <t>Cash Interest Paid (NZD $m)</t>
  </si>
  <si>
    <t>Cash Tax Paid (NZD $m)</t>
  </si>
  <si>
    <t>SECTION C: PROJECTED FINANCIALS  (formula-driven from Sections A &amp; B)</t>
  </si>
  <si>
    <t>Metric</t>
  </si>
  <si>
    <t>Total / TV</t>
  </si>
  <si>
    <t>Underlying EBITDA (NZD $m)</t>
  </si>
  <si>
    <t>Normalised FCF from Operations (NZD $m)</t>
  </si>
  <si>
    <t>Discount Factor  [1 / (1 + WACC)^n]</t>
  </si>
  <si>
    <t>Present Value of FCF (NZD $m)</t>
  </si>
  <si>
    <t>SECTION D: VALUATION SUMMARY</t>
  </si>
  <si>
    <t>Sum of PV of FCFs  (Years 1-5)</t>
  </si>
  <si>
    <t>Sum of 5-year discounted normalised FCF</t>
  </si>
  <si>
    <t>Terminal FCF  [Y5 FCF x (1 + Terminal Growth)]</t>
  </si>
  <si>
    <t>Gordon Growth starting point - Year 5 FCF grown one period</t>
  </si>
  <si>
    <t>Terminal Value  [Terminal FCF / (WACC - TG)]</t>
  </si>
  <si>
    <t>Gordon Growth Model perpetuity value at Year 5</t>
  </si>
  <si>
    <t>PV of Terminal Value  [TV x Y5 Discount Factor]</t>
  </si>
  <si>
    <t>Terminal value discounted back to present day</t>
  </si>
  <si>
    <t>Enterprise Value  [Sum PV FCF + PV Terminal Value]</t>
  </si>
  <si>
    <t>Total intrinsic value of the business (debt + equity)</t>
  </si>
  <si>
    <t>Less: Net Debt</t>
  </si>
  <si>
    <t>From Section A cell B11 - deducted to get equity value</t>
  </si>
  <si>
    <t>Equity Value  [EV - Net Debt]</t>
  </si>
  <si>
    <t>Value attributable to shareholders after debt</t>
  </si>
  <si>
    <t>INTRINSIC VALUE PER SHARE (NZD)</t>
  </si>
  <si>
    <t>Equity Value divided by 724.2m shares outstanding</t>
  </si>
  <si>
    <t>SECTION E: UPSIDE / DOWNSIDE &amp; ENTRY PRICE TARGET</t>
  </si>
  <si>
    <t>From Section A - update cell B7 with latest price</t>
  </si>
  <si>
    <t>Intrinsic Value per Share (NZD)</t>
  </si>
  <si>
    <t>Calculated in Section D above - updates automatically with inputs</t>
  </si>
  <si>
    <t>Upside / (Downside) to IV</t>
  </si>
  <si>
    <t>Positive = stock undervalued vs DCF; negative = overvalued</t>
  </si>
  <si>
    <t>Terminal Value per Share (NZD)</t>
  </si>
  <si>
    <t>Terminal value of entire business divided by shares</t>
  </si>
  <si>
    <t>Entry Price for 15% CAGR (NZD)</t>
  </si>
  <si>
    <t>Price to pay today to achieve 15% per annum CAGR compounding to terminal value</t>
  </si>
  <si>
    <t>Discount Required from Current</t>
  </si>
  <si>
    <t>Negative = current price above 15% CAGR entry point; would need to fall to achieve 15% returns</t>
  </si>
  <si>
    <t>NTA per Share 1HY26 (NZD)</t>
  </si>
  <si>
    <t>Book NTA $1.57/share at 30 Sep 2025 - stock trades at deep discount to stated net assets</t>
  </si>
  <si>
    <t>Premium / (Discount) to NTA</t>
  </si>
  <si>
    <t>Large discount reflects investor scepticism about NTA realisation and high leverage</t>
  </si>
  <si>
    <t>OCEANIA HEALTHCARE - SCENARIO COMPARISON (BASE / BULL / BEAR)</t>
  </si>
  <si>
    <t>NZD millions | All values at valuation date 2026-03-27</t>
  </si>
  <si>
    <t>BASE CASE</t>
  </si>
  <si>
    <t>BULL CASE</t>
  </si>
  <si>
    <t>BEAR CASE</t>
  </si>
  <si>
    <t>SCENARIO ASSUMPTIONS</t>
  </si>
  <si>
    <t>Description</t>
  </si>
  <si>
    <t>Moderate recovery: cost saves flow, The Helier sold, dev restarts at 100 units/yr</t>
  </si>
  <si>
    <t>Strong execution: all saves, property recovery, care suites $15k+/bed, 150 units/yr</t>
  </si>
  <si>
    <t>Weak execution: property stalls, The Helier slow, debt reduction delayed</t>
  </si>
  <si>
    <t>WACC</t>
  </si>
  <si>
    <t>9.0%</t>
  </si>
  <si>
    <t>8.5%</t>
  </si>
  <si>
    <t>11.0%</t>
  </si>
  <si>
    <t>Bear uses higher rate to reflect elevated covenant risk</t>
  </si>
  <si>
    <t>Terminal Growth Rate</t>
  </si>
  <si>
    <t>3.0%</t>
  </si>
  <si>
    <t>3.5%</t>
  </si>
  <si>
    <t>2.5%</t>
  </si>
  <si>
    <t>NZ nominal GDP growth + demographic volume</t>
  </si>
  <si>
    <t>EBITDA Growth Y1 (FY26)</t>
  </si>
  <si>
    <t>10.5%</t>
  </si>
  <si>
    <t>14.0%</t>
  </si>
  <si>
    <t>4.7%</t>
  </si>
  <si>
    <t>Partial cost saves in FY26</t>
  </si>
  <si>
    <t>EBITDA Growth Y2 (FY27)</t>
  </si>
  <si>
    <t>15.1%</t>
  </si>
  <si>
    <t>20.9%</t>
  </si>
  <si>
    <t>5.8%</t>
  </si>
  <si>
    <t>Full $20.4m saves + development restart</t>
  </si>
  <si>
    <t>EBITDA Growth Y5 (FY30)</t>
  </si>
  <si>
    <t>7.7%</t>
  </si>
  <si>
    <t>5.0%</t>
  </si>
  <si>
    <t>Steady-state growth phase</t>
  </si>
  <si>
    <t>FY2026 EBITDA ($m)</t>
  </si>
  <si>
    <t>$95m</t>
  </si>
  <si>
    <t>$98m</t>
  </si>
  <si>
    <t>$90m</t>
  </si>
  <si>
    <t>Year 1 EBITDA</t>
  </si>
  <si>
    <t>FY2030 EBITDA ($m)</t>
  </si>
  <si>
    <t>$139m</t>
  </si>
  <si>
    <t>$160m</t>
  </si>
  <si>
    <t>$111m</t>
  </si>
  <si>
    <t>Year 5 EBITDA</t>
  </si>
  <si>
    <t>FY2026 FCF ($m)</t>
  </si>
  <si>
    <t>$40m</t>
  </si>
  <si>
    <t>$43m</t>
  </si>
  <si>
    <t>$36m</t>
  </si>
  <si>
    <t>Year 1 normalised FCF from operations</t>
  </si>
  <si>
    <t>FY2030 FCF ($m)</t>
  </si>
  <si>
    <t>$85m</t>
  </si>
  <si>
    <t>$102m</t>
  </si>
  <si>
    <t>$56m</t>
  </si>
  <si>
    <t>Year 5 normalised FCF from operations</t>
  </si>
  <si>
    <t>VALUATION OUTPUTS</t>
  </si>
  <si>
    <t>Sum PV of FCFs (NZD $m)</t>
  </si>
  <si>
    <t>5-year FCF discounted to present value</t>
  </si>
  <si>
    <t>Terminal Value (NZD $m)</t>
  </si>
  <si>
    <t>Gordon Growth perpetuity from Y5 FCF</t>
  </si>
  <si>
    <t>PV of Terminal Value (NZD $m)</t>
  </si>
  <si>
    <t>TV discounted to present day</t>
  </si>
  <si>
    <t>Enterprise Value (NZD $m)</t>
  </si>
  <si>
    <t>Sum PV FCF + PV Terminal Value</t>
  </si>
  <si>
    <t>Less: Net Debt (NZD $m)</t>
  </si>
  <si>
    <t>$627.7m debt minus $7.6m cash</t>
  </si>
  <si>
    <t>Equity Value (NZD $m)</t>
  </si>
  <si>
    <t>Enterprise Value minus Net Debt; bear case is negative</t>
  </si>
  <si>
    <t>Equity Value / 724.2m shares; bear case negative (equity value &lt; 0)</t>
  </si>
  <si>
    <t>Current Share Price (NZD)</t>
  </si>
  <si>
    <t>As at 2026-03-27</t>
  </si>
  <si>
    <t>vs current share price</t>
  </si>
  <si>
    <t>TV / shares outstanding</t>
  </si>
  <si>
    <t>TV per share / (1.15)^5 - price to achieve 15% CAGR</t>
  </si>
  <si>
    <t>PROBABILITY-WEIGHTED SUMMARY</t>
  </si>
  <si>
    <t>Scenario Weights</t>
  </si>
  <si>
    <t>50% (Base)</t>
  </si>
  <si>
    <t>25% (Bull)</t>
  </si>
  <si>
    <t>25% (Bear)</t>
  </si>
  <si>
    <t>Conservative weighting given execution risk and leverage</t>
  </si>
  <si>
    <t>Probability-Weighted IV (NZD)</t>
  </si>
  <si>
    <t>Broadly in line with current price $0.72 - stock is fairly valued to slightly undervalued. Wide range ($-0.07 to $1.49) reflects genuine leverage risk.</t>
  </si>
  <si>
    <t>Book NTA $1.57 - stock at 54% discount to NTA, suggesting deep value IF debt is managed down and assets maintain carrying value</t>
  </si>
  <si>
    <t>YEAR-BY-YEAR FCF PROJECTIONS BY SCENARIO (NZD $m)</t>
  </si>
  <si>
    <t>Fiscal Year</t>
  </si>
  <si>
    <t>Base FCF ($m)</t>
  </si>
  <si>
    <t>Bull FCF ($m)</t>
  </si>
  <si>
    <t>Bear FCF ($m)</t>
  </si>
  <si>
    <t>Base EBITDA ($m)</t>
  </si>
  <si>
    <t>FY2026</t>
  </si>
  <si>
    <t>FY2027</t>
  </si>
  <si>
    <t>FY2028</t>
  </si>
  <si>
    <t>FY2029</t>
  </si>
  <si>
    <t>FY2030</t>
  </si>
  <si>
    <t>SENSITIVITY ANALYSIS - Intrinsic Value per Share (NZD)</t>
  </si>
  <si>
    <t>Base Case FCF projections | Varying WACC and Terminal Growth Rate</t>
  </si>
  <si>
    <t>Dark green = $1.00+  |  Light green = above current $0.72  |  Yellow = below current  |  Red = significant downside</t>
  </si>
  <si>
    <t>WACC \ Terminal Growth</t>
  </si>
  <si>
    <t>TG = 2.0%</t>
  </si>
  <si>
    <t>TG = 2.5%</t>
  </si>
  <si>
    <t>TG = 3.0%</t>
  </si>
  <si>
    <t>TG = 3.5%</t>
  </si>
  <si>
    <t>TG = 4.0%</t>
  </si>
  <si>
    <t>WACC = 8%</t>
  </si>
  <si>
    <t>WACC = 9%</t>
  </si>
  <si>
    <t>WACC = 10%</t>
  </si>
  <si>
    <t>WACC = 11%</t>
  </si>
  <si>
    <t>WACC = 12%</t>
  </si>
  <si>
    <t>KEY OBSERVATIONS:</t>
  </si>
  <si>
    <t>Base case (WACC 9%, TG 3.0%): intrinsic value $0.79 - 9.7% upside to current price of $0.72.</t>
  </si>
  <si>
    <t>At WACC 8%/TG 3.0%: IV $1.14 (+58%). Requires lower interest rate environment and maintained FCF trajectory.</t>
  </si>
  <si>
    <t>At WACC 10%/TG 3.0%: IV $0.54 (-25%). Reflects modest rate rise or slower debt reduction.</t>
  </si>
  <si>
    <t>At WACC 11%/TG 2.5% (bear): IV -$0.07 - net debt $620m exceeds enterprise value, negative equity. Covenant risk.</t>
  </si>
  <si>
    <t>High WACC sensitivity reflects $620m net debt - a 1pp WACC increase reduces IV by approx. $0.11-0.13/share.</t>
  </si>
  <si>
    <t>NTA per share is $1.57 (1HY26). Stock would need to reach ~$1.14+ IV (WACC 8%/TG 3%) to trade near NTA.</t>
  </si>
  <si>
    <t>Entry price for 15% CAGR (base): $1.00/share - requires 39% uplift from current $0.72.</t>
  </si>
  <si>
    <t>OCEANIA HEALTHCARE - HISTORICAL FINANCIALS</t>
  </si>
  <si>
    <t>NZD millions | Fiscal year ends 31 March | Source: OCA.NZ annual reports and analyst model</t>
  </si>
  <si>
    <t>FY2017</t>
  </si>
  <si>
    <t>FY2018</t>
  </si>
  <si>
    <t>FY2019</t>
  </si>
  <si>
    <t>FY2020</t>
  </si>
  <si>
    <t>FY2021*</t>
  </si>
  <si>
    <t>FY2022</t>
  </si>
  <si>
    <t>FY2023</t>
  </si>
  <si>
    <t>FY2024</t>
  </si>
  <si>
    <t>FY2025</t>
  </si>
  <si>
    <t>Revenue ($m)</t>
  </si>
  <si>
    <t>Underlying EBITDA ($m)</t>
  </si>
  <si>
    <t>Reported Net Income ($m)</t>
  </si>
  <si>
    <t>EPS (NZD cents)</t>
  </si>
  <si>
    <t>Shareholders Equity ($m)</t>
  </si>
  <si>
    <t>Total Debt ($m)</t>
  </si>
  <si>
    <t>Cash ($m)</t>
  </si>
  <si>
    <t>Net Debt ($m)</t>
  </si>
  <si>
    <t>Reported Free Cash Flow ($m)</t>
  </si>
  <si>
    <t>Care Revenue ($m)</t>
  </si>
  <si>
    <t>Fair Value Gain/(Loss) ($m)</t>
  </si>
  <si>
    <t>Shares Outstanding (m)</t>
  </si>
  <si>
    <t>Dividend Per Share (cents)</t>
  </si>
  <si>
    <t>* FY2021 was a 10-month period (balance date change from May 31 to March 31) - EXCLUDED from all CAGR calculations to avoid distortion</t>
  </si>
  <si>
    <t>Reported FCF is negative due to development capex (building new retirement village units). Normalised FCF from operations turns positive from FY2025.</t>
  </si>
  <si>
    <t>HISTORICAL GROWTH RATES (CAGR)</t>
  </si>
  <si>
    <t>3-Year CAGR (FY22-FY25)</t>
  </si>
  <si>
    <t>5-Year CAGR (FY20-FY25)</t>
  </si>
  <si>
    <t>Revenue</t>
  </si>
  <si>
    <t>Steady organic growth; FY25 slightly below FY24 due to Wesley closure</t>
  </si>
  <si>
    <t>Underlying EBITDA</t>
  </si>
  <si>
    <t>KEY METRIC used in DCF; selected growth rate = 4.12% (3yr CAGR)</t>
  </si>
  <si>
    <t>Operating Cash Flow</t>
  </si>
  <si>
    <t>OCF inflated in FY25 by ORA receipts from development selldown</t>
  </si>
  <si>
    <t>Shareholders Equity</t>
  </si>
  <si>
    <t>5yr INFLATED by capital raises FY20-FY22 (equity nearly doubled); not pure earnings growth</t>
  </si>
  <si>
    <t>EPS</t>
  </si>
  <si>
    <t>NOT meaningful: volatile due to fair value movements on investment property</t>
  </si>
  <si>
    <t>SELECTED RATE (used in DCF base case):</t>
  </si>
</sst>
</file>

<file path=xl/styles.xml><?xml version="1.0" encoding="utf-8"?>
<styleSheet xmlns="http://schemas.openxmlformats.org/spreadsheetml/2006/main">
  <numFmts count="5">
    <numFmt numFmtId="164" formatCode="&quot;NZD $&quot;#,##0.00"/>
    <numFmt numFmtId="165" formatCode="#,##0.0"/>
    <numFmt numFmtId="166" formatCode="&quot;$&quot;#,##0.0&quot;m&quot;"/>
    <numFmt numFmtId="167" formatCode="0.0%"/>
    <numFmt numFmtId="168" formatCode="&quot;$&quot;0.00"/>
  </numFmts>
  <fonts count="10">
    <font>
      <sz val="11"/>
      <color theme="1"/>
      <name val="Calibri"/>
      <family val="2"/>
      <scheme val="minor"/>
    </font>
    <font>
      <b/>
      <sz val="16"/>
      <color rgb="FF2D3436"/>
      <name val="Calibri"/>
      <family val="2"/>
      <scheme val="minor"/>
    </font>
    <font>
      <i/>
      <sz val="10"/>
      <color rgb="FF636E72"/>
      <name val="Calibri"/>
      <family val="2"/>
      <scheme val="minor"/>
    </font>
    <font>
      <i/>
      <sz val="10"/>
      <color rgb="FFE17055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636E72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636E7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FDCB6E"/>
        <bgColor indexed="64"/>
      </patternFill>
    </fill>
    <fill>
      <patternFill patternType="solid">
        <fgColor rgb="FFB2BEC3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E1705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3" borderId="2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64" fontId="0" fillId="2" borderId="2" xfId="0" applyNumberFormat="1" applyFill="1" applyBorder="1" applyAlignment="1">
      <alignment horizontal="right"/>
    </xf>
    <xf numFmtId="0" fontId="7" fillId="0" borderId="0" xfId="0" applyFont="1" applyAlignment="1">
      <alignment wrapText="1"/>
    </xf>
    <xf numFmtId="165" fontId="0" fillId="2" borderId="2" xfId="0" applyNumberFormat="1" applyFill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167" fontId="6" fillId="4" borderId="2" xfId="0" applyNumberFormat="1" applyFont="1" applyFill="1" applyBorder="1" applyAlignment="1">
      <alignment horizontal="right"/>
    </xf>
    <xf numFmtId="0" fontId="0" fillId="0" borderId="2" xfId="0" applyBorder="1" applyAlignment="1">
      <alignment horizontal="center"/>
    </xf>
    <xf numFmtId="165" fontId="6" fillId="4" borderId="2" xfId="0" applyNumberFormat="1" applyFont="1" applyFill="1" applyBorder="1" applyAlignment="1">
      <alignment horizontal="right"/>
    </xf>
    <xf numFmtId="0" fontId="0" fillId="0" borderId="2" xfId="0" applyBorder="1"/>
    <xf numFmtId="165" fontId="0" fillId="0" borderId="2" xfId="0" applyNumberFormat="1" applyBorder="1" applyAlignment="1">
      <alignment horizontal="right"/>
    </xf>
    <xf numFmtId="166" fontId="6" fillId="5" borderId="2" xfId="0" applyNumberFormat="1" applyFont="1" applyFill="1" applyBorder="1" applyAlignment="1">
      <alignment horizontal="right"/>
    </xf>
    <xf numFmtId="164" fontId="5" fillId="6" borderId="2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left" indent="1"/>
    </xf>
    <xf numFmtId="164" fontId="5" fillId="7" borderId="2" xfId="0" applyNumberFormat="1" applyFont="1" applyFill="1" applyBorder="1" applyAlignment="1">
      <alignment horizontal="right"/>
    </xf>
    <xf numFmtId="168" fontId="0" fillId="8" borderId="2" xfId="0" applyNumberFormat="1" applyFill="1" applyBorder="1" applyAlignment="1">
      <alignment horizontal="center"/>
    </xf>
    <xf numFmtId="168" fontId="5" fillId="6" borderId="2" xfId="0" applyNumberFormat="1" applyFon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168" fontId="8" fillId="9" borderId="2" xfId="0" applyNumberFormat="1" applyFont="1" applyFill="1" applyBorder="1" applyAlignment="1">
      <alignment horizontal="center"/>
    </xf>
    <xf numFmtId="0" fontId="6" fillId="0" borderId="0" xfId="0" applyFont="1"/>
    <xf numFmtId="0" fontId="9" fillId="0" borderId="2" xfId="0" applyFont="1" applyBorder="1" applyAlignment="1">
      <alignment horizontal="center"/>
    </xf>
    <xf numFmtId="167" fontId="6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9"/>
  <sheetViews>
    <sheetView tabSelected="1" zoomScale="90" zoomScaleNormal="90" workbookViewId="0"/>
  </sheetViews>
  <sheetFormatPr defaultRowHeight="15"/>
  <cols>
    <col min="1" max="1" width="34.7109375" customWidth="1"/>
    <col min="2" max="2" width="16.7109375" customWidth="1"/>
    <col min="3" max="8" width="13.7109375" customWidth="1"/>
  </cols>
  <sheetData>
    <row r="1" spans="1:8">
      <c r="A1" s="1" t="s">
        <v>0</v>
      </c>
    </row>
    <row r="2" spans="1:8">
      <c r="A2" s="2" t="s">
        <v>1</v>
      </c>
    </row>
    <row r="3" spans="1:8">
      <c r="A3" s="3" t="s">
        <v>2</v>
      </c>
    </row>
    <row r="5" spans="1:8">
      <c r="A5" s="4" t="s">
        <v>3</v>
      </c>
      <c r="B5" s="4"/>
      <c r="C5" s="4"/>
      <c r="D5" s="4"/>
      <c r="E5" s="4"/>
      <c r="F5" s="4"/>
      <c r="G5" s="4"/>
      <c r="H5" s="4"/>
    </row>
    <row r="6" spans="1:8">
      <c r="A6" s="5" t="s">
        <v>4</v>
      </c>
      <c r="B6" s="5" t="s">
        <v>5</v>
      </c>
      <c r="C6" s="5" t="s">
        <v>6</v>
      </c>
      <c r="D6" s="5"/>
      <c r="E6" s="5"/>
      <c r="F6" s="5"/>
      <c r="G6" s="5"/>
      <c r="H6" s="5"/>
    </row>
    <row r="7" spans="1:8">
      <c r="A7" s="6" t="s">
        <v>7</v>
      </c>
      <c r="B7" s="7">
        <v>0.72</v>
      </c>
      <c r="C7" s="8" t="s">
        <v>8</v>
      </c>
      <c r="D7" s="8"/>
      <c r="E7" s="8"/>
      <c r="F7" s="8"/>
      <c r="G7" s="8"/>
      <c r="H7" s="8"/>
    </row>
    <row r="8" spans="1:8">
      <c r="A8" s="6" t="s">
        <v>9</v>
      </c>
      <c r="B8" s="9">
        <v>724.2</v>
      </c>
      <c r="C8" s="8" t="s">
        <v>10</v>
      </c>
      <c r="D8" s="8"/>
      <c r="E8" s="8"/>
      <c r="F8" s="8"/>
      <c r="G8" s="8"/>
      <c r="H8" s="8"/>
    </row>
    <row r="9" spans="1:8">
      <c r="A9" s="6" t="s">
        <v>11</v>
      </c>
      <c r="B9" s="9">
        <v>7.6</v>
      </c>
      <c r="C9" s="8" t="s">
        <v>12</v>
      </c>
      <c r="D9" s="8"/>
      <c r="E9" s="8"/>
      <c r="F9" s="8"/>
      <c r="G9" s="8"/>
      <c r="H9" s="8"/>
    </row>
    <row r="10" spans="1:8">
      <c r="A10" s="6" t="s">
        <v>13</v>
      </c>
      <c r="B10" s="9">
        <v>627.7</v>
      </c>
      <c r="C10" s="8" t="s">
        <v>14</v>
      </c>
      <c r="D10" s="8"/>
      <c r="E10" s="8"/>
      <c r="F10" s="8"/>
      <c r="G10" s="8"/>
      <c r="H10" s="8"/>
    </row>
    <row r="11" spans="1:8">
      <c r="A11" s="6" t="s">
        <v>15</v>
      </c>
      <c r="B11" s="10">
        <f>B10-B9</f>
        <v>0</v>
      </c>
      <c r="C11" s="8" t="s">
        <v>16</v>
      </c>
      <c r="D11" s="8"/>
      <c r="E11" s="8"/>
      <c r="F11" s="8"/>
      <c r="G11" s="8"/>
      <c r="H11" s="8"/>
    </row>
    <row r="12" spans="1:8">
      <c r="A12" s="6" t="s">
        <v>17</v>
      </c>
      <c r="B12" s="9">
        <v>86</v>
      </c>
      <c r="C12" s="8" t="s">
        <v>18</v>
      </c>
      <c r="D12" s="8"/>
      <c r="E12" s="8"/>
      <c r="F12" s="8"/>
      <c r="G12" s="8"/>
      <c r="H12" s="8"/>
    </row>
    <row r="13" spans="1:8">
      <c r="A13" s="6" t="s">
        <v>19</v>
      </c>
      <c r="B13" s="9">
        <v>32</v>
      </c>
      <c r="C13" s="8" t="s">
        <v>20</v>
      </c>
      <c r="D13" s="8"/>
      <c r="E13" s="8"/>
      <c r="F13" s="8"/>
      <c r="G13" s="8"/>
      <c r="H13" s="8"/>
    </row>
    <row r="14" spans="1:8">
      <c r="A14" s="6" t="s">
        <v>21</v>
      </c>
      <c r="B14" s="11">
        <v>0.09</v>
      </c>
      <c r="C14" s="8" t="s">
        <v>22</v>
      </c>
      <c r="D14" s="8"/>
      <c r="E14" s="8"/>
      <c r="F14" s="8"/>
      <c r="G14" s="8"/>
      <c r="H14" s="8"/>
    </row>
    <row r="15" spans="1:8">
      <c r="A15" s="6" t="s">
        <v>23</v>
      </c>
      <c r="B15" s="11">
        <v>0.03</v>
      </c>
      <c r="C15" s="8" t="s">
        <v>24</v>
      </c>
      <c r="D15" s="8"/>
      <c r="E15" s="8"/>
      <c r="F15" s="8"/>
      <c r="G15" s="8"/>
      <c r="H15" s="8"/>
    </row>
    <row r="17" spans="1:8">
      <c r="A17" s="4" t="s">
        <v>25</v>
      </c>
      <c r="B17" s="4"/>
      <c r="C17" s="4"/>
      <c r="D17" s="4"/>
      <c r="E17" s="4"/>
      <c r="F17" s="4"/>
      <c r="G17" s="4"/>
      <c r="H17" s="4"/>
    </row>
    <row r="18" spans="1:8">
      <c r="A18" s="5" t="s">
        <v>26</v>
      </c>
      <c r="B18" s="5" t="s">
        <v>27</v>
      </c>
      <c r="C18" s="5" t="s">
        <v>28</v>
      </c>
      <c r="D18" s="5" t="s">
        <v>29</v>
      </c>
      <c r="E18" s="5" t="s">
        <v>30</v>
      </c>
      <c r="F18" s="5" t="s">
        <v>31</v>
      </c>
      <c r="G18" s="5" t="s">
        <v>32</v>
      </c>
      <c r="H18" s="5" t="s">
        <v>6</v>
      </c>
    </row>
    <row r="19" spans="1:8">
      <c r="A19" s="6" t="s">
        <v>33</v>
      </c>
      <c r="B19" s="11">
        <v>0.105</v>
      </c>
      <c r="C19" s="11">
        <v>0.151</v>
      </c>
      <c r="D19" s="11">
        <v>0.091</v>
      </c>
      <c r="E19" s="11">
        <v>0.083</v>
      </c>
      <c r="F19" s="11">
        <v>0.077</v>
      </c>
      <c r="G19" s="12" t="s">
        <v>34</v>
      </c>
    </row>
    <row r="20" spans="1:8">
      <c r="A20" s="6" t="s">
        <v>35</v>
      </c>
      <c r="B20" s="13">
        <v>23</v>
      </c>
      <c r="C20" s="13">
        <v>24</v>
      </c>
      <c r="D20" s="13">
        <v>24</v>
      </c>
      <c r="E20" s="13">
        <v>25</v>
      </c>
      <c r="F20" s="13">
        <v>25</v>
      </c>
      <c r="G20" s="13">
        <v>25</v>
      </c>
    </row>
    <row r="21" spans="1:8">
      <c r="A21" s="6" t="s">
        <v>36</v>
      </c>
      <c r="B21" s="13">
        <v>27</v>
      </c>
      <c r="C21" s="13">
        <v>23</v>
      </c>
      <c r="D21" s="13">
        <v>20</v>
      </c>
      <c r="E21" s="13">
        <v>17</v>
      </c>
      <c r="F21" s="13">
        <v>15</v>
      </c>
      <c r="G21" s="13">
        <v>12</v>
      </c>
    </row>
    <row r="22" spans="1:8">
      <c r="A22" s="6" t="s">
        <v>37</v>
      </c>
      <c r="B22" s="13">
        <v>5</v>
      </c>
      <c r="C22" s="13">
        <v>8</v>
      </c>
      <c r="D22" s="13">
        <v>10</v>
      </c>
      <c r="E22" s="13">
        <v>12</v>
      </c>
      <c r="F22" s="13">
        <v>14</v>
      </c>
      <c r="G22" s="13">
        <v>18</v>
      </c>
    </row>
    <row r="24" spans="1:8">
      <c r="A24" s="4" t="s">
        <v>38</v>
      </c>
      <c r="B24" s="4"/>
      <c r="C24" s="4"/>
      <c r="D24" s="4"/>
      <c r="E24" s="4"/>
      <c r="F24" s="4"/>
      <c r="G24" s="4"/>
      <c r="H24" s="4"/>
    </row>
    <row r="25" spans="1:8">
      <c r="A25" s="5" t="s">
        <v>39</v>
      </c>
      <c r="B25" s="5" t="s">
        <v>27</v>
      </c>
      <c r="C25" s="5" t="s">
        <v>28</v>
      </c>
      <c r="D25" s="5" t="s">
        <v>29</v>
      </c>
      <c r="E25" s="5" t="s">
        <v>30</v>
      </c>
      <c r="F25" s="5" t="s">
        <v>31</v>
      </c>
      <c r="G25" s="5" t="s">
        <v>40</v>
      </c>
      <c r="H25" s="5" t="s">
        <v>6</v>
      </c>
    </row>
    <row r="26" spans="1:8">
      <c r="A26" s="6" t="s">
        <v>41</v>
      </c>
      <c r="B26" s="10">
        <f>$B$12*(1+B19)</f>
        <v>0</v>
      </c>
      <c r="C26" s="10">
        <f>B26*(1+C19)</f>
        <v>0</v>
      </c>
      <c r="D26" s="10">
        <f>C26*(1+D19)</f>
        <v>0</v>
      </c>
      <c r="E26" s="10">
        <f>D26*(1+E19)</f>
        <v>0</v>
      </c>
      <c r="F26" s="10">
        <f>E26*(1+F19)</f>
        <v>0</v>
      </c>
      <c r="G26" s="14"/>
    </row>
    <row r="27" spans="1:8">
      <c r="A27" s="6" t="s">
        <v>42</v>
      </c>
      <c r="B27" s="10">
        <f>B26-B20-B21-B22</f>
        <v>0</v>
      </c>
      <c r="C27" s="10">
        <f>C26-C20-C21-C22</f>
        <v>0</v>
      </c>
      <c r="D27" s="10">
        <f>D26-D20-D21-D22</f>
        <v>0</v>
      </c>
      <c r="E27" s="10">
        <f>E26-E20-E21-E22</f>
        <v>0</v>
      </c>
      <c r="F27" s="10">
        <f>F26-F20-F21-F22</f>
        <v>0</v>
      </c>
      <c r="G27" s="14"/>
    </row>
    <row r="28" spans="1:8">
      <c r="A28" s="6" t="s">
        <v>43</v>
      </c>
      <c r="B28" s="15">
        <f>1/(1+$B$14)^1</f>
        <v>0</v>
      </c>
      <c r="C28" s="15">
        <f>1/(1+$B$14)^2</f>
        <v>0</v>
      </c>
      <c r="D28" s="15">
        <f>1/(1+$B$14)^3</f>
        <v>0</v>
      </c>
      <c r="E28" s="15">
        <f>1/(1+$B$14)^4</f>
        <v>0</v>
      </c>
      <c r="F28" s="15">
        <f>1/(1+$B$14)^5</f>
        <v>0</v>
      </c>
      <c r="G28" s="14"/>
    </row>
    <row r="29" spans="1:8">
      <c r="A29" s="6" t="s">
        <v>44</v>
      </c>
      <c r="B29" s="10">
        <f>B27*B28</f>
        <v>0</v>
      </c>
      <c r="C29" s="10">
        <f>C27*C28</f>
        <v>0</v>
      </c>
      <c r="D29" s="10">
        <f>D27*D28</f>
        <v>0</v>
      </c>
      <c r="E29" s="10">
        <f>E27*E28</f>
        <v>0</v>
      </c>
      <c r="F29" s="10">
        <f>F27*F28</f>
        <v>0</v>
      </c>
      <c r="G29" s="16">
        <f>SUM(B29:F29)</f>
        <v>0</v>
      </c>
    </row>
    <row r="31" spans="1:8">
      <c r="A31" s="4" t="s">
        <v>45</v>
      </c>
      <c r="B31" s="4"/>
      <c r="C31" s="4"/>
      <c r="D31" s="4"/>
      <c r="E31" s="4"/>
      <c r="F31" s="4"/>
      <c r="G31" s="4"/>
      <c r="H31" s="4"/>
    </row>
    <row r="32" spans="1:8">
      <c r="A32" s="6" t="s">
        <v>46</v>
      </c>
      <c r="B32" s="10">
        <f>G29</f>
        <v>0</v>
      </c>
      <c r="C32" s="8" t="s">
        <v>47</v>
      </c>
      <c r="D32" s="8"/>
      <c r="E32" s="8"/>
      <c r="F32" s="8"/>
      <c r="G32" s="8"/>
      <c r="H32" s="8"/>
    </row>
    <row r="33" spans="1:8">
      <c r="A33" s="6" t="s">
        <v>48</v>
      </c>
      <c r="B33" s="10">
        <f>F27*(1+$B$15)</f>
        <v>0</v>
      </c>
      <c r="C33" s="8" t="s">
        <v>49</v>
      </c>
      <c r="D33" s="8"/>
      <c r="E33" s="8"/>
      <c r="F33" s="8"/>
      <c r="G33" s="8"/>
      <c r="H33" s="8"/>
    </row>
    <row r="34" spans="1:8">
      <c r="A34" s="6" t="s">
        <v>50</v>
      </c>
      <c r="B34" s="10">
        <f>B33/($B$14-$B$15)</f>
        <v>0</v>
      </c>
      <c r="C34" s="8" t="s">
        <v>51</v>
      </c>
      <c r="D34" s="8"/>
      <c r="E34" s="8"/>
      <c r="F34" s="8"/>
      <c r="G34" s="8"/>
      <c r="H34" s="8"/>
    </row>
    <row r="35" spans="1:8">
      <c r="A35" s="6" t="s">
        <v>52</v>
      </c>
      <c r="B35" s="10">
        <f>B34*F28</f>
        <v>0</v>
      </c>
      <c r="C35" s="8" t="s">
        <v>53</v>
      </c>
      <c r="D35" s="8"/>
      <c r="E35" s="8"/>
      <c r="F35" s="8"/>
      <c r="G35" s="8"/>
      <c r="H35" s="8"/>
    </row>
    <row r="36" spans="1:8">
      <c r="A36" s="6" t="s">
        <v>54</v>
      </c>
      <c r="B36" s="10">
        <f>B32+B35</f>
        <v>0</v>
      </c>
      <c r="C36" s="8" t="s">
        <v>55</v>
      </c>
      <c r="D36" s="8"/>
      <c r="E36" s="8"/>
      <c r="F36" s="8"/>
      <c r="G36" s="8"/>
      <c r="H36" s="8"/>
    </row>
    <row r="37" spans="1:8">
      <c r="A37" s="6" t="s">
        <v>56</v>
      </c>
      <c r="B37" s="10">
        <f>$B$11</f>
        <v>0</v>
      </c>
      <c r="C37" s="8" t="s">
        <v>57</v>
      </c>
      <c r="D37" s="8"/>
      <c r="E37" s="8"/>
      <c r="F37" s="8"/>
      <c r="G37" s="8"/>
      <c r="H37" s="8"/>
    </row>
    <row r="38" spans="1:8">
      <c r="A38" s="6" t="s">
        <v>58</v>
      </c>
      <c r="B38" s="10">
        <f>B36-B37</f>
        <v>0</v>
      </c>
      <c r="C38" s="8" t="s">
        <v>59</v>
      </c>
      <c r="D38" s="8"/>
      <c r="E38" s="8"/>
      <c r="F38" s="8"/>
      <c r="G38" s="8"/>
      <c r="H38" s="8"/>
    </row>
    <row r="39" spans="1:8">
      <c r="A39" s="6" t="s">
        <v>60</v>
      </c>
      <c r="B39" s="17">
        <f>B38/$B$8</f>
        <v>0</v>
      </c>
      <c r="C39" s="8" t="s">
        <v>61</v>
      </c>
      <c r="D39" s="8"/>
      <c r="E39" s="8"/>
      <c r="F39" s="8"/>
      <c r="G39" s="8"/>
      <c r="H39" s="8"/>
    </row>
    <row r="41" spans="1:8">
      <c r="A41" s="4" t="s">
        <v>62</v>
      </c>
      <c r="B41" s="4"/>
      <c r="C41" s="4"/>
      <c r="D41" s="4"/>
      <c r="E41" s="4"/>
      <c r="F41" s="4"/>
      <c r="G41" s="4"/>
      <c r="H41" s="4"/>
    </row>
    <row r="42" spans="1:8">
      <c r="A42" s="6" t="s">
        <v>7</v>
      </c>
      <c r="B42" s="18">
        <f>$B$7</f>
        <v>0</v>
      </c>
      <c r="C42" s="8" t="s">
        <v>63</v>
      </c>
      <c r="D42" s="8"/>
      <c r="E42" s="8"/>
      <c r="F42" s="8"/>
      <c r="G42" s="8"/>
      <c r="H42" s="8"/>
    </row>
    <row r="43" spans="1:8">
      <c r="A43" s="6" t="s">
        <v>64</v>
      </c>
      <c r="B43" s="17">
        <f>B39</f>
        <v>0</v>
      </c>
      <c r="C43" s="8" t="s">
        <v>65</v>
      </c>
      <c r="D43" s="8"/>
      <c r="E43" s="8"/>
      <c r="F43" s="8"/>
      <c r="G43" s="8"/>
      <c r="H43" s="8"/>
    </row>
    <row r="44" spans="1:8">
      <c r="A44" s="6" t="s">
        <v>66</v>
      </c>
      <c r="B44" s="19">
        <f>(B39-$B$7)/$B$7</f>
        <v>0</v>
      </c>
      <c r="C44" s="8" t="s">
        <v>67</v>
      </c>
      <c r="D44" s="8"/>
      <c r="E44" s="8"/>
      <c r="F44" s="8"/>
      <c r="G44" s="8"/>
      <c r="H44" s="8"/>
    </row>
    <row r="45" spans="1:8">
      <c r="A45" s="6" t="s">
        <v>68</v>
      </c>
      <c r="B45" s="18">
        <f>B34/$B$8</f>
        <v>0</v>
      </c>
      <c r="C45" s="8" t="s">
        <v>69</v>
      </c>
      <c r="D45" s="8"/>
      <c r="E45" s="8"/>
      <c r="F45" s="8"/>
      <c r="G45" s="8"/>
      <c r="H45" s="8"/>
    </row>
    <row r="46" spans="1:8">
      <c r="A46" s="6" t="s">
        <v>70</v>
      </c>
      <c r="B46" s="17">
        <f>B45/(1.15^5)</f>
        <v>0</v>
      </c>
      <c r="C46" s="8" t="s">
        <v>71</v>
      </c>
      <c r="D46" s="8"/>
      <c r="E46" s="8"/>
      <c r="F46" s="8"/>
      <c r="G46" s="8"/>
      <c r="H46" s="8"/>
    </row>
    <row r="47" spans="1:8">
      <c r="A47" s="6" t="s">
        <v>72</v>
      </c>
      <c r="B47" s="19">
        <f>(B46-$B$7)/$B$7</f>
        <v>0</v>
      </c>
      <c r="C47" s="8" t="s">
        <v>73</v>
      </c>
      <c r="D47" s="8"/>
      <c r="E47" s="8"/>
      <c r="F47" s="8"/>
      <c r="G47" s="8"/>
      <c r="H47" s="8"/>
    </row>
    <row r="48" spans="1:8">
      <c r="A48" s="6" t="s">
        <v>74</v>
      </c>
      <c r="B48" s="18">
        <v>1.57</v>
      </c>
      <c r="C48" s="8" t="s">
        <v>75</v>
      </c>
      <c r="D48" s="8"/>
      <c r="E48" s="8"/>
      <c r="F48" s="8"/>
      <c r="G48" s="8"/>
      <c r="H48" s="8"/>
    </row>
    <row r="49" spans="1:8">
      <c r="A49" s="6" t="s">
        <v>76</v>
      </c>
      <c r="B49" s="19">
        <f>($B$7-1.57)/1.57</f>
        <v>0</v>
      </c>
      <c r="C49" s="8" t="s">
        <v>77</v>
      </c>
      <c r="D49" s="8"/>
      <c r="E49" s="8"/>
      <c r="F49" s="8"/>
      <c r="G49" s="8"/>
      <c r="H49" s="8"/>
    </row>
  </sheetData>
  <mergeCells count="31">
    <mergeCell ref="A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A17:H17"/>
    <mergeCell ref="A24:H24"/>
    <mergeCell ref="A31:H31"/>
    <mergeCell ref="C32:H32"/>
    <mergeCell ref="C33:H33"/>
    <mergeCell ref="C34:H34"/>
    <mergeCell ref="C35:H35"/>
    <mergeCell ref="C36:H36"/>
    <mergeCell ref="C37:H37"/>
    <mergeCell ref="C38:H38"/>
    <mergeCell ref="C39:H39"/>
    <mergeCell ref="A41:H41"/>
    <mergeCell ref="C42:H42"/>
    <mergeCell ref="C43:H43"/>
    <mergeCell ref="C44:H44"/>
    <mergeCell ref="C45:H45"/>
    <mergeCell ref="C46:H46"/>
    <mergeCell ref="C47:H47"/>
    <mergeCell ref="C48:H48"/>
    <mergeCell ref="C49:H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"/>
  <sheetViews>
    <sheetView zoomScale="90" zoomScaleNormal="90" workbookViewId="0"/>
  </sheetViews>
  <sheetFormatPr defaultRowHeight="15"/>
  <cols>
    <col min="1" max="1" width="32.7109375" customWidth="1"/>
    <col min="2" max="4" width="18.7109375" customWidth="1"/>
    <col min="5" max="5" width="38.7109375" customWidth="1"/>
  </cols>
  <sheetData>
    <row r="1" spans="1:5">
      <c r="A1" s="1" t="s">
        <v>78</v>
      </c>
    </row>
    <row r="2" spans="1:5">
      <c r="A2" s="2" t="s">
        <v>79</v>
      </c>
    </row>
    <row r="4" spans="1:5">
      <c r="A4" s="5" t="s">
        <v>39</v>
      </c>
      <c r="B4" s="5" t="s">
        <v>80</v>
      </c>
      <c r="C4" s="20" t="s">
        <v>81</v>
      </c>
      <c r="D4" s="21" t="s">
        <v>82</v>
      </c>
      <c r="E4" s="5" t="s">
        <v>6</v>
      </c>
    </row>
    <row r="5" spans="1:5">
      <c r="A5" s="4" t="s">
        <v>83</v>
      </c>
      <c r="B5" s="4"/>
      <c r="C5" s="4"/>
      <c r="D5" s="4"/>
      <c r="E5" s="4"/>
    </row>
    <row r="6" spans="1:5">
      <c r="A6" s="22" t="s">
        <v>84</v>
      </c>
      <c r="B6" s="15" t="s">
        <v>85</v>
      </c>
      <c r="C6" s="15" t="s">
        <v>86</v>
      </c>
      <c r="D6" s="15" t="s">
        <v>87</v>
      </c>
      <c r="E6" s="8"/>
    </row>
    <row r="7" spans="1:5">
      <c r="A7" s="22" t="s">
        <v>88</v>
      </c>
      <c r="B7" s="15" t="s">
        <v>89</v>
      </c>
      <c r="C7" s="15" t="s">
        <v>90</v>
      </c>
      <c r="D7" s="15" t="s">
        <v>91</v>
      </c>
      <c r="E7" s="8" t="s">
        <v>92</v>
      </c>
    </row>
    <row r="8" spans="1:5">
      <c r="A8" s="22" t="s">
        <v>93</v>
      </c>
      <c r="B8" s="15" t="s">
        <v>94</v>
      </c>
      <c r="C8" s="15" t="s">
        <v>95</v>
      </c>
      <c r="D8" s="15" t="s">
        <v>96</v>
      </c>
      <c r="E8" s="8" t="s">
        <v>97</v>
      </c>
    </row>
    <row r="9" spans="1:5">
      <c r="A9" s="22" t="s">
        <v>98</v>
      </c>
      <c r="B9" s="15" t="s">
        <v>99</v>
      </c>
      <c r="C9" s="15" t="s">
        <v>100</v>
      </c>
      <c r="D9" s="15" t="s">
        <v>101</v>
      </c>
      <c r="E9" s="8" t="s">
        <v>102</v>
      </c>
    </row>
    <row r="10" spans="1:5">
      <c r="A10" s="22" t="s">
        <v>103</v>
      </c>
      <c r="B10" s="15" t="s">
        <v>104</v>
      </c>
      <c r="C10" s="15" t="s">
        <v>105</v>
      </c>
      <c r="D10" s="15" t="s">
        <v>106</v>
      </c>
      <c r="E10" s="8" t="s">
        <v>107</v>
      </c>
    </row>
    <row r="11" spans="1:5">
      <c r="A11" s="22" t="s">
        <v>108</v>
      </c>
      <c r="B11" s="15" t="s">
        <v>109</v>
      </c>
      <c r="C11" s="15" t="s">
        <v>89</v>
      </c>
      <c r="D11" s="15" t="s">
        <v>110</v>
      </c>
      <c r="E11" s="8" t="s">
        <v>111</v>
      </c>
    </row>
    <row r="12" spans="1:5">
      <c r="A12" s="22" t="s">
        <v>112</v>
      </c>
      <c r="B12" s="15" t="s">
        <v>113</v>
      </c>
      <c r="C12" s="15" t="s">
        <v>114</v>
      </c>
      <c r="D12" s="15" t="s">
        <v>115</v>
      </c>
      <c r="E12" s="8" t="s">
        <v>116</v>
      </c>
    </row>
    <row r="13" spans="1:5">
      <c r="A13" s="22" t="s">
        <v>117</v>
      </c>
      <c r="B13" s="15" t="s">
        <v>118</v>
      </c>
      <c r="C13" s="15" t="s">
        <v>119</v>
      </c>
      <c r="D13" s="15" t="s">
        <v>120</v>
      </c>
      <c r="E13" s="8" t="s">
        <v>121</v>
      </c>
    </row>
    <row r="14" spans="1:5">
      <c r="A14" s="22" t="s">
        <v>122</v>
      </c>
      <c r="B14" s="15" t="s">
        <v>123</v>
      </c>
      <c r="C14" s="15" t="s">
        <v>124</v>
      </c>
      <c r="D14" s="15" t="s">
        <v>125</v>
      </c>
      <c r="E14" s="8" t="s">
        <v>126</v>
      </c>
    </row>
    <row r="15" spans="1:5">
      <c r="A15" s="22" t="s">
        <v>127</v>
      </c>
      <c r="B15" s="15" t="s">
        <v>128</v>
      </c>
      <c r="C15" s="15" t="s">
        <v>129</v>
      </c>
      <c r="D15" s="15" t="s">
        <v>130</v>
      </c>
      <c r="E15" s="8" t="s">
        <v>131</v>
      </c>
    </row>
    <row r="17" spans="1:5">
      <c r="A17" s="4" t="s">
        <v>132</v>
      </c>
      <c r="B17" s="4"/>
      <c r="C17" s="4"/>
      <c r="D17" s="4"/>
      <c r="E17" s="4"/>
    </row>
    <row r="18" spans="1:5">
      <c r="A18" s="22" t="s">
        <v>133</v>
      </c>
      <c r="B18" s="10">
        <v>241.6</v>
      </c>
      <c r="C18" s="10">
        <v>288.1</v>
      </c>
      <c r="D18" s="10">
        <v>164.1</v>
      </c>
      <c r="E18" s="8" t="s">
        <v>134</v>
      </c>
    </row>
    <row r="19" spans="1:5">
      <c r="A19" s="22" t="s">
        <v>135</v>
      </c>
      <c r="B19" s="10">
        <v>1462.4</v>
      </c>
      <c r="C19" s="10">
        <v>2112.2</v>
      </c>
      <c r="D19" s="10">
        <v>683.1</v>
      </c>
      <c r="E19" s="8" t="s">
        <v>136</v>
      </c>
    </row>
    <row r="20" spans="1:5">
      <c r="A20" s="22" t="s">
        <v>137</v>
      </c>
      <c r="B20" s="10">
        <v>950.5</v>
      </c>
      <c r="C20" s="10">
        <v>1404.5</v>
      </c>
      <c r="D20" s="10">
        <v>405.4</v>
      </c>
      <c r="E20" s="8" t="s">
        <v>138</v>
      </c>
    </row>
    <row r="21" spans="1:5">
      <c r="A21" s="22" t="s">
        <v>139</v>
      </c>
      <c r="B21" s="10">
        <v>1192.1</v>
      </c>
      <c r="C21" s="10">
        <v>1692.6</v>
      </c>
      <c r="D21" s="10">
        <v>569.5</v>
      </c>
      <c r="E21" s="8" t="s">
        <v>140</v>
      </c>
    </row>
    <row r="22" spans="1:5">
      <c r="A22" s="22" t="s">
        <v>141</v>
      </c>
      <c r="B22" s="10">
        <v>620.1</v>
      </c>
      <c r="C22" s="10">
        <v>620.1</v>
      </c>
      <c r="D22" s="10">
        <v>620.1</v>
      </c>
      <c r="E22" s="8" t="s">
        <v>142</v>
      </c>
    </row>
    <row r="23" spans="1:5">
      <c r="A23" s="22" t="s">
        <v>143</v>
      </c>
      <c r="B23" s="10">
        <v>572</v>
      </c>
      <c r="C23" s="10">
        <v>1072.5</v>
      </c>
      <c r="D23" s="10">
        <v>-50.6</v>
      </c>
      <c r="E23" s="8" t="s">
        <v>144</v>
      </c>
    </row>
    <row r="24" spans="1:5">
      <c r="A24" s="22" t="s">
        <v>64</v>
      </c>
      <c r="B24" s="17">
        <v>0.79</v>
      </c>
      <c r="C24" s="17">
        <v>1.49</v>
      </c>
      <c r="D24" s="23">
        <v>-0.07000000000000001</v>
      </c>
      <c r="E24" s="8" t="s">
        <v>145</v>
      </c>
    </row>
    <row r="25" spans="1:5">
      <c r="A25" s="22" t="s">
        <v>146</v>
      </c>
      <c r="B25" s="18">
        <v>0.72</v>
      </c>
      <c r="C25" s="18">
        <v>0.72</v>
      </c>
      <c r="D25" s="18">
        <v>0.72</v>
      </c>
      <c r="E25" s="8" t="s">
        <v>147</v>
      </c>
    </row>
    <row r="26" spans="1:5">
      <c r="A26" s="22" t="s">
        <v>66</v>
      </c>
      <c r="B26" s="19">
        <v>0.09699999999999999</v>
      </c>
      <c r="C26" s="19">
        <v>1.065</v>
      </c>
      <c r="D26" s="19">
        <v>-1.1</v>
      </c>
      <c r="E26" s="8" t="s">
        <v>148</v>
      </c>
    </row>
    <row r="27" spans="1:5">
      <c r="A27" s="22" t="s">
        <v>68</v>
      </c>
      <c r="B27" s="18">
        <v>2.02</v>
      </c>
      <c r="C27" s="18">
        <v>2.92</v>
      </c>
      <c r="D27" s="18">
        <v>0.9399999999999999</v>
      </c>
      <c r="E27" s="8" t="s">
        <v>149</v>
      </c>
    </row>
    <row r="28" spans="1:5">
      <c r="A28" s="22" t="s">
        <v>70</v>
      </c>
      <c r="B28" s="17">
        <v>1</v>
      </c>
      <c r="C28" s="17">
        <v>1.45</v>
      </c>
      <c r="D28" s="17">
        <v>0.47</v>
      </c>
      <c r="E28" s="8" t="s">
        <v>150</v>
      </c>
    </row>
    <row r="30" spans="1:5">
      <c r="A30" s="4" t="s">
        <v>151</v>
      </c>
      <c r="B30" s="4"/>
      <c r="C30" s="4"/>
      <c r="D30" s="4"/>
      <c r="E30" s="4"/>
    </row>
    <row r="31" spans="1:5">
      <c r="A31" s="6" t="s">
        <v>152</v>
      </c>
      <c r="B31" s="15" t="s">
        <v>153</v>
      </c>
      <c r="C31" s="15" t="s">
        <v>154</v>
      </c>
      <c r="D31" s="15" t="s">
        <v>155</v>
      </c>
      <c r="E31" s="8" t="s">
        <v>156</v>
      </c>
    </row>
    <row r="32" spans="1:5">
      <c r="A32" s="6" t="s">
        <v>157</v>
      </c>
      <c r="B32" s="17">
        <v>0.75</v>
      </c>
      <c r="C32" s="8" t="s">
        <v>158</v>
      </c>
      <c r="D32" s="8"/>
      <c r="E32" s="8"/>
    </row>
    <row r="33" spans="1:5">
      <c r="A33" s="6" t="s">
        <v>74</v>
      </c>
      <c r="B33" s="18">
        <v>1.57</v>
      </c>
      <c r="C33" s="8" t="s">
        <v>159</v>
      </c>
      <c r="D33" s="8"/>
      <c r="E33" s="8"/>
    </row>
    <row r="35" spans="1:5">
      <c r="A35" s="4" t="s">
        <v>160</v>
      </c>
      <c r="B35" s="4"/>
      <c r="C35" s="4"/>
      <c r="D35" s="4"/>
      <c r="E35" s="4"/>
    </row>
    <row r="36" spans="1:5">
      <c r="A36" s="5" t="s">
        <v>161</v>
      </c>
      <c r="B36" s="5" t="s">
        <v>162</v>
      </c>
      <c r="C36" s="20" t="s">
        <v>163</v>
      </c>
      <c r="D36" s="21" t="s">
        <v>164</v>
      </c>
      <c r="E36" s="5" t="s">
        <v>165</v>
      </c>
    </row>
    <row r="37" spans="1:5">
      <c r="A37" s="6" t="s">
        <v>166</v>
      </c>
      <c r="B37" s="10">
        <v>40</v>
      </c>
      <c r="C37" s="10">
        <v>43</v>
      </c>
      <c r="D37" s="10">
        <v>36</v>
      </c>
      <c r="E37" s="10">
        <v>95</v>
      </c>
    </row>
    <row r="38" spans="1:5">
      <c r="A38" s="6" t="s">
        <v>167</v>
      </c>
      <c r="B38" s="10">
        <v>54.4</v>
      </c>
      <c r="C38" s="10">
        <v>63.5</v>
      </c>
      <c r="D38" s="10">
        <v>39.2</v>
      </c>
      <c r="E38" s="10">
        <v>109.4</v>
      </c>
    </row>
    <row r="39" spans="1:5">
      <c r="A39" s="6" t="s">
        <v>168</v>
      </c>
      <c r="B39" s="10">
        <v>65.3</v>
      </c>
      <c r="C39" s="10">
        <v>78.7</v>
      </c>
      <c r="D39" s="10">
        <v>45.7</v>
      </c>
      <c r="E39" s="10">
        <v>119.3</v>
      </c>
    </row>
    <row r="40" spans="1:5">
      <c r="A40" s="6" t="s">
        <v>169</v>
      </c>
      <c r="B40" s="10">
        <v>75.2</v>
      </c>
      <c r="C40" s="10">
        <v>90.09999999999999</v>
      </c>
      <c r="D40" s="10">
        <v>50.1</v>
      </c>
      <c r="E40" s="10">
        <v>129.2</v>
      </c>
    </row>
    <row r="41" spans="1:5">
      <c r="A41" s="6" t="s">
        <v>170</v>
      </c>
      <c r="B41" s="10">
        <v>85.2</v>
      </c>
      <c r="C41" s="10">
        <v>102.3</v>
      </c>
      <c r="D41" s="10">
        <v>56.4</v>
      </c>
      <c r="E41" s="10">
        <v>139.2</v>
      </c>
    </row>
  </sheetData>
  <mergeCells count="6">
    <mergeCell ref="A5:E5"/>
    <mergeCell ref="A17:E17"/>
    <mergeCell ref="A30:E30"/>
    <mergeCell ref="C32:E32"/>
    <mergeCell ref="C33:E33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9"/>
  <sheetViews>
    <sheetView zoomScale="90" zoomScaleNormal="90" workbookViewId="0"/>
  </sheetViews>
  <sheetFormatPr defaultRowHeight="15"/>
  <cols>
    <col min="1" max="1" width="16.7109375" customWidth="1"/>
    <col min="2" max="7" width="14.7109375" customWidth="1"/>
  </cols>
  <sheetData>
    <row r="1" spans="1:6">
      <c r="A1" s="1" t="s">
        <v>171</v>
      </c>
    </row>
    <row r="2" spans="1:6">
      <c r="A2" s="2" t="s">
        <v>172</v>
      </c>
    </row>
    <row r="3" spans="1:6">
      <c r="A3" s="2" t="s">
        <v>173</v>
      </c>
    </row>
    <row r="5" spans="1:6">
      <c r="A5" s="5" t="s">
        <v>174</v>
      </c>
      <c r="B5" s="5" t="s">
        <v>175</v>
      </c>
      <c r="C5" s="5" t="s">
        <v>176</v>
      </c>
      <c r="D5" s="5" t="s">
        <v>177</v>
      </c>
      <c r="E5" s="5" t="s">
        <v>178</v>
      </c>
      <c r="F5" s="5" t="s">
        <v>179</v>
      </c>
    </row>
    <row r="6" spans="1:6">
      <c r="A6" s="5" t="s">
        <v>180</v>
      </c>
      <c r="B6" s="24">
        <v>0.85</v>
      </c>
      <c r="C6" s="24">
        <v>0.98</v>
      </c>
      <c r="D6" s="25">
        <v>1.14</v>
      </c>
      <c r="E6" s="25">
        <v>1.33</v>
      </c>
      <c r="F6" s="25">
        <v>1.57</v>
      </c>
    </row>
    <row r="7" spans="1:6">
      <c r="A7" s="5" t="s">
        <v>181</v>
      </c>
      <c r="B7" s="26">
        <v>0.59</v>
      </c>
      <c r="C7" s="26">
        <v>0.68</v>
      </c>
      <c r="D7" s="24">
        <v>0.79</v>
      </c>
      <c r="E7" s="24">
        <v>0.92</v>
      </c>
      <c r="F7" s="25">
        <v>1.07</v>
      </c>
    </row>
    <row r="8" spans="1:6">
      <c r="A8" s="5" t="s">
        <v>182</v>
      </c>
      <c r="B8" s="27">
        <v>0.4</v>
      </c>
      <c r="C8" s="27">
        <v>0.47</v>
      </c>
      <c r="D8" s="26">
        <v>0.54</v>
      </c>
      <c r="E8" s="26">
        <v>0.63</v>
      </c>
      <c r="F8" s="24">
        <v>0.73</v>
      </c>
    </row>
    <row r="9" spans="1:6">
      <c r="A9" s="5" t="s">
        <v>183</v>
      </c>
      <c r="B9" s="27">
        <v>0.25</v>
      </c>
      <c r="C9" s="27">
        <v>0.3</v>
      </c>
      <c r="D9" s="27">
        <v>0.36</v>
      </c>
      <c r="E9" s="27">
        <v>0.42</v>
      </c>
      <c r="F9" s="26">
        <v>0.5</v>
      </c>
    </row>
    <row r="10" spans="1:6">
      <c r="A10" s="5" t="s">
        <v>184</v>
      </c>
      <c r="B10" s="27">
        <v>0.13</v>
      </c>
      <c r="C10" s="27">
        <v>0.17</v>
      </c>
      <c r="D10" s="27">
        <v>0.21</v>
      </c>
      <c r="E10" s="27">
        <v>0.26</v>
      </c>
      <c r="F10" s="27">
        <v>0.32</v>
      </c>
    </row>
    <row r="12" spans="1:6">
      <c r="A12" s="28" t="s">
        <v>185</v>
      </c>
    </row>
    <row r="13" spans="1:6">
      <c r="A13" s="8" t="s">
        <v>186</v>
      </c>
      <c r="B13" s="8"/>
      <c r="C13" s="8"/>
      <c r="D13" s="8"/>
      <c r="E13" s="8"/>
      <c r="F13" s="8"/>
    </row>
    <row r="14" spans="1:6">
      <c r="A14" s="8" t="s">
        <v>187</v>
      </c>
      <c r="B14" s="8"/>
      <c r="C14" s="8"/>
      <c r="D14" s="8"/>
      <c r="E14" s="8"/>
      <c r="F14" s="8"/>
    </row>
    <row r="15" spans="1:6">
      <c r="A15" s="8" t="s">
        <v>188</v>
      </c>
      <c r="B15" s="8"/>
      <c r="C15" s="8"/>
      <c r="D15" s="8"/>
      <c r="E15" s="8"/>
      <c r="F15" s="8"/>
    </row>
    <row r="16" spans="1:6">
      <c r="A16" s="8" t="s">
        <v>189</v>
      </c>
      <c r="B16" s="8"/>
      <c r="C16" s="8"/>
      <c r="D16" s="8"/>
      <c r="E16" s="8"/>
      <c r="F16" s="8"/>
    </row>
    <row r="17" spans="1:6">
      <c r="A17" s="8" t="s">
        <v>190</v>
      </c>
      <c r="B17" s="8"/>
      <c r="C17" s="8"/>
      <c r="D17" s="8"/>
      <c r="E17" s="8"/>
      <c r="F17" s="8"/>
    </row>
    <row r="18" spans="1:6">
      <c r="A18" s="8" t="s">
        <v>191</v>
      </c>
      <c r="B18" s="8"/>
      <c r="C18" s="8"/>
      <c r="D18" s="8"/>
      <c r="E18" s="8"/>
      <c r="F18" s="8"/>
    </row>
    <row r="19" spans="1:6">
      <c r="A19" s="8" t="s">
        <v>192</v>
      </c>
      <c r="B19" s="8"/>
      <c r="C19" s="8"/>
      <c r="D19" s="8"/>
      <c r="E19" s="8"/>
      <c r="F19" s="8"/>
    </row>
  </sheetData>
  <mergeCells count="7">
    <mergeCell ref="A13:F13"/>
    <mergeCell ref="A14:F14"/>
    <mergeCell ref="A15:F15"/>
    <mergeCell ref="A16:F16"/>
    <mergeCell ref="A17:F17"/>
    <mergeCell ref="A18:F18"/>
    <mergeCell ref="A19:F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0"/>
  <sheetViews>
    <sheetView zoomScale="90" zoomScaleNormal="90" workbookViewId="0"/>
  </sheetViews>
  <sheetFormatPr defaultRowHeight="15"/>
  <cols>
    <col min="1" max="1" width="28.7109375" customWidth="1"/>
    <col min="2" max="10" width="13.7109375" customWidth="1"/>
  </cols>
  <sheetData>
    <row r="1" spans="1:10">
      <c r="A1" s="1" t="s">
        <v>193</v>
      </c>
    </row>
    <row r="2" spans="1:10">
      <c r="A2" s="2" t="s">
        <v>194</v>
      </c>
    </row>
    <row r="4" spans="1:10">
      <c r="A4" s="5" t="s">
        <v>39</v>
      </c>
      <c r="B4" s="5" t="s">
        <v>195</v>
      </c>
      <c r="C4" s="5" t="s">
        <v>196</v>
      </c>
      <c r="D4" s="5" t="s">
        <v>197</v>
      </c>
      <c r="E4" s="5" t="s">
        <v>198</v>
      </c>
      <c r="F4" s="5" t="s">
        <v>199</v>
      </c>
      <c r="G4" s="5" t="s">
        <v>200</v>
      </c>
      <c r="H4" s="5" t="s">
        <v>201</v>
      </c>
      <c r="I4" s="5" t="s">
        <v>202</v>
      </c>
      <c r="J4" s="5" t="s">
        <v>203</v>
      </c>
    </row>
    <row r="5" spans="1:10">
      <c r="A5" s="6" t="s">
        <v>204</v>
      </c>
      <c r="B5" s="15">
        <v>171.9</v>
      </c>
      <c r="C5" s="15">
        <v>180</v>
      </c>
      <c r="D5" s="15">
        <v>187</v>
      </c>
      <c r="E5" s="15">
        <v>193.6</v>
      </c>
      <c r="F5" s="15">
        <v>175.4</v>
      </c>
      <c r="G5" s="15">
        <v>231.1</v>
      </c>
      <c r="H5" s="15">
        <v>247.2</v>
      </c>
      <c r="I5" s="15">
        <v>265.5</v>
      </c>
      <c r="J5" s="15">
        <v>260.6</v>
      </c>
    </row>
    <row r="6" spans="1:10">
      <c r="A6" s="6" t="s">
        <v>205</v>
      </c>
      <c r="B6" s="15">
        <v>41.3</v>
      </c>
      <c r="C6" s="15">
        <v>63.7</v>
      </c>
      <c r="D6" s="15">
        <v>63.2</v>
      </c>
      <c r="E6" s="15">
        <v>63.5</v>
      </c>
      <c r="F6" s="15">
        <v>56.2</v>
      </c>
      <c r="G6" s="15">
        <v>76.2</v>
      </c>
      <c r="H6" s="15">
        <v>80</v>
      </c>
      <c r="I6" s="15">
        <v>82.59999999999999</v>
      </c>
      <c r="J6" s="15">
        <v>86</v>
      </c>
    </row>
    <row r="7" spans="1:10">
      <c r="A7" s="6" t="s">
        <v>206</v>
      </c>
      <c r="B7" s="15">
        <v>44.9</v>
      </c>
      <c r="C7" s="15">
        <v>77</v>
      </c>
      <c r="D7" s="15">
        <v>45.4</v>
      </c>
      <c r="E7" s="15">
        <v>-13.6</v>
      </c>
      <c r="F7" s="15">
        <v>85.5</v>
      </c>
      <c r="G7" s="15">
        <v>61.1</v>
      </c>
      <c r="H7" s="15">
        <v>15.4</v>
      </c>
      <c r="I7" s="15">
        <v>31.5</v>
      </c>
      <c r="J7" s="15">
        <v>30.4</v>
      </c>
    </row>
    <row r="8" spans="1:10">
      <c r="A8" s="6" t="s">
        <v>207</v>
      </c>
      <c r="B8" s="15">
        <v>12.4</v>
      </c>
      <c r="C8" s="15">
        <v>12.7</v>
      </c>
      <c r="D8" s="15">
        <v>7.5</v>
      </c>
      <c r="E8" s="15">
        <v>-2.2</v>
      </c>
      <c r="F8" s="15">
        <v>13.8</v>
      </c>
      <c r="G8" s="15">
        <v>8.699999999999999</v>
      </c>
      <c r="H8" s="15">
        <v>2.2</v>
      </c>
      <c r="I8" s="15">
        <v>4.4</v>
      </c>
      <c r="J8" s="15">
        <v>4.2</v>
      </c>
    </row>
    <row r="9" spans="1:10">
      <c r="A9" s="6" t="s">
        <v>208</v>
      </c>
      <c r="B9" s="15">
        <v>468</v>
      </c>
      <c r="C9" s="15">
        <v>537.1</v>
      </c>
      <c r="D9" s="15">
        <v>609.9</v>
      </c>
      <c r="E9" s="15">
        <v>595.2</v>
      </c>
      <c r="F9" s="15">
        <v>835.2</v>
      </c>
      <c r="G9" s="15">
        <v>948.8</v>
      </c>
      <c r="H9" s="15">
        <v>962.3</v>
      </c>
      <c r="I9" s="15">
        <v>1026.5</v>
      </c>
      <c r="J9" s="15">
        <v>1101.8</v>
      </c>
    </row>
    <row r="10" spans="1:10">
      <c r="A10" s="6" t="s">
        <v>209</v>
      </c>
      <c r="B10" s="15">
        <v>95.2</v>
      </c>
      <c r="C10" s="15">
        <v>168.7</v>
      </c>
      <c r="D10" s="15">
        <v>270.2</v>
      </c>
      <c r="E10" s="15">
        <v>325.5</v>
      </c>
      <c r="F10" s="15">
        <v>327.3</v>
      </c>
      <c r="G10" s="15">
        <v>380.1</v>
      </c>
      <c r="H10" s="15">
        <v>553.6</v>
      </c>
      <c r="I10" s="15">
        <v>640.5</v>
      </c>
      <c r="J10" s="15">
        <v>627.7</v>
      </c>
    </row>
    <row r="11" spans="1:10">
      <c r="A11" s="6" t="s">
        <v>210</v>
      </c>
      <c r="B11" s="15">
        <v>10.9</v>
      </c>
      <c r="C11" s="15">
        <v>18.3</v>
      </c>
      <c r="D11" s="15">
        <v>22.8</v>
      </c>
      <c r="E11" s="15">
        <v>17.6</v>
      </c>
      <c r="F11" s="15">
        <v>79.90000000000001</v>
      </c>
      <c r="G11" s="15">
        <v>9.699999999999999</v>
      </c>
      <c r="H11" s="15">
        <v>7.4</v>
      </c>
      <c r="I11" s="15">
        <v>7.5</v>
      </c>
      <c r="J11" s="15">
        <v>7.6</v>
      </c>
    </row>
    <row r="12" spans="1:10">
      <c r="A12" s="6" t="s">
        <v>211</v>
      </c>
      <c r="B12" s="15">
        <v>84.3</v>
      </c>
      <c r="C12" s="15">
        <v>150.4</v>
      </c>
      <c r="D12" s="15">
        <v>247.4</v>
      </c>
      <c r="E12" s="15">
        <v>307.9</v>
      </c>
      <c r="F12" s="15">
        <v>247.4</v>
      </c>
      <c r="G12" s="15">
        <v>370.4</v>
      </c>
      <c r="H12" s="15">
        <v>546.2</v>
      </c>
      <c r="I12" s="15">
        <v>633</v>
      </c>
      <c r="J12" s="15">
        <v>620.1</v>
      </c>
    </row>
    <row r="13" spans="1:10">
      <c r="A13" s="6" t="s">
        <v>212</v>
      </c>
      <c r="B13" s="15">
        <v>-42.1</v>
      </c>
      <c r="C13" s="15">
        <v>-49.3</v>
      </c>
      <c r="D13" s="15">
        <v>-84.09999999999999</v>
      </c>
      <c r="E13" s="15">
        <v>-36.6</v>
      </c>
      <c r="F13" s="15">
        <v>-6.2</v>
      </c>
      <c r="G13" s="15">
        <v>-57.1</v>
      </c>
      <c r="H13" s="15">
        <v>-88.59999999999999</v>
      </c>
      <c r="I13" s="15">
        <v>-77</v>
      </c>
      <c r="J13" s="15">
        <v>-3.3</v>
      </c>
    </row>
    <row r="14" spans="1:10">
      <c r="A14" s="6" t="s">
        <v>213</v>
      </c>
      <c r="B14" s="15">
        <v>152.1</v>
      </c>
      <c r="C14" s="15">
        <v>158.5</v>
      </c>
      <c r="D14" s="15">
        <v>161.1</v>
      </c>
      <c r="E14" s="15">
        <v>163.9</v>
      </c>
      <c r="F14" s="15">
        <v>146.6</v>
      </c>
      <c r="G14" s="15">
        <v>187.4</v>
      </c>
      <c r="H14" s="15">
        <v>194.5</v>
      </c>
      <c r="I14" s="15">
        <v>206.3</v>
      </c>
      <c r="J14" s="15">
        <v>200.3</v>
      </c>
    </row>
    <row r="15" spans="1:10">
      <c r="A15" s="6" t="s">
        <v>214</v>
      </c>
      <c r="B15" s="15">
        <v>57.2</v>
      </c>
      <c r="C15" s="15">
        <v>68.3</v>
      </c>
      <c r="D15" s="15">
        <v>46.6</v>
      </c>
      <c r="E15" s="15">
        <v>-21.7</v>
      </c>
      <c r="F15" s="15">
        <v>80</v>
      </c>
      <c r="G15" s="15">
        <v>63.5</v>
      </c>
      <c r="H15" s="15">
        <v>19.5</v>
      </c>
      <c r="I15" s="15">
        <v>60.8</v>
      </c>
      <c r="J15" s="15">
        <v>90.2</v>
      </c>
    </row>
    <row r="16" spans="1:10">
      <c r="A16" s="6" t="s">
        <v>215</v>
      </c>
      <c r="B16" s="15">
        <v>360.9</v>
      </c>
      <c r="C16" s="15">
        <v>605.4</v>
      </c>
      <c r="D16" s="15">
        <v>607.1</v>
      </c>
      <c r="E16" s="15">
        <v>610.7</v>
      </c>
      <c r="F16" s="15">
        <v>621.5</v>
      </c>
      <c r="G16" s="15">
        <v>705.4</v>
      </c>
      <c r="H16" s="15">
        <v>715.7</v>
      </c>
      <c r="I16" s="15">
        <v>723.7</v>
      </c>
      <c r="J16" s="15">
        <v>724.2</v>
      </c>
    </row>
    <row r="17" spans="1:10">
      <c r="A17" s="6" t="s">
        <v>216</v>
      </c>
      <c r="B17" s="15">
        <v>0</v>
      </c>
      <c r="C17" s="15">
        <v>4.7</v>
      </c>
      <c r="D17" s="15">
        <v>4.7</v>
      </c>
      <c r="E17" s="15">
        <v>3.5</v>
      </c>
      <c r="F17" s="15">
        <v>3.4</v>
      </c>
      <c r="G17" s="15">
        <v>4.4</v>
      </c>
      <c r="H17" s="15">
        <v>3.2</v>
      </c>
      <c r="I17" s="15">
        <v>1.3</v>
      </c>
      <c r="J17" s="15">
        <v>0</v>
      </c>
    </row>
    <row r="19" spans="1:10">
      <c r="A19" s="8" t="s">
        <v>217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>
      <c r="A20" s="8" t="s">
        <v>218</v>
      </c>
      <c r="B20" s="8"/>
      <c r="C20" s="8"/>
      <c r="D20" s="8"/>
      <c r="E20" s="8"/>
      <c r="F20" s="8"/>
      <c r="G20" s="8"/>
      <c r="H20" s="8"/>
      <c r="I20" s="8"/>
      <c r="J20" s="8"/>
    </row>
    <row r="22" spans="1:10">
      <c r="A22" s="4" t="s">
        <v>219</v>
      </c>
      <c r="B22" s="4"/>
      <c r="C22" s="4"/>
      <c r="D22" s="4"/>
      <c r="E22" s="4"/>
      <c r="F22" s="4"/>
    </row>
    <row r="23" spans="1:10">
      <c r="A23" s="5" t="s">
        <v>39</v>
      </c>
      <c r="B23" s="5" t="s">
        <v>220</v>
      </c>
      <c r="C23" s="5" t="s">
        <v>221</v>
      </c>
      <c r="D23" s="5" t="s">
        <v>6</v>
      </c>
      <c r="E23" s="5"/>
      <c r="F23" s="5"/>
    </row>
    <row r="24" spans="1:10">
      <c r="A24" s="6" t="s">
        <v>222</v>
      </c>
      <c r="B24" s="19">
        <v>0.0409</v>
      </c>
      <c r="C24" s="19">
        <v>0.0612</v>
      </c>
      <c r="D24" s="8" t="s">
        <v>223</v>
      </c>
      <c r="E24" s="8"/>
      <c r="F24" s="8"/>
      <c r="G24" s="8"/>
      <c r="H24" s="8"/>
      <c r="I24" s="8"/>
    </row>
    <row r="25" spans="1:10">
      <c r="A25" s="6" t="s">
        <v>224</v>
      </c>
      <c r="B25" s="19">
        <v>0.0412</v>
      </c>
      <c r="C25" s="19">
        <v>0.0625</v>
      </c>
      <c r="D25" s="8" t="s">
        <v>225</v>
      </c>
      <c r="E25" s="8"/>
      <c r="F25" s="8"/>
      <c r="G25" s="8"/>
      <c r="H25" s="8"/>
      <c r="I25" s="8"/>
    </row>
    <row r="26" spans="1:10">
      <c r="A26" s="6" t="s">
        <v>226</v>
      </c>
      <c r="B26" s="19">
        <v>0.0701</v>
      </c>
      <c r="C26" s="29" t="s">
        <v>34</v>
      </c>
      <c r="D26" s="8" t="s">
        <v>227</v>
      </c>
      <c r="E26" s="8"/>
      <c r="F26" s="8"/>
      <c r="G26" s="8"/>
      <c r="H26" s="8"/>
      <c r="I26" s="8"/>
    </row>
    <row r="27" spans="1:10">
      <c r="A27" s="6" t="s">
        <v>228</v>
      </c>
      <c r="B27" s="19">
        <v>0.05110000000000001</v>
      </c>
      <c r="C27" s="19">
        <v>0.1311</v>
      </c>
      <c r="D27" s="8" t="s">
        <v>229</v>
      </c>
      <c r="E27" s="8"/>
      <c r="F27" s="8"/>
      <c r="G27" s="8"/>
      <c r="H27" s="8"/>
      <c r="I27" s="8"/>
    </row>
    <row r="28" spans="1:10">
      <c r="A28" s="6" t="s">
        <v>230</v>
      </c>
      <c r="B28" s="19">
        <v>-0.216</v>
      </c>
      <c r="C28" s="29" t="s">
        <v>34</v>
      </c>
      <c r="D28" s="8" t="s">
        <v>231</v>
      </c>
      <c r="E28" s="8"/>
      <c r="F28" s="8"/>
      <c r="G28" s="8"/>
      <c r="H28" s="8"/>
      <c r="I28" s="8"/>
    </row>
    <row r="30" spans="1:10">
      <c r="A30" s="28" t="s">
        <v>232</v>
      </c>
      <c r="B30" s="30">
        <v>0.0412</v>
      </c>
      <c r="C30" s="8">
        <f> Underlying EBITDA 3yr CAGR (FY22-FY25)</f>
        <v>0</v>
      </c>
    </row>
  </sheetData>
  <mergeCells count="9">
    <mergeCell ref="A19:J19"/>
    <mergeCell ref="A20:J20"/>
    <mergeCell ref="A22:F22"/>
    <mergeCell ref="D23:F23"/>
    <mergeCell ref="D24:I24"/>
    <mergeCell ref="D25:I25"/>
    <mergeCell ref="D26:I26"/>
    <mergeCell ref="D27:I27"/>
    <mergeCell ref="D28:I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 Comparison</vt:lpstr>
      <vt:lpstr>Sensitivity Analysis</vt:lpstr>
      <vt:lpstr>Historical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2026-03-27T03:17:15Z</dcterms:created>
  <dcterms:modified xsi:type="dcterms:W3CDTF">2026-03-27T03:17:15Z</dcterms:modified>
</cp:coreProperties>
</file>