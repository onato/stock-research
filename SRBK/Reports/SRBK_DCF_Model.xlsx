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ase Case" sheetId="2" r:id="rId2"/>
    <sheet name="Bull Case" sheetId="3" r:id="rId3"/>
    <sheet name="Bear Case" sheetId="4" r:id="rId4"/>
    <sheet name="Summary" sheetId="5" r:id="rId5"/>
    <sheet name="Sensitivity" sheetId="6" r:id="rId6"/>
    <sheet name="Historical" sheetId="7" r:id="rId7"/>
  </sheets>
  <calcPr calcId="124519" fullCalcOnLoad="1"/>
</workbook>
</file>

<file path=xl/sharedStrings.xml><?xml version="1.0" encoding="utf-8"?>
<sst xmlns="http://schemas.openxmlformats.org/spreadsheetml/2006/main" count="189" uniqueCount="87">
  <si>
    <t>SRBK — SR Bancorp, Inc. — Residual Income Valuation Model</t>
  </si>
  <si>
    <t>This is a BANK. Standard unlevered FCF DCF is not meaningful for a depository institution.</t>
  </si>
  <si>
    <t>METHODOLOGY: Residual Income (Excess-Return) Model on Tangible Book Value
Why not a standard FCF DCF? Free cash flow is not a valid concept for a bank because loan and deposit flows swamp any FCF proxy and bank capital is regulated (not freely distributable). Instead, this model values SR Bancorp as:
  Intrinsic Equity Value = Starting Tangible Book Value (TBV)
                          + PV of future Residual Income, where Residual Income = (ROE - Cost of Equity) x Beginning TBV
                          + PV of the Terminal Exit Value in excess of ending book value
                            (Terminal Exit Value = Ending TBV x Exit Price/Tangible-Book multiple)
Cost of Equity (CoE), not WACC, is used as the discount rate — this is standard bank-valuation convention since we are discounting an equity-level residual income stream, not an unlevered enterprise FCF stream.
Because SR Bancorp's ROE (~2-5% across scenarios) sits well below its ~9.5-10.5% cost of equity, the bank is a going-concern value DESTROYER at the margin in Base and Bear cases — residual income is negative every year. The offsetting value drivers are: (a) share buybacks executed at/below tangible book, which are mechanically accretive to continuing shareholders' TBV per share; (b) gradual NIM/ROE recovery as excess post-IPO capital is deployed into higher-yielding loans; and (c) M&amp;A optionality — the standard 3-year post-conversion anti-takeover moratorium expires September 2026, after which SRBK becomes a plausible takeout target (small NJ thrifts typically sell for 1.0-1.4x TBV).
TANGIBLE BOOK VALUE ANCHOR (as of 3/31/2026):
  Book Value: $184.5M total / 8.2M shares = $22.50/share
  Less: Goodwill $20.417M (fixed, from Sept-2023 Regal Bancorp merger) + Core Deposit Intangible ~$5.416M (amortizing)
  = Tangible Book Value: ~$158.67M total / $19.35 per share  &lt;- valuation anchor
SCENARIOS:
  BASE: Gradual ROE recovery 3.2%-&gt;5.0% over 5 years, ~3%/yr buyback shrink, 20% dividend payout, exit at 0.95x TBV (going concern, no deal), CoE 10.0%
  BULL: Faster ROE recovery 3.5%-&gt;5.2%, acquisition at Year 3 at 1.25x TBV (typical NJ thrift takeout premium), CoE 9.5%
  BEAR: ROE stuck at 2.2%-2.8%, slower buybacks, exit at 0.775x TBV (no deal, persistent underperformance), CoE 10.5%
Gray cells are INPUTS — adjust ROE path, buyback rate, dividend payout, Cost of Equity, or Exit P/TBV multiple on each scenario tab to see the valuation update automatically.</t>
  </si>
  <si>
    <t>SRBK — BASE Case (Residual Income Model)</t>
  </si>
  <si>
    <t>Gray cells are INPUTS - adjust to see valuation change</t>
  </si>
  <si>
    <t>KEY INPUTS</t>
  </si>
  <si>
    <t>Current Stock Price</t>
  </si>
  <si>
    <t>Shares Outstanding (M)</t>
  </si>
  <si>
    <t>Book Value Total ($M)</t>
  </si>
  <si>
    <t>Goodwill ($M)</t>
  </si>
  <si>
    <t>Core Deposit Intangible ($M)</t>
  </si>
  <si>
    <t>Starting Tangible Book Value ($M)</t>
  </si>
  <si>
    <t>Starting TBV per Share</t>
  </si>
  <si>
    <t>Cost of Equity (CoE)</t>
  </si>
  <si>
    <t>Exit P/TBV Multiple (Year 5)</t>
  </si>
  <si>
    <t>Dividend Payout Ratio</t>
  </si>
  <si>
    <t>YEAR-BY-YEAR ASSUMPTIONS</t>
  </si>
  <si>
    <t>Year 1</t>
  </si>
  <si>
    <t>Year 2</t>
  </si>
  <si>
    <t>Year 3</t>
  </si>
  <si>
    <t>Year 4</t>
  </si>
  <si>
    <t>Year 5</t>
  </si>
  <si>
    <t>ROE (on beginning TBV)</t>
  </si>
  <si>
    <t>Buyback % of Shares</t>
  </si>
  <si>
    <t>PROJECTIONS</t>
  </si>
  <si>
    <t>Beginning TBV ($M)</t>
  </si>
  <si>
    <t>Net Income ($M)</t>
  </si>
  <si>
    <t>Residual Income ($M)</t>
  </si>
  <si>
    <t>Dividends Paid ($M)</t>
  </si>
  <si>
    <t>Retained Earnings ($M)</t>
  </si>
  <si>
    <t>Shares Repurchased (M)</t>
  </si>
  <si>
    <t>Cash for Buybacks ($M)</t>
  </si>
  <si>
    <t>Ending TBV ($M)</t>
  </si>
  <si>
    <t>Ending Shares (M)</t>
  </si>
  <si>
    <t>Ending TBV per Share</t>
  </si>
  <si>
    <t>Discount Factor</t>
  </si>
  <si>
    <t>PV of Residual Income ($M)</t>
  </si>
  <si>
    <t>VALUATION</t>
  </si>
  <si>
    <t>Sum of PV of Residual Income ($M)</t>
  </si>
  <si>
    <t>Ending TBV Total ($M)</t>
  </si>
  <si>
    <t>Exit P/TBV Multiple</t>
  </si>
  <si>
    <t>Terminal Equity Value ($M)</t>
  </si>
  <si>
    <t>Excess Over Book at Exit ($M)</t>
  </si>
  <si>
    <t>PV of Exit Premium ($M)</t>
  </si>
  <si>
    <t>Intrinsic Equity Value ($M)</t>
  </si>
  <si>
    <t>INTRINSIC VALUE / SHARE</t>
  </si>
  <si>
    <t>Implied Exit P/TBV of IV</t>
  </si>
  <si>
    <t>Upside / (Downside) vs Current Price</t>
  </si>
  <si>
    <t>SRBK — BULL Case (Residual Income Model)</t>
  </si>
  <si>
    <t>Exit P/TBV Multiple (Year 3)</t>
  </si>
  <si>
    <t>SRBK — BEAR Case (Residual Income Model)</t>
  </si>
  <si>
    <t>SRBK Valuation Summary</t>
  </si>
  <si>
    <t>SCENARIO SUMMARY</t>
  </si>
  <si>
    <t>Scenario</t>
  </si>
  <si>
    <t>Intrinsic Value/Share</t>
  </si>
  <si>
    <t>Upside/(Downside)</t>
  </si>
  <si>
    <t>Implied Exit P/TBV</t>
  </si>
  <si>
    <t>Probability Weight</t>
  </si>
  <si>
    <t>Bear</t>
  </si>
  <si>
    <t>Base</t>
  </si>
  <si>
    <t>Bull</t>
  </si>
  <si>
    <t>Current Stock Price (ref)</t>
  </si>
  <si>
    <t>PROBABILITY-WEIGHTED INTRINSIC VALUE</t>
  </si>
  <si>
    <t>Weighted Upside/(Downside)</t>
  </si>
  <si>
    <t>ENTRY PRICE (15% CAGR Target, off Base Case)</t>
  </si>
  <si>
    <t>Base Terminal Equity Value ($M)</t>
  </si>
  <si>
    <t>Base Ending Shares (M)</t>
  </si>
  <si>
    <t>Terminal Value per Share</t>
  </si>
  <si>
    <t>Years to Terminal</t>
  </si>
  <si>
    <t>Entry Price (15% CAGR)</t>
  </si>
  <si>
    <t>Entry Discount from Current Price</t>
  </si>
  <si>
    <t>Sensitivity Analysis — Base Case</t>
  </si>
  <si>
    <t>Intrinsic Value per Share by Cost of Equity &amp; Exit P/TBV Multiple</t>
  </si>
  <si>
    <t>(Static values shown; matches Base Case sheet mechanics)</t>
  </si>
  <si>
    <t>CoE \ Exit P/TBV</t>
  </si>
  <si>
    <t>Note: matrix computed in Python using Base Case ROE (3.2%-&gt;5.0%) and buyback (3.5%-&gt;3.0%) paths;</t>
  </si>
  <si>
    <t>shown as static reference values. Adjust CoE / Exit P/TBV directly on the Base Case tab for live recalculation.</t>
  </si>
  <si>
    <t>Historical Growth Rates (Reference Only)</t>
  </si>
  <si>
    <t>NOTE: Standard CAGR growth-selection logic does NOT apply to SRBK — see warning below.</t>
  </si>
  <si>
    <t>Metric</t>
  </si>
  <si>
    <t>Value</t>
  </si>
  <si>
    <t>Revenue 3yr CAGR (DISTORTED by merger)</t>
  </si>
  <si>
    <t>Equity 3yr CAGR (DISTORTED by IPO raise)</t>
  </si>
  <si>
    <t>NII growth FY24-&gt;FY25 (cleanest organic metric)</t>
  </si>
  <si>
    <t>NII 3yr CAGR FY22-&gt;FY25 (incl. merger bump)</t>
  </si>
  <si>
    <t>Growth Divergence Warning:</t>
  </si>
  <si>
    <t>Standard CAGR growth-rate selection logic does not apply to SRBK. Revenue CAGR (~50% 3yr) and Equity CAGR (~18% 3yr) are both severely DISTORTED and NOT usable as organic growth proxies: (1) Revenue/NII jumped mechanically due to the Sept-2023 Regal Bancorp acquisition roughly doubling the balance sheet, not organic growth; FY2024 also had a net LOSS (-$1.59 EPS) from merger-related CECL day-1 provisioning and one-time expenses, making EPS CAGR mathematically meaningless (negative-to-positive base). (2) Equity CAGR is inflated by the Sept-2023 IPO capital raise (~$75M+ of fresh equity), not retained-earnings growth. The cleanest organic metric is Net Interest Income growth on a post-merger, apples-to-apples basis: NII grew only +0.68% FY2024-&gt;FY2025, consistent with a bank still working through excess capital deployment and NIM pressure rather than a growth story. This is why the DCF model below uses a residual-income/ROE framework anchored to tangible book value rather than any of these distorted growth CAGRs.</t>
  </si>
</sst>
</file>

<file path=xl/styles.xml><?xml version="1.0" encoding="utf-8"?>
<styleSheet xmlns="http://schemas.openxmlformats.org/spreadsheetml/2006/main">
  <numFmts count="5">
    <numFmt numFmtId="164" formatCode="#,##0.00"/>
    <numFmt numFmtId="165" formatCode="&quot;$&quot;#,##0.00"/>
    <numFmt numFmtId="166" formatCode="0.00%"/>
    <numFmt numFmtId="167" formatCode="0.00&quot;x&quot;"/>
    <numFmt numFmtId="168" formatCode="0.0%"/>
  </numFmts>
  <fonts count="8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80808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0" borderId="2" xfId="0" applyNumberFormat="1" applyBorder="1"/>
    <xf numFmtId="166" fontId="0" fillId="2" borderId="2" xfId="0" applyNumberFormat="1" applyFill="1" applyBorder="1"/>
    <xf numFmtId="0" fontId="5" fillId="3" borderId="2" xfId="0" applyFont="1" applyFill="1" applyBorder="1"/>
    <xf numFmtId="167" fontId="0" fillId="0" borderId="2" xfId="0" applyNumberFormat="1" applyBorder="1"/>
    <xf numFmtId="0" fontId="6" fillId="0" borderId="0" xfId="0" applyFont="1"/>
    <xf numFmtId="165" fontId="5" fillId="4" borderId="2" xfId="0" applyNumberFormat="1" applyFont="1" applyFill="1" applyBorder="1"/>
    <xf numFmtId="168" fontId="5" fillId="4" borderId="2" xfId="0" applyNumberFormat="1" applyFont="1" applyFill="1" applyBorder="1"/>
    <xf numFmtId="168" fontId="0" fillId="0" borderId="2" xfId="0" applyNumberFormat="1" applyBorder="1"/>
    <xf numFmtId="0" fontId="7" fillId="0" borderId="0" xfId="0" applyFont="1" applyAlignment="1">
      <alignment vertical="top" wrapText="1"/>
    </xf>
    <xf numFmtId="167" fontId="5" fillId="3" borderId="0" xfId="0" applyNumberFormat="1" applyFont="1" applyFill="1"/>
    <xf numFmtId="168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100.7109375" customWidth="1"/>
  </cols>
  <sheetData>
    <row r="1" spans="1:1">
      <c r="A1" s="1" t="s">
        <v>0</v>
      </c>
    </row>
    <row r="2" spans="1:1">
      <c r="A2" s="2" t="s">
        <v>1</v>
      </c>
    </row>
    <row r="4" spans="1:1" ht="480" customHeight="1">
      <c r="A4" s="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cols>
    <col min="1" max="1" width="28.7109375" customWidth="1"/>
    <col min="2" max="8" width="13.7109375" customWidth="1"/>
  </cols>
  <sheetData>
    <row r="1" spans="1:2">
      <c r="A1" s="1" t="s">
        <v>3</v>
      </c>
    </row>
    <row r="2" spans="1:2">
      <c r="A2" s="2" t="s">
        <v>4</v>
      </c>
    </row>
    <row r="4" spans="1:2">
      <c r="A4" s="4" t="s">
        <v>5</v>
      </c>
    </row>
    <row r="5" spans="1:2">
      <c r="A5" t="s">
        <v>6</v>
      </c>
      <c r="B5" s="5">
        <v>19.65</v>
      </c>
    </row>
    <row r="6" spans="1:2">
      <c r="A6" t="s">
        <v>7</v>
      </c>
      <c r="B6" s="5">
        <v>8.199999999999999</v>
      </c>
    </row>
    <row r="7" spans="1:2">
      <c r="A7" t="s">
        <v>8</v>
      </c>
      <c r="B7" s="5">
        <v>184.5</v>
      </c>
    </row>
    <row r="8" spans="1:2">
      <c r="A8" t="s">
        <v>9</v>
      </c>
      <c r="B8" s="5">
        <v>20.417</v>
      </c>
    </row>
    <row r="9" spans="1:2">
      <c r="A9" t="s">
        <v>10</v>
      </c>
      <c r="B9" s="5">
        <v>5.416</v>
      </c>
    </row>
    <row r="10" spans="1:2">
      <c r="A10" t="s">
        <v>11</v>
      </c>
      <c r="B10" s="6">
        <f>B7-B8-B9</f>
        <v>0</v>
      </c>
    </row>
    <row r="11" spans="1:2">
      <c r="A11" t="s">
        <v>12</v>
      </c>
      <c r="B11" s="7">
        <f>B10/B6</f>
        <v>0</v>
      </c>
    </row>
    <row r="13" spans="1:2">
      <c r="A13" t="s">
        <v>13</v>
      </c>
      <c r="B13" s="8">
        <v>0.1</v>
      </c>
    </row>
    <row r="14" spans="1:2">
      <c r="A14" t="s">
        <v>14</v>
      </c>
      <c r="B14" s="5">
        <v>0.95</v>
      </c>
    </row>
    <row r="15" spans="1:2">
      <c r="A15" t="s">
        <v>15</v>
      </c>
      <c r="B15" s="8">
        <v>0.2</v>
      </c>
    </row>
    <row r="17" spans="1:6">
      <c r="A17" s="4" t="s">
        <v>16</v>
      </c>
    </row>
    <row r="18" spans="1:6">
      <c r="A18" s="9"/>
      <c r="B18" s="9" t="s">
        <v>17</v>
      </c>
      <c r="C18" s="9" t="s">
        <v>18</v>
      </c>
      <c r="D18" s="9" t="s">
        <v>19</v>
      </c>
      <c r="E18" s="9" t="s">
        <v>20</v>
      </c>
      <c r="F18" s="9" t="s">
        <v>21</v>
      </c>
    </row>
    <row r="19" spans="1:6">
      <c r="A19" t="s">
        <v>22</v>
      </c>
      <c r="B19" s="8">
        <v>0.032</v>
      </c>
      <c r="C19" s="8">
        <v>0.038</v>
      </c>
      <c r="D19" s="8">
        <v>0.043</v>
      </c>
      <c r="E19" s="8">
        <v>0.047</v>
      </c>
      <c r="F19" s="8">
        <v>0.05</v>
      </c>
    </row>
    <row r="20" spans="1:6">
      <c r="A20" t="s">
        <v>23</v>
      </c>
      <c r="B20" s="8">
        <v>0.035</v>
      </c>
      <c r="C20" s="8">
        <v>0.035</v>
      </c>
      <c r="D20" s="8">
        <v>0.03</v>
      </c>
      <c r="E20" s="8">
        <v>0.03</v>
      </c>
      <c r="F20" s="8">
        <v>0.03</v>
      </c>
    </row>
    <row r="22" spans="1:6">
      <c r="A22" s="4" t="s">
        <v>24</v>
      </c>
    </row>
    <row r="23" spans="1:6">
      <c r="A23" s="9"/>
      <c r="B23" s="9" t="s">
        <v>17</v>
      </c>
      <c r="C23" s="9" t="s">
        <v>18</v>
      </c>
      <c r="D23" s="9" t="s">
        <v>19</v>
      </c>
      <c r="E23" s="9" t="s">
        <v>20</v>
      </c>
      <c r="F23" s="9" t="s">
        <v>21</v>
      </c>
    </row>
    <row r="24" spans="1:6">
      <c r="A24" t="s">
        <v>25</v>
      </c>
      <c r="B24" s="6">
        <f>$B$10</f>
        <v>0</v>
      </c>
      <c r="C24" s="6">
        <f>B31</f>
        <v>0</v>
      </c>
      <c r="D24" s="6">
        <f>C31</f>
        <v>0</v>
      </c>
      <c r="E24" s="6">
        <f>D31</f>
        <v>0</v>
      </c>
      <c r="F24" s="6">
        <f>E31</f>
        <v>0</v>
      </c>
    </row>
    <row r="25" spans="1:6">
      <c r="A25" t="s">
        <v>26</v>
      </c>
      <c r="B25" s="6">
        <f>B19*B24</f>
        <v>0</v>
      </c>
      <c r="C25" s="6">
        <f>C19*C24</f>
        <v>0</v>
      </c>
      <c r="D25" s="6">
        <f>D19*D24</f>
        <v>0</v>
      </c>
      <c r="E25" s="6">
        <f>E19*E24</f>
        <v>0</v>
      </c>
      <c r="F25" s="6">
        <f>F19*F24</f>
        <v>0</v>
      </c>
    </row>
    <row r="26" spans="1:6">
      <c r="A26" t="s">
        <v>27</v>
      </c>
      <c r="B26" s="6">
        <f>(B19-$B$13)*B24</f>
        <v>0</v>
      </c>
      <c r="C26" s="6">
        <f>(C19-$B$13)*C24</f>
        <v>0</v>
      </c>
      <c r="D26" s="6">
        <f>(D19-$B$13)*D24</f>
        <v>0</v>
      </c>
      <c r="E26" s="6">
        <f>(E19-$B$13)*E24</f>
        <v>0</v>
      </c>
      <c r="F26" s="6">
        <f>(F19-$B$13)*F24</f>
        <v>0</v>
      </c>
    </row>
    <row r="27" spans="1:6">
      <c r="A27" t="s">
        <v>28</v>
      </c>
      <c r="B27" s="6">
        <f>B25*$B$15</f>
        <v>0</v>
      </c>
      <c r="C27" s="6">
        <f>C25*$B$15</f>
        <v>0</v>
      </c>
      <c r="D27" s="6">
        <f>D25*$B$15</f>
        <v>0</v>
      </c>
      <c r="E27" s="6">
        <f>E25*$B$15</f>
        <v>0</v>
      </c>
      <c r="F27" s="6">
        <f>F25*$B$15</f>
        <v>0</v>
      </c>
    </row>
    <row r="28" spans="1:6">
      <c r="A28" t="s">
        <v>29</v>
      </c>
      <c r="B28" s="6">
        <f>B25-B27</f>
        <v>0</v>
      </c>
      <c r="C28" s="6">
        <f>C25-C27</f>
        <v>0</v>
      </c>
      <c r="D28" s="6">
        <f>D25-D27</f>
        <v>0</v>
      </c>
      <c r="E28" s="6">
        <f>E25-E27</f>
        <v>0</v>
      </c>
      <c r="F28" s="6">
        <f>F25-F27</f>
        <v>0</v>
      </c>
    </row>
    <row r="29" spans="1:6">
      <c r="A29" t="s">
        <v>30</v>
      </c>
      <c r="B29" s="6">
        <f>$B$6*B20</f>
        <v>0</v>
      </c>
      <c r="C29" s="6">
        <f>B32*C20</f>
        <v>0</v>
      </c>
      <c r="D29" s="6">
        <f>C32*D20</f>
        <v>0</v>
      </c>
      <c r="E29" s="6">
        <f>D32*E20</f>
        <v>0</v>
      </c>
      <c r="F29" s="6">
        <f>E32*F20</f>
        <v>0</v>
      </c>
    </row>
    <row r="30" spans="1:6">
      <c r="A30" t="s">
        <v>31</v>
      </c>
      <c r="B30" s="6">
        <f>B29*(B24/$B$6)</f>
        <v>0</v>
      </c>
      <c r="C30" s="6">
        <f>C29*(C24/B32)</f>
        <v>0</v>
      </c>
      <c r="D30" s="6">
        <f>D29*(D24/C32)</f>
        <v>0</v>
      </c>
      <c r="E30" s="6">
        <f>E29*(E24/D32)</f>
        <v>0</v>
      </c>
      <c r="F30" s="6">
        <f>F29*(F24/E32)</f>
        <v>0</v>
      </c>
    </row>
    <row r="31" spans="1:6">
      <c r="A31" t="s">
        <v>32</v>
      </c>
      <c r="B31" s="6">
        <f>B24+B28-B30</f>
        <v>0</v>
      </c>
      <c r="C31" s="6">
        <f>C24+C28-C30</f>
        <v>0</v>
      </c>
      <c r="D31" s="6">
        <f>D24+D28-D30</f>
        <v>0</v>
      </c>
      <c r="E31" s="6">
        <f>E24+E28-E30</f>
        <v>0</v>
      </c>
      <c r="F31" s="6">
        <f>F24+F28-F30</f>
        <v>0</v>
      </c>
    </row>
    <row r="32" spans="1:6">
      <c r="A32" t="s">
        <v>33</v>
      </c>
      <c r="B32" s="6">
        <f>$B$6-B29</f>
        <v>0</v>
      </c>
      <c r="C32" s="6">
        <f>B32-C29</f>
        <v>0</v>
      </c>
      <c r="D32" s="6">
        <f>C32-D29</f>
        <v>0</v>
      </c>
      <c r="E32" s="6">
        <f>D32-E29</f>
        <v>0</v>
      </c>
      <c r="F32" s="6">
        <f>E32-F29</f>
        <v>0</v>
      </c>
    </row>
    <row r="33" spans="1:6">
      <c r="A33" t="s">
        <v>34</v>
      </c>
      <c r="B33" s="7">
        <f>B31/B32</f>
        <v>0</v>
      </c>
      <c r="C33" s="7">
        <f>C31/C32</f>
        <v>0</v>
      </c>
      <c r="D33" s="7">
        <f>D31/D32</f>
        <v>0</v>
      </c>
      <c r="E33" s="7">
        <f>E31/E32</f>
        <v>0</v>
      </c>
      <c r="F33" s="7">
        <f>F31/F32</f>
        <v>0</v>
      </c>
    </row>
    <row r="34" spans="1:6">
      <c r="A34" t="s">
        <v>35</v>
      </c>
      <c r="B34" s="6">
        <f>1/(1+$B$13)^1</f>
        <v>0</v>
      </c>
      <c r="C34" s="6">
        <f>1/(1+$B$13)^2</f>
        <v>0</v>
      </c>
      <c r="D34" s="6">
        <f>1/(1+$B$13)^3</f>
        <v>0</v>
      </c>
      <c r="E34" s="6">
        <f>1/(1+$B$13)^4</f>
        <v>0</v>
      </c>
      <c r="F34" s="6">
        <f>1/(1+$B$13)^5</f>
        <v>0</v>
      </c>
    </row>
    <row r="35" spans="1:6">
      <c r="A35" t="s">
        <v>36</v>
      </c>
      <c r="B35" s="6">
        <f>B26*B34</f>
        <v>0</v>
      </c>
      <c r="C35" s="6">
        <f>C26*C34</f>
        <v>0</v>
      </c>
      <c r="D35" s="6">
        <f>D26*D34</f>
        <v>0</v>
      </c>
      <c r="E35" s="6">
        <f>E26*E34</f>
        <v>0</v>
      </c>
      <c r="F35" s="6">
        <f>F26*F34</f>
        <v>0</v>
      </c>
    </row>
    <row r="37" spans="1:6">
      <c r="A37" s="4" t="s">
        <v>37</v>
      </c>
    </row>
    <row r="38" spans="1:6">
      <c r="A38" t="s">
        <v>38</v>
      </c>
      <c r="B38" s="6">
        <f>SUM(B35:F35)</f>
        <v>0</v>
      </c>
    </row>
    <row r="39" spans="1:6">
      <c r="A39" t="s">
        <v>39</v>
      </c>
      <c r="B39" s="6">
        <f>F31</f>
        <v>0</v>
      </c>
    </row>
    <row r="40" spans="1:6">
      <c r="A40" t="s">
        <v>33</v>
      </c>
      <c r="B40" s="6">
        <f>F32</f>
        <v>0</v>
      </c>
    </row>
    <row r="41" spans="1:6">
      <c r="A41" t="s">
        <v>40</v>
      </c>
      <c r="B41" s="10">
        <f>B14</f>
        <v>0</v>
      </c>
    </row>
    <row r="42" spans="1:6">
      <c r="A42" t="s">
        <v>41</v>
      </c>
      <c r="B42" s="6">
        <f>B39*B41</f>
        <v>0</v>
      </c>
    </row>
    <row r="43" spans="1:6">
      <c r="A43" t="s">
        <v>42</v>
      </c>
      <c r="B43" s="6">
        <f>B42-B39</f>
        <v>0</v>
      </c>
    </row>
    <row r="44" spans="1:6">
      <c r="A44" t="s">
        <v>43</v>
      </c>
      <c r="B44" s="6">
        <f>B43/(1+$B$13)^5</f>
        <v>0</v>
      </c>
    </row>
    <row r="45" spans="1:6">
      <c r="A45" t="s">
        <v>44</v>
      </c>
      <c r="B45" s="6">
        <f>B10+B38+B44</f>
        <v>0</v>
      </c>
    </row>
    <row r="46" spans="1:6">
      <c r="A46" s="11" t="s">
        <v>45</v>
      </c>
      <c r="B46" s="12">
        <f>B45/B6</f>
        <v>0</v>
      </c>
    </row>
    <row r="47" spans="1:6">
      <c r="A47" t="s">
        <v>46</v>
      </c>
      <c r="B47" s="10">
        <f>B46/B11</f>
        <v>0</v>
      </c>
    </row>
    <row r="48" spans="1:6">
      <c r="A48" t="s">
        <v>47</v>
      </c>
      <c r="B48" s="13">
        <f>(B46-B5)/B5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cols>
    <col min="1" max="1" width="28.7109375" customWidth="1"/>
    <col min="2" max="8" width="13.7109375" customWidth="1"/>
  </cols>
  <sheetData>
    <row r="1" spans="1:2">
      <c r="A1" s="1" t="s">
        <v>48</v>
      </c>
    </row>
    <row r="2" spans="1:2">
      <c r="A2" s="2" t="s">
        <v>4</v>
      </c>
    </row>
    <row r="4" spans="1:2">
      <c r="A4" s="4" t="s">
        <v>5</v>
      </c>
    </row>
    <row r="5" spans="1:2">
      <c r="A5" t="s">
        <v>6</v>
      </c>
      <c r="B5" s="5">
        <v>19.65</v>
      </c>
    </row>
    <row r="6" spans="1:2">
      <c r="A6" t="s">
        <v>7</v>
      </c>
      <c r="B6" s="5">
        <v>8.199999999999999</v>
      </c>
    </row>
    <row r="7" spans="1:2">
      <c r="A7" t="s">
        <v>8</v>
      </c>
      <c r="B7" s="5">
        <v>184.5</v>
      </c>
    </row>
    <row r="8" spans="1:2">
      <c r="A8" t="s">
        <v>9</v>
      </c>
      <c r="B8" s="5">
        <v>20.417</v>
      </c>
    </row>
    <row r="9" spans="1:2">
      <c r="A9" t="s">
        <v>10</v>
      </c>
      <c r="B9" s="5">
        <v>5.416</v>
      </c>
    </row>
    <row r="10" spans="1:2">
      <c r="A10" t="s">
        <v>11</v>
      </c>
      <c r="B10" s="6">
        <f>B7-B8-B9</f>
        <v>0</v>
      </c>
    </row>
    <row r="11" spans="1:2">
      <c r="A11" t="s">
        <v>12</v>
      </c>
      <c r="B11" s="7">
        <f>B10/B6</f>
        <v>0</v>
      </c>
    </row>
    <row r="13" spans="1:2">
      <c r="A13" t="s">
        <v>13</v>
      </c>
      <c r="B13" s="8">
        <v>0.095</v>
      </c>
    </row>
    <row r="14" spans="1:2">
      <c r="A14" t="s">
        <v>49</v>
      </c>
      <c r="B14" s="5">
        <v>1.25</v>
      </c>
    </row>
    <row r="15" spans="1:2">
      <c r="A15" t="s">
        <v>15</v>
      </c>
      <c r="B15" s="8">
        <v>0.15</v>
      </c>
    </row>
    <row r="17" spans="1:4">
      <c r="A17" s="4" t="s">
        <v>16</v>
      </c>
    </row>
    <row r="18" spans="1:4">
      <c r="A18" s="9"/>
      <c r="B18" s="9" t="s">
        <v>17</v>
      </c>
      <c r="C18" s="9" t="s">
        <v>18</v>
      </c>
      <c r="D18" s="9" t="s">
        <v>19</v>
      </c>
    </row>
    <row r="19" spans="1:4">
      <c r="A19" t="s">
        <v>22</v>
      </c>
      <c r="B19" s="8">
        <v>0.035</v>
      </c>
      <c r="C19" s="8">
        <v>0.045</v>
      </c>
      <c r="D19" s="8">
        <v>0.052</v>
      </c>
    </row>
    <row r="20" spans="1:4">
      <c r="A20" t="s">
        <v>23</v>
      </c>
      <c r="B20" s="8">
        <v>0.04</v>
      </c>
      <c r="C20" s="8">
        <v>0.04</v>
      </c>
      <c r="D20" s="8">
        <v>0.035</v>
      </c>
    </row>
    <row r="22" spans="1:4">
      <c r="A22" s="4" t="s">
        <v>24</v>
      </c>
    </row>
    <row r="23" spans="1:4">
      <c r="A23" s="9"/>
      <c r="B23" s="9" t="s">
        <v>17</v>
      </c>
      <c r="C23" s="9" t="s">
        <v>18</v>
      </c>
      <c r="D23" s="9" t="s">
        <v>19</v>
      </c>
    </row>
    <row r="24" spans="1:4">
      <c r="A24" t="s">
        <v>25</v>
      </c>
      <c r="B24" s="6">
        <f>$B$10</f>
        <v>0</v>
      </c>
      <c r="C24" s="6">
        <f>B31</f>
        <v>0</v>
      </c>
      <c r="D24" s="6">
        <f>C31</f>
        <v>0</v>
      </c>
    </row>
    <row r="25" spans="1:4">
      <c r="A25" t="s">
        <v>26</v>
      </c>
      <c r="B25" s="6">
        <f>B19*B24</f>
        <v>0</v>
      </c>
      <c r="C25" s="6">
        <f>C19*C24</f>
        <v>0</v>
      </c>
      <c r="D25" s="6">
        <f>D19*D24</f>
        <v>0</v>
      </c>
    </row>
    <row r="26" spans="1:4">
      <c r="A26" t="s">
        <v>27</v>
      </c>
      <c r="B26" s="6">
        <f>(B19-$B$13)*B24</f>
        <v>0</v>
      </c>
      <c r="C26" s="6">
        <f>(C19-$B$13)*C24</f>
        <v>0</v>
      </c>
      <c r="D26" s="6">
        <f>(D19-$B$13)*D24</f>
        <v>0</v>
      </c>
    </row>
    <row r="27" spans="1:4">
      <c r="A27" t="s">
        <v>28</v>
      </c>
      <c r="B27" s="6">
        <f>B25*$B$15</f>
        <v>0</v>
      </c>
      <c r="C27" s="6">
        <f>C25*$B$15</f>
        <v>0</v>
      </c>
      <c r="D27" s="6">
        <f>D25*$B$15</f>
        <v>0</v>
      </c>
    </row>
    <row r="28" spans="1:4">
      <c r="A28" t="s">
        <v>29</v>
      </c>
      <c r="B28" s="6">
        <f>B25-B27</f>
        <v>0</v>
      </c>
      <c r="C28" s="6">
        <f>C25-C27</f>
        <v>0</v>
      </c>
      <c r="D28" s="6">
        <f>D25-D27</f>
        <v>0</v>
      </c>
    </row>
    <row r="29" spans="1:4">
      <c r="A29" t="s">
        <v>30</v>
      </c>
      <c r="B29" s="6">
        <f>$B$6*B20</f>
        <v>0</v>
      </c>
      <c r="C29" s="6">
        <f>B32*C20</f>
        <v>0</v>
      </c>
      <c r="D29" s="6">
        <f>C32*D20</f>
        <v>0</v>
      </c>
    </row>
    <row r="30" spans="1:4">
      <c r="A30" t="s">
        <v>31</v>
      </c>
      <c r="B30" s="6">
        <f>B29*(B24/$B$6)</f>
        <v>0</v>
      </c>
      <c r="C30" s="6">
        <f>C29*(C24/B32)</f>
        <v>0</v>
      </c>
      <c r="D30" s="6">
        <f>D29*(D24/C32)</f>
        <v>0</v>
      </c>
    </row>
    <row r="31" spans="1:4">
      <c r="A31" t="s">
        <v>32</v>
      </c>
      <c r="B31" s="6">
        <f>B24+B28-B30</f>
        <v>0</v>
      </c>
      <c r="C31" s="6">
        <f>C24+C28-C30</f>
        <v>0</v>
      </c>
      <c r="D31" s="6">
        <f>D24+D28-D30</f>
        <v>0</v>
      </c>
    </row>
    <row r="32" spans="1:4">
      <c r="A32" t="s">
        <v>33</v>
      </c>
      <c r="B32" s="6">
        <f>$B$6-B29</f>
        <v>0</v>
      </c>
      <c r="C32" s="6">
        <f>B32-C29</f>
        <v>0</v>
      </c>
      <c r="D32" s="6">
        <f>C32-D29</f>
        <v>0</v>
      </c>
    </row>
    <row r="33" spans="1:4">
      <c r="A33" t="s">
        <v>34</v>
      </c>
      <c r="B33" s="7">
        <f>B31/B32</f>
        <v>0</v>
      </c>
      <c r="C33" s="7">
        <f>C31/C32</f>
        <v>0</v>
      </c>
      <c r="D33" s="7">
        <f>D31/D32</f>
        <v>0</v>
      </c>
    </row>
    <row r="34" spans="1:4">
      <c r="A34" t="s">
        <v>35</v>
      </c>
      <c r="B34" s="6">
        <f>1/(1+$B$13)^1</f>
        <v>0</v>
      </c>
      <c r="C34" s="6">
        <f>1/(1+$B$13)^2</f>
        <v>0</v>
      </c>
      <c r="D34" s="6">
        <f>1/(1+$B$13)^3</f>
        <v>0</v>
      </c>
    </row>
    <row r="35" spans="1:4">
      <c r="A35" t="s">
        <v>36</v>
      </c>
      <c r="B35" s="6">
        <f>B26*B34</f>
        <v>0</v>
      </c>
      <c r="C35" s="6">
        <f>C26*C34</f>
        <v>0</v>
      </c>
      <c r="D35" s="6">
        <f>D26*D34</f>
        <v>0</v>
      </c>
    </row>
    <row r="37" spans="1:4">
      <c r="A37" s="4" t="s">
        <v>37</v>
      </c>
    </row>
    <row r="38" spans="1:4">
      <c r="A38" t="s">
        <v>38</v>
      </c>
      <c r="B38" s="6">
        <f>SUM(B35:D35)</f>
        <v>0</v>
      </c>
    </row>
    <row r="39" spans="1:4">
      <c r="A39" t="s">
        <v>39</v>
      </c>
      <c r="B39" s="6">
        <f>D31</f>
        <v>0</v>
      </c>
    </row>
    <row r="40" spans="1:4">
      <c r="A40" t="s">
        <v>33</v>
      </c>
      <c r="B40" s="6">
        <f>D32</f>
        <v>0</v>
      </c>
    </row>
    <row r="41" spans="1:4">
      <c r="A41" t="s">
        <v>40</v>
      </c>
      <c r="B41" s="10">
        <f>B14</f>
        <v>0</v>
      </c>
    </row>
    <row r="42" spans="1:4">
      <c r="A42" t="s">
        <v>41</v>
      </c>
      <c r="B42" s="6">
        <f>B39*B41</f>
        <v>0</v>
      </c>
    </row>
    <row r="43" spans="1:4">
      <c r="A43" t="s">
        <v>42</v>
      </c>
      <c r="B43" s="6">
        <f>B42-B39</f>
        <v>0</v>
      </c>
    </row>
    <row r="44" spans="1:4">
      <c r="A44" t="s">
        <v>43</v>
      </c>
      <c r="B44" s="6">
        <f>B43/(1+$B$13)^3</f>
        <v>0</v>
      </c>
    </row>
    <row r="45" spans="1:4">
      <c r="A45" t="s">
        <v>44</v>
      </c>
      <c r="B45" s="6">
        <f>B10+B38+B44</f>
        <v>0</v>
      </c>
    </row>
    <row r="46" spans="1:4">
      <c r="A46" s="11" t="s">
        <v>45</v>
      </c>
      <c r="B46" s="12">
        <f>B45/B6</f>
        <v>0</v>
      </c>
    </row>
    <row r="47" spans="1:4">
      <c r="A47" t="s">
        <v>46</v>
      </c>
      <c r="B47" s="10">
        <f>B46/B11</f>
        <v>0</v>
      </c>
    </row>
    <row r="48" spans="1:4">
      <c r="A48" t="s">
        <v>47</v>
      </c>
      <c r="B48" s="13">
        <f>(B46-B5)/B5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cols>
    <col min="1" max="1" width="28.7109375" customWidth="1"/>
    <col min="2" max="8" width="13.7109375" customWidth="1"/>
  </cols>
  <sheetData>
    <row r="1" spans="1:2">
      <c r="A1" s="1" t="s">
        <v>50</v>
      </c>
    </row>
    <row r="2" spans="1:2">
      <c r="A2" s="2" t="s">
        <v>4</v>
      </c>
    </row>
    <row r="4" spans="1:2">
      <c r="A4" s="4" t="s">
        <v>5</v>
      </c>
    </row>
    <row r="5" spans="1:2">
      <c r="A5" t="s">
        <v>6</v>
      </c>
      <c r="B5" s="5">
        <v>19.65</v>
      </c>
    </row>
    <row r="6" spans="1:2">
      <c r="A6" t="s">
        <v>7</v>
      </c>
      <c r="B6" s="5">
        <v>8.199999999999999</v>
      </c>
    </row>
    <row r="7" spans="1:2">
      <c r="A7" t="s">
        <v>8</v>
      </c>
      <c r="B7" s="5">
        <v>184.5</v>
      </c>
    </row>
    <row r="8" spans="1:2">
      <c r="A8" t="s">
        <v>9</v>
      </c>
      <c r="B8" s="5">
        <v>20.417</v>
      </c>
    </row>
    <row r="9" spans="1:2">
      <c r="A9" t="s">
        <v>10</v>
      </c>
      <c r="B9" s="5">
        <v>5.416</v>
      </c>
    </row>
    <row r="10" spans="1:2">
      <c r="A10" t="s">
        <v>11</v>
      </c>
      <c r="B10" s="6">
        <f>B7-B8-B9</f>
        <v>0</v>
      </c>
    </row>
    <row r="11" spans="1:2">
      <c r="A11" t="s">
        <v>12</v>
      </c>
      <c r="B11" s="7">
        <f>B10/B6</f>
        <v>0</v>
      </c>
    </row>
    <row r="13" spans="1:2">
      <c r="A13" t="s">
        <v>13</v>
      </c>
      <c r="B13" s="8">
        <v>0.105</v>
      </c>
    </row>
    <row r="14" spans="1:2">
      <c r="A14" t="s">
        <v>14</v>
      </c>
      <c r="B14" s="5">
        <v>0.775</v>
      </c>
    </row>
    <row r="15" spans="1:2">
      <c r="A15" t="s">
        <v>15</v>
      </c>
      <c r="B15" s="8">
        <v>0.2</v>
      </c>
    </row>
    <row r="17" spans="1:6">
      <c r="A17" s="4" t="s">
        <v>16</v>
      </c>
    </row>
    <row r="18" spans="1:6">
      <c r="A18" s="9"/>
      <c r="B18" s="9" t="s">
        <v>17</v>
      </c>
      <c r="C18" s="9" t="s">
        <v>18</v>
      </c>
      <c r="D18" s="9" t="s">
        <v>19</v>
      </c>
      <c r="E18" s="9" t="s">
        <v>20</v>
      </c>
      <c r="F18" s="9" t="s">
        <v>21</v>
      </c>
    </row>
    <row r="19" spans="1:6">
      <c r="A19" t="s">
        <v>22</v>
      </c>
      <c r="B19" s="8">
        <v>0.022</v>
      </c>
      <c r="C19" s="8">
        <v>0.024</v>
      </c>
      <c r="D19" s="8">
        <v>0.026</v>
      </c>
      <c r="E19" s="8">
        <v>0.028</v>
      </c>
      <c r="F19" s="8">
        <v>0.028</v>
      </c>
    </row>
    <row r="20" spans="1:6">
      <c r="A20" t="s">
        <v>23</v>
      </c>
      <c r="B20" s="8">
        <v>0.03</v>
      </c>
      <c r="C20" s="8">
        <v>0.025</v>
      </c>
      <c r="D20" s="8">
        <v>0.02</v>
      </c>
      <c r="E20" s="8">
        <v>0.02</v>
      </c>
      <c r="F20" s="8">
        <v>0.02</v>
      </c>
    </row>
    <row r="22" spans="1:6">
      <c r="A22" s="4" t="s">
        <v>24</v>
      </c>
    </row>
    <row r="23" spans="1:6">
      <c r="A23" s="9"/>
      <c r="B23" s="9" t="s">
        <v>17</v>
      </c>
      <c r="C23" s="9" t="s">
        <v>18</v>
      </c>
      <c r="D23" s="9" t="s">
        <v>19</v>
      </c>
      <c r="E23" s="9" t="s">
        <v>20</v>
      </c>
      <c r="F23" s="9" t="s">
        <v>21</v>
      </c>
    </row>
    <row r="24" spans="1:6">
      <c r="A24" t="s">
        <v>25</v>
      </c>
      <c r="B24" s="6">
        <f>$B$10</f>
        <v>0</v>
      </c>
      <c r="C24" s="6">
        <f>B31</f>
        <v>0</v>
      </c>
      <c r="D24" s="6">
        <f>C31</f>
        <v>0</v>
      </c>
      <c r="E24" s="6">
        <f>D31</f>
        <v>0</v>
      </c>
      <c r="F24" s="6">
        <f>E31</f>
        <v>0</v>
      </c>
    </row>
    <row r="25" spans="1:6">
      <c r="A25" t="s">
        <v>26</v>
      </c>
      <c r="B25" s="6">
        <f>B19*B24</f>
        <v>0</v>
      </c>
      <c r="C25" s="6">
        <f>C19*C24</f>
        <v>0</v>
      </c>
      <c r="D25" s="6">
        <f>D19*D24</f>
        <v>0</v>
      </c>
      <c r="E25" s="6">
        <f>E19*E24</f>
        <v>0</v>
      </c>
      <c r="F25" s="6">
        <f>F19*F24</f>
        <v>0</v>
      </c>
    </row>
    <row r="26" spans="1:6">
      <c r="A26" t="s">
        <v>27</v>
      </c>
      <c r="B26" s="6">
        <f>(B19-$B$13)*B24</f>
        <v>0</v>
      </c>
      <c r="C26" s="6">
        <f>(C19-$B$13)*C24</f>
        <v>0</v>
      </c>
      <c r="D26" s="6">
        <f>(D19-$B$13)*D24</f>
        <v>0</v>
      </c>
      <c r="E26" s="6">
        <f>(E19-$B$13)*E24</f>
        <v>0</v>
      </c>
      <c r="F26" s="6">
        <f>(F19-$B$13)*F24</f>
        <v>0</v>
      </c>
    </row>
    <row r="27" spans="1:6">
      <c r="A27" t="s">
        <v>28</v>
      </c>
      <c r="B27" s="6">
        <f>B25*$B$15</f>
        <v>0</v>
      </c>
      <c r="C27" s="6">
        <f>C25*$B$15</f>
        <v>0</v>
      </c>
      <c r="D27" s="6">
        <f>D25*$B$15</f>
        <v>0</v>
      </c>
      <c r="E27" s="6">
        <f>E25*$B$15</f>
        <v>0</v>
      </c>
      <c r="F27" s="6">
        <f>F25*$B$15</f>
        <v>0</v>
      </c>
    </row>
    <row r="28" spans="1:6">
      <c r="A28" t="s">
        <v>29</v>
      </c>
      <c r="B28" s="6">
        <f>B25-B27</f>
        <v>0</v>
      </c>
      <c r="C28" s="6">
        <f>C25-C27</f>
        <v>0</v>
      </c>
      <c r="D28" s="6">
        <f>D25-D27</f>
        <v>0</v>
      </c>
      <c r="E28" s="6">
        <f>E25-E27</f>
        <v>0</v>
      </c>
      <c r="F28" s="6">
        <f>F25-F27</f>
        <v>0</v>
      </c>
    </row>
    <row r="29" spans="1:6">
      <c r="A29" t="s">
        <v>30</v>
      </c>
      <c r="B29" s="6">
        <f>$B$6*B20</f>
        <v>0</v>
      </c>
      <c r="C29" s="6">
        <f>B32*C20</f>
        <v>0</v>
      </c>
      <c r="D29" s="6">
        <f>C32*D20</f>
        <v>0</v>
      </c>
      <c r="E29" s="6">
        <f>D32*E20</f>
        <v>0</v>
      </c>
      <c r="F29" s="6">
        <f>E32*F20</f>
        <v>0</v>
      </c>
    </row>
    <row r="30" spans="1:6">
      <c r="A30" t="s">
        <v>31</v>
      </c>
      <c r="B30" s="6">
        <f>B29*(B24/$B$6)</f>
        <v>0</v>
      </c>
      <c r="C30" s="6">
        <f>C29*(C24/B32)</f>
        <v>0</v>
      </c>
      <c r="D30" s="6">
        <f>D29*(D24/C32)</f>
        <v>0</v>
      </c>
      <c r="E30" s="6">
        <f>E29*(E24/D32)</f>
        <v>0</v>
      </c>
      <c r="F30" s="6">
        <f>F29*(F24/E32)</f>
        <v>0</v>
      </c>
    </row>
    <row r="31" spans="1:6">
      <c r="A31" t="s">
        <v>32</v>
      </c>
      <c r="B31" s="6">
        <f>B24+B28-B30</f>
        <v>0</v>
      </c>
      <c r="C31" s="6">
        <f>C24+C28-C30</f>
        <v>0</v>
      </c>
      <c r="D31" s="6">
        <f>D24+D28-D30</f>
        <v>0</v>
      </c>
      <c r="E31" s="6">
        <f>E24+E28-E30</f>
        <v>0</v>
      </c>
      <c r="F31" s="6">
        <f>F24+F28-F30</f>
        <v>0</v>
      </c>
    </row>
    <row r="32" spans="1:6">
      <c r="A32" t="s">
        <v>33</v>
      </c>
      <c r="B32" s="6">
        <f>$B$6-B29</f>
        <v>0</v>
      </c>
      <c r="C32" s="6">
        <f>B32-C29</f>
        <v>0</v>
      </c>
      <c r="D32" s="6">
        <f>C32-D29</f>
        <v>0</v>
      </c>
      <c r="E32" s="6">
        <f>D32-E29</f>
        <v>0</v>
      </c>
      <c r="F32" s="6">
        <f>E32-F29</f>
        <v>0</v>
      </c>
    </row>
    <row r="33" spans="1:6">
      <c r="A33" t="s">
        <v>34</v>
      </c>
      <c r="B33" s="7">
        <f>B31/B32</f>
        <v>0</v>
      </c>
      <c r="C33" s="7">
        <f>C31/C32</f>
        <v>0</v>
      </c>
      <c r="D33" s="7">
        <f>D31/D32</f>
        <v>0</v>
      </c>
      <c r="E33" s="7">
        <f>E31/E32</f>
        <v>0</v>
      </c>
      <c r="F33" s="7">
        <f>F31/F32</f>
        <v>0</v>
      </c>
    </row>
    <row r="34" spans="1:6">
      <c r="A34" t="s">
        <v>35</v>
      </c>
      <c r="B34" s="6">
        <f>1/(1+$B$13)^1</f>
        <v>0</v>
      </c>
      <c r="C34" s="6">
        <f>1/(1+$B$13)^2</f>
        <v>0</v>
      </c>
      <c r="D34" s="6">
        <f>1/(1+$B$13)^3</f>
        <v>0</v>
      </c>
      <c r="E34" s="6">
        <f>1/(1+$B$13)^4</f>
        <v>0</v>
      </c>
      <c r="F34" s="6">
        <f>1/(1+$B$13)^5</f>
        <v>0</v>
      </c>
    </row>
    <row r="35" spans="1:6">
      <c r="A35" t="s">
        <v>36</v>
      </c>
      <c r="B35" s="6">
        <f>B26*B34</f>
        <v>0</v>
      </c>
      <c r="C35" s="6">
        <f>C26*C34</f>
        <v>0</v>
      </c>
      <c r="D35" s="6">
        <f>D26*D34</f>
        <v>0</v>
      </c>
      <c r="E35" s="6">
        <f>E26*E34</f>
        <v>0</v>
      </c>
      <c r="F35" s="6">
        <f>F26*F34</f>
        <v>0</v>
      </c>
    </row>
    <row r="37" spans="1:6">
      <c r="A37" s="4" t="s">
        <v>37</v>
      </c>
    </row>
    <row r="38" spans="1:6">
      <c r="A38" t="s">
        <v>38</v>
      </c>
      <c r="B38" s="6">
        <f>SUM(B35:F35)</f>
        <v>0</v>
      </c>
    </row>
    <row r="39" spans="1:6">
      <c r="A39" t="s">
        <v>39</v>
      </c>
      <c r="B39" s="6">
        <f>F31</f>
        <v>0</v>
      </c>
    </row>
    <row r="40" spans="1:6">
      <c r="A40" t="s">
        <v>33</v>
      </c>
      <c r="B40" s="6">
        <f>F32</f>
        <v>0</v>
      </c>
    </row>
    <row r="41" spans="1:6">
      <c r="A41" t="s">
        <v>40</v>
      </c>
      <c r="B41" s="10">
        <f>B14</f>
        <v>0</v>
      </c>
    </row>
    <row r="42" spans="1:6">
      <c r="A42" t="s">
        <v>41</v>
      </c>
      <c r="B42" s="6">
        <f>B39*B41</f>
        <v>0</v>
      </c>
    </row>
    <row r="43" spans="1:6">
      <c r="A43" t="s">
        <v>42</v>
      </c>
      <c r="B43" s="6">
        <f>B42-B39</f>
        <v>0</v>
      </c>
    </row>
    <row r="44" spans="1:6">
      <c r="A44" t="s">
        <v>43</v>
      </c>
      <c r="B44" s="6">
        <f>B43/(1+$B$13)^5</f>
        <v>0</v>
      </c>
    </row>
    <row r="45" spans="1:6">
      <c r="A45" t="s">
        <v>44</v>
      </c>
      <c r="B45" s="6">
        <f>B10+B38+B44</f>
        <v>0</v>
      </c>
    </row>
    <row r="46" spans="1:6">
      <c r="A46" s="11" t="s">
        <v>45</v>
      </c>
      <c r="B46" s="12">
        <f>B45/B6</f>
        <v>0</v>
      </c>
    </row>
    <row r="47" spans="1:6">
      <c r="A47" t="s">
        <v>46</v>
      </c>
      <c r="B47" s="10">
        <f>B46/B11</f>
        <v>0</v>
      </c>
    </row>
    <row r="48" spans="1:6">
      <c r="A48" t="s">
        <v>47</v>
      </c>
      <c r="B48" s="13">
        <f>(B46-B5)/B5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32.7109375" customWidth="1"/>
    <col min="2" max="5" width="14.7109375" customWidth="1"/>
  </cols>
  <sheetData>
    <row r="1" spans="1:5">
      <c r="A1" s="1" t="s">
        <v>51</v>
      </c>
    </row>
    <row r="3" spans="1:5">
      <c r="A3" s="4" t="s">
        <v>52</v>
      </c>
    </row>
    <row r="4" spans="1:5">
      <c r="A4" s="9" t="s">
        <v>53</v>
      </c>
      <c r="B4" s="9" t="s">
        <v>54</v>
      </c>
      <c r="C4" s="9" t="s">
        <v>55</v>
      </c>
      <c r="D4" s="9" t="s">
        <v>56</v>
      </c>
      <c r="E4" s="9" t="s">
        <v>57</v>
      </c>
    </row>
    <row r="5" spans="1:5">
      <c r="A5" t="s">
        <v>58</v>
      </c>
      <c r="B5" s="7">
        <f>'Bear Case'!B46</f>
        <v>0</v>
      </c>
      <c r="C5" s="14">
        <f>(B5-B10)/B10</f>
        <v>0</v>
      </c>
      <c r="D5" s="10">
        <f>'Bear Case'!B47</f>
        <v>0</v>
      </c>
      <c r="E5" s="8">
        <v>0.25</v>
      </c>
    </row>
    <row r="6" spans="1:5">
      <c r="A6" t="s">
        <v>59</v>
      </c>
      <c r="B6" s="7">
        <f>'Base Case'!B46</f>
        <v>0</v>
      </c>
      <c r="C6" s="14">
        <f>(B6-B10)/B10</f>
        <v>0</v>
      </c>
      <c r="D6" s="10">
        <f>'Base Case'!B47</f>
        <v>0</v>
      </c>
      <c r="E6" s="8">
        <v>0.45</v>
      </c>
    </row>
    <row r="7" spans="1:5">
      <c r="A7" t="s">
        <v>60</v>
      </c>
      <c r="B7" s="7">
        <f>'Bull Case'!B46</f>
        <v>0</v>
      </c>
      <c r="C7" s="14">
        <f>(B7-B10)/B10</f>
        <v>0</v>
      </c>
      <c r="D7" s="10">
        <f>'Bull Case'!B47</f>
        <v>0</v>
      </c>
      <c r="E7" s="8">
        <v>0.3</v>
      </c>
    </row>
    <row r="9" spans="1:5">
      <c r="A9" t="s">
        <v>6</v>
      </c>
      <c r="B9" s="6"/>
    </row>
    <row r="10" spans="1:5">
      <c r="A10" t="s">
        <v>61</v>
      </c>
      <c r="B10" s="5">
        <v>19.65</v>
      </c>
    </row>
    <row r="12" spans="1:5">
      <c r="A12" s="11" t="s">
        <v>62</v>
      </c>
      <c r="B12" s="12">
        <f>B5*E5+B6*E6+B7*E7</f>
        <v>0</v>
      </c>
    </row>
    <row r="13" spans="1:5">
      <c r="A13" t="s">
        <v>63</v>
      </c>
      <c r="B13" s="13">
        <f>(B12-B10)/B10</f>
        <v>0</v>
      </c>
    </row>
    <row r="15" spans="1:5">
      <c r="A15" s="4" t="s">
        <v>64</v>
      </c>
    </row>
    <row r="16" spans="1:5">
      <c r="A16" t="s">
        <v>65</v>
      </c>
      <c r="B16" s="6">
        <f>'Base Case'!B42</f>
        <v>0</v>
      </c>
    </row>
    <row r="17" spans="1:2">
      <c r="A17" t="s">
        <v>66</v>
      </c>
      <c r="B17" s="6">
        <f>'Base Case'!B40</f>
        <v>0</v>
      </c>
    </row>
    <row r="18" spans="1:2">
      <c r="A18" t="s">
        <v>67</v>
      </c>
      <c r="B18" s="7">
        <f>B16/B17</f>
        <v>0</v>
      </c>
    </row>
    <row r="19" spans="1:2">
      <c r="A19" t="s">
        <v>68</v>
      </c>
      <c r="B19" s="5">
        <v>5</v>
      </c>
    </row>
    <row r="20" spans="1:2">
      <c r="A20" t="s">
        <v>69</v>
      </c>
      <c r="B20" s="12">
        <f>B18/(1.15^B19)</f>
        <v>0</v>
      </c>
    </row>
    <row r="21" spans="1:2">
      <c r="A21" t="s">
        <v>70</v>
      </c>
      <c r="B21" s="13">
        <f>(B20-B10)/B10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20.7109375" customWidth="1"/>
    <col min="2" max="7" width="12.7109375" customWidth="1"/>
  </cols>
  <sheetData>
    <row r="1" spans="1:6">
      <c r="A1" s="1" t="s">
        <v>71</v>
      </c>
    </row>
    <row r="2" spans="1:6">
      <c r="A2" t="s">
        <v>72</v>
      </c>
    </row>
    <row r="3" spans="1:6">
      <c r="A3" s="15" t="s">
        <v>73</v>
      </c>
    </row>
    <row r="5" spans="1:6">
      <c r="A5" s="9" t="s">
        <v>74</v>
      </c>
      <c r="B5" s="16">
        <v>0.75</v>
      </c>
      <c r="C5" s="16">
        <v>0.85</v>
      </c>
      <c r="D5" s="16">
        <v>0.95</v>
      </c>
      <c r="E5" s="16">
        <v>1.05</v>
      </c>
      <c r="F5" s="16">
        <v>1.15</v>
      </c>
    </row>
    <row r="6" spans="1:6">
      <c r="A6" s="17">
        <v>0.08</v>
      </c>
      <c r="B6" s="7">
        <v>13.06</v>
      </c>
      <c r="C6" s="7">
        <v>14.39</v>
      </c>
      <c r="D6" s="7">
        <v>15.72</v>
      </c>
      <c r="E6" s="7">
        <v>17.04</v>
      </c>
      <c r="F6" s="7">
        <v>18.37</v>
      </c>
    </row>
    <row r="7" spans="1:6">
      <c r="A7" s="17">
        <v>0.09</v>
      </c>
      <c r="B7" s="7">
        <v>12.53</v>
      </c>
      <c r="C7" s="7">
        <v>13.8</v>
      </c>
      <c r="D7" s="7">
        <v>15.07</v>
      </c>
      <c r="E7" s="7">
        <v>16.34</v>
      </c>
      <c r="F7" s="7">
        <v>17.6</v>
      </c>
    </row>
    <row r="8" spans="1:6">
      <c r="A8" s="17">
        <v>0.1</v>
      </c>
      <c r="B8" s="7">
        <v>12.03</v>
      </c>
      <c r="C8" s="7">
        <v>13.24</v>
      </c>
      <c r="D8" s="7">
        <v>14.46</v>
      </c>
      <c r="E8" s="7">
        <v>15.67</v>
      </c>
      <c r="F8" s="7">
        <v>16.88</v>
      </c>
    </row>
    <row r="9" spans="1:6">
      <c r="A9" s="17">
        <v>0.11</v>
      </c>
      <c r="B9" s="7">
        <v>11.56</v>
      </c>
      <c r="C9" s="7">
        <v>12.72</v>
      </c>
      <c r="D9" s="7">
        <v>13.87</v>
      </c>
      <c r="E9" s="7">
        <v>15.03</v>
      </c>
      <c r="F9" s="7">
        <v>16.19</v>
      </c>
    </row>
    <row r="10" spans="1:6">
      <c r="A10" s="17">
        <v>0.12</v>
      </c>
      <c r="B10" s="7">
        <v>11.11</v>
      </c>
      <c r="C10" s="7">
        <v>12.21</v>
      </c>
      <c r="D10" s="7">
        <v>13.32</v>
      </c>
      <c r="E10" s="7">
        <v>14.43</v>
      </c>
      <c r="F10" s="7">
        <v>15.53</v>
      </c>
    </row>
    <row r="12" spans="1:6">
      <c r="A12" s="15" t="s">
        <v>75</v>
      </c>
    </row>
    <row r="13" spans="1:6">
      <c r="A13" s="15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34.7109375" customWidth="1"/>
    <col min="2" max="3" width="16.7109375" customWidth="1"/>
  </cols>
  <sheetData>
    <row r="1" spans="1:2">
      <c r="A1" s="1" t="s">
        <v>77</v>
      </c>
    </row>
    <row r="2" spans="1:2">
      <c r="A2" s="2" t="s">
        <v>78</v>
      </c>
    </row>
    <row r="4" spans="1:2">
      <c r="A4" s="9" t="s">
        <v>79</v>
      </c>
      <c r="B4" s="9" t="s">
        <v>80</v>
      </c>
    </row>
    <row r="5" spans="1:2">
      <c r="A5" t="s">
        <v>81</v>
      </c>
      <c r="B5" s="14">
        <v>0.5004999999999999</v>
      </c>
    </row>
    <row r="6" spans="1:2">
      <c r="A6" t="s">
        <v>82</v>
      </c>
      <c r="B6" s="14">
        <v>0.1792</v>
      </c>
    </row>
    <row r="7" spans="1:2">
      <c r="A7" t="s">
        <v>83</v>
      </c>
      <c r="B7" s="14">
        <v>0.0068</v>
      </c>
    </row>
    <row r="8" spans="1:2">
      <c r="A8" t="s">
        <v>84</v>
      </c>
      <c r="B8" s="14">
        <v>0.3549</v>
      </c>
    </row>
    <row r="10" spans="1:2">
      <c r="A10" s="11" t="s">
        <v>85</v>
      </c>
    </row>
    <row r="11" spans="1:2" ht="220" customHeight="1">
      <c r="A11" s="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Base Case</vt:lpstr>
      <vt:lpstr>Bull Case</vt:lpstr>
      <vt:lpstr>Bear Case</vt:lpstr>
      <vt:lpstr>Summary</vt:lpstr>
      <vt:lpstr>Sensitivity</vt:lpstr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2026-07-17T23:56:01Z</dcterms:created>
  <dcterms:modified xsi:type="dcterms:W3CDTF">2026-07-17T23:56:01Z</dcterms:modified>
</cp:coreProperties>
</file>