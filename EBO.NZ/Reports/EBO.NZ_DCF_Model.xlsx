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<sst xmlns="http://schemas.openxmlformats.org/spreadsheetml/2006/main" count="77" uniqueCount="70">
  <si>
    <t>EBO.NZ DCF Valuation Model</t>
  </si>
  <si>
    <t>Gray cells are INPUTS - adjust to see valuation change</t>
  </si>
  <si>
    <t>Note: Financials in AUD. Stock price in NZD.</t>
  </si>
  <si>
    <t>KEY INPUTS</t>
  </si>
  <si>
    <t>Current Stock Price (NZD)</t>
  </si>
  <si>
    <t>Shares Outstanding (M)</t>
  </si>
  <si>
    <t>Cash &amp; Equivalents (M AUD)</t>
  </si>
  <si>
    <t>Total Debt (M AUD)</t>
  </si>
  <si>
    <t>Net Debt (M AUD)</t>
  </si>
  <si>
    <t>Base Year FCF (M AUD)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</si>
  <si>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</si>
  <si>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</si>
  <si>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</si>
  <si>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</si>
  <si>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</si>
  <si>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</si>
  <si>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</si>
  <si>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</si>
  <si>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</si>
  <si>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</si>
  <si>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</si>
  <si>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 (M AUD)</t>
  </si>
  <si>
    <t>Discount Factor</t>
  </si>
  <si>
    <t>PV of FCF</t>
  </si>
  <si>
    <t>VALUATION</t>
  </si>
  <si>
    <t>Sum of PV of FCF</t>
  </si>
  <si>
    <t>Terminal FCF (Year 5 * (1+g))</t>
  </si>
  <si>
    <t>Terminal Value (M AUD)</t>
  </si>
  <si>
    <t>PV of Terminal Value</t>
  </si>
  <si>
    <t>Enterprise Value (M AUD)</t>
  </si>
  <si>
    <t>Less: Net Debt (M AUD)</t>
  </si>
  <si>
    <t>Equity Value (M AUD)</t>
  </si>
  <si>
    <t>INTRINSIC VALUE/SHARE (NZD)</t>
  </si>
  <si>
    <t>ENTRY PRICE (15% CAGR Target)</t>
  </si>
  <si>
    <t>Terminal Value per Share (NZD)</t>
  </si>
  <si>
    <t>Entry Price (15% CAGR) (NZD)</t>
  </si>
  <si>
    <t>Upside to Intrinsic Value</t>
  </si>
  <si>
    <t>Discount to Entry Price</t>
  </si>
  <si>
    <t>Sensitivity Analysis</t>
  </si>
  <si>
    <t>Intrinsic Value per Share (NZD) by WACC &amp; Terminal Growth</t>
  </si>
  <si>
    <t>Current Price: NZD $37.5</t>
  </si>
  <si>
    <t>WACC \ Term G</t>
  </si>
  <si>
    <t>Historical Growth Rates</t>
  </si>
  <si>
    <t>AUD Period: FY2019-FY2025</t>
  </si>
  <si>
    <t>Metric</t>
  </si>
  <si>
    <t>3-Year CAGR</t>
  </si>
  <si>
    <t>5-Year CAGR</t>
  </si>
  <si>
    <t>Revenue</t>
  </si>
  <si>
    <t>EPS</t>
  </si>
  <si>
    <t>Equity</t>
  </si>
  <si>
    <t>FCF</t>
  </si>
  <si>
    <t>Selected Growth Rate:</t>
  </si>
  <si>
    <t>Source:</t>
  </si>
  <si>
    <t>equity_5yr_cagr (adjusted for defensiveness)</t>
  </si>
  <si>
    <t>Scenario Analysis</t>
  </si>
  <si>
    <t>Compare Bull, Base, and Bear Cases</t>
  </si>
  <si>
    <t>Assumption</t>
  </si>
  <si>
    <t>Bear</t>
  </si>
  <si>
    <t>Bull</t>
  </si>
  <si>
    <t>Terminal Growth</t>
  </si>
  <si>
    <t>Year 1 Growth</t>
  </si>
  <si>
    <t>Year 2 Growth</t>
  </si>
  <si>
    <t>Year 3 Growth</t>
  </si>
  <si>
    <t>Year 4 Growth</t>
  </si>
  <si>
    <t>Year 5 Growth</t>
  </si>
  <si>
    <t>RESULTS</t>
  </si>
  <si>
    <t>Intrinsic Value (NZD)</t>
  </si>
  <si>
    <t>Upside / (Downside)</t>
  </si>
  <si>
    <t>Probability-Weighted IV</t>
  </si>
  <si>
    <t>Weights: Bear 25%, Base 50%, Bull 25%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</si>
</sst>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6" fontId="5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165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</row>
    <row r="6" spans="1:6">
      <c r="A6" t="s">
        <v>4</v>
      </c>
      <c r="B6" s="5">
        <v>37.5</v>
      </c>
    </row>
    <row r="7" spans="1:6">
      <c r="A7" t="s">
        <v>5</v>
      </c>
      <c r="B7" s="5">
        <v>196.1</v>
      </c>
    </row>
    <row r="8" spans="1:6">
      <c r="A8" t="s">
        <v>6</v>
      </c>
      <c r="B8" s="5">
        <v>184.3</v>
      </c>
    </row>
    <row r="9" spans="1:6">
      <c r="A9" t="s">
        <v>7</v>
      </c>
      <c r="B9" s="5">
        <v>1102.5</v>
      </c>
    </row>
    <row r="10" spans="1:6">
      <c r="A10" t="s">
        <v>8</v>
      </c>
      <c r="B10" s="6">
        <f>B9-B8</f>
        <v>0</v>
      </c>
    </row>
    <row r="11" spans="1:6">
      <c r="A11" t="s">
        <v>9</v>
      </c>
      <c r="B11" s="5">
        <v>293.4</v>
      </c>
    </row>
    <row r="13" spans="1:6">
      <c r="A13" t="s">
        <v>10</v>
      </c>
      <c r="B13" s="7">
        <v>0.095</v>
      </c>
    </row>
    <row r="14" spans="1:6">
      <c r="A14" t="s">
        <v>11</v>
      </c>
      <c r="B14" s="7">
        <v>0.025</v>
      </c>
    </row>
    <row r="16" spans="1:6">
      <c r="A16" s="4" t="s">
        <v>12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spans="1:7">
      <c r="A17" t="s">
        <v>13</v>
      </c>
      <c r="B17" s="7">
        <v>0.1</v>
      </c>
      <c r="C17" s="7">
        <v>0.08500000000000001</v>
      </c>
      <c r="D17" s="7">
        <v>0.07000000000000001</v>
      </c>
      <c r="E17" s="7">
        <v>0.055</v>
      </c>
      <c r="F17" s="7">
        <v>0.04</v>
      </c>
    </row>
    <row r="19" spans="1:7">
      <c r="A19" s="4" t="s">
        <v>19</v>
      </c>
    </row>
    <row r="20" spans="1:7">
      <c r="A20" s="8"/>
      <c r="B20" s="8" t="s">
        <v>20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18</v>
      </c>
    </row>
    <row r="21" spans="1:7">
      <c r="A21" t="s">
        <v>21</v>
      </c>
      <c r="B21" s="6">
        <f>B11</f>
        <v>0</v>
      </c>
      <c r="C21" s="6">
        <f>B21*(1+B17)</f>
        <v>0</v>
      </c>
      <c r="D21" s="6">
        <f>C21*(1+C17)</f>
        <v>0</v>
      </c>
      <c r="E21" s="6">
        <f>D21*(1+D17)</f>
        <v>0</v>
      </c>
      <c r="F21" s="6">
        <f>E21*(1+E17)</f>
        <v>0</v>
      </c>
      <c r="G21" s="6">
        <f>F21*(1+F17)</f>
        <v>0</v>
      </c>
    </row>
    <row r="22" spans="1:7">
      <c r="A22" t="s">
        <v>22</v>
      </c>
      <c r="C22" s="6">
        <f>1/(1+$B$13)^1</f>
        <v>0</v>
      </c>
      <c r="D22" s="6">
        <f>1/(1+$B$13)^2</f>
        <v>0</v>
      </c>
      <c r="E22" s="6">
        <f>1/(1+$B$13)^3</f>
        <v>0</v>
      </c>
      <c r="F22" s="6">
        <f>1/(1+$B$13)^4</f>
        <v>0</v>
      </c>
      <c r="G22" s="6">
        <f>1/(1+$B$13)^5</f>
        <v>0</v>
      </c>
    </row>
    <row r="23" spans="1:7">
      <c r="A23" t="s">
        <v>23</v>
      </c>
      <c r="C23" s="6">
        <f>C21*C22</f>
        <v>0</v>
      </c>
      <c r="D23" s="6">
        <f>D21*D22</f>
        <v>0</v>
      </c>
      <c r="E23" s="6">
        <f>E21*E22</f>
        <v>0</v>
      </c>
      <c r="F23" s="6">
        <f>F21*F22</f>
        <v>0</v>
      </c>
      <c r="G23" s="6">
        <f>G21*G22</f>
        <v>0</v>
      </c>
    </row>
    <row r="25" spans="1:7">
      <c r="A25" s="4" t="s">
        <v>24</v>
      </c>
    </row>
    <row r="26" spans="1:7">
      <c r="A26" t="s">
        <v>25</v>
      </c>
      <c r="B26" s="6">
        <f>SUM(C23:G23)</f>
        <v>0</v>
      </c>
    </row>
    <row r="27" spans="1:7">
      <c r="A27" t="s">
        <v>26</v>
      </c>
      <c r="B27" s="6">
        <f>G21*(1+$B$14)</f>
        <v>0</v>
      </c>
    </row>
    <row r="28" spans="1:7">
      <c r="A28" t="s">
        <v>27</v>
      </c>
      <c r="B28" s="6">
        <f>B27/($B$13-$B$14)</f>
        <v>0</v>
      </c>
    </row>
    <row r="29" spans="1:7">
      <c r="A29" t="s">
        <v>28</v>
      </c>
      <c r="B29" s="6">
        <f>B28*G22</f>
        <v>0</v>
      </c>
    </row>
    <row r="30" spans="1:7">
      <c r="A30" t="s">
        <v>29</v>
      </c>
      <c r="B30" s="6">
        <f>B26+B29</f>
        <v>0</v>
      </c>
    </row>
    <row r="31" spans="1:7">
      <c r="A31" t="s">
        <v>30</v>
      </c>
      <c r="B31" s="6">
        <f>B10</f>
        <v>0</v>
      </c>
    </row>
    <row r="32" spans="1:7">
      <c r="A32" t="s">
        <v>31</v>
      </c>
      <c r="B32" s="6">
        <f>B30-B31</f>
        <v>0</v>
      </c>
    </row>
    <row r="33" spans="1:2">
      <c r="A33" s="9" t="s">
        <v>32</v>
      </c>
      <c r="B33" s="10">
        <f>B32/B7</f>
        <v>0</v>
      </c>
    </row>
    <row r="35" spans="1:2">
      <c r="A35" s="4" t="s">
        <v>33</v>
      </c>
    </row>
    <row r="36" spans="1:2">
      <c r="A36" t="s">
        <v>34</v>
      </c>
      <c r="B36" s="11">
        <f>B28/B7</f>
        <v>0</v>
      </c>
    </row>
    <row r="37" spans="1:2">
      <c r="A37" t="s">
        <v>35</v>
      </c>
      <c r="B37" s="10">
        <f>B36/(1.15^5)</f>
        <v>0</v>
      </c>
    </row>
    <row r="39" spans="1:2">
      <c r="A39" t="s">
        <v>36</v>
      </c>
      <c r="B39" s="12">
        <f>(B33-B6)/B6</f>
        <v>0</v>
      </c>
    </row>
    <row r="40" spans="1:2">
      <c r="A40" t="s">
        <v>37</v>
      </c>
      <c r="B40" s="12">
        <f>(B6-B37)/B37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38</v>
      </c>
    </row>
    <row r="2" spans="1:6">
      <c r="A2" t="s">
        <v>39</v>
      </c>
    </row>
    <row r="3" spans="1:6">
      <c r="A3" s="3" t="s">
        <v>40</v>
      </c>
    </row>
    <row r="5" spans="1:6">
      <c r="A5" s="8" t="s">
        <v>41</v>
      </c>
      <c r="B5" s="13">
        <v>0.015</v>
      </c>
      <c r="C5" s="13">
        <v>0.02</v>
      </c>
      <c r="D5" s="13">
        <v>0.025</v>
      </c>
      <c r="E5" s="13">
        <v>0.03</v>
      </c>
      <c r="F5" s="13">
        <v>0.035</v>
      </c>
    </row>
    <row r="6" spans="1:6">
      <c r="A6" s="13">
        <v>0.07000000000000001</v>
      </c>
      <c r="B6" s="11">
        <v>30.59</v>
      </c>
      <c r="C6" s="11">
        <v>33.5</v>
      </c>
      <c r="D6" s="11">
        <v>37.05</v>
      </c>
      <c r="E6" s="11">
        <v>41.5</v>
      </c>
      <c r="F6" s="11">
        <v>47.21</v>
      </c>
    </row>
    <row r="7" spans="1:6">
      <c r="A7" s="13">
        <v>0.08</v>
      </c>
      <c r="B7" s="11">
        <v>25.08</v>
      </c>
      <c r="C7" s="11">
        <v>27.05</v>
      </c>
      <c r="D7" s="11">
        <v>29.39</v>
      </c>
      <c r="E7" s="11">
        <v>32.19</v>
      </c>
      <c r="F7" s="11">
        <v>35.61</v>
      </c>
    </row>
    <row r="8" spans="1:6">
      <c r="A8" s="13">
        <v>0.09</v>
      </c>
      <c r="B8" s="11">
        <v>21.04</v>
      </c>
      <c r="C8" s="11">
        <v>22.45</v>
      </c>
      <c r="D8" s="11">
        <v>24.08</v>
      </c>
      <c r="E8" s="11">
        <v>25.99</v>
      </c>
      <c r="F8" s="11">
        <v>28.24</v>
      </c>
    </row>
    <row r="9" spans="1:6">
      <c r="A9" s="13">
        <v>0.1</v>
      </c>
      <c r="B9" s="11">
        <v>17.95</v>
      </c>
      <c r="C9" s="11">
        <v>19</v>
      </c>
      <c r="D9" s="11">
        <v>20.19</v>
      </c>
      <c r="E9" s="11">
        <v>21.56</v>
      </c>
      <c r="F9" s="11">
        <v>23.13</v>
      </c>
    </row>
    <row r="10" spans="1:6">
      <c r="A10" s="13">
        <v>0.11</v>
      </c>
      <c r="B10" s="11">
        <v>15.51</v>
      </c>
      <c r="C10" s="11">
        <v>16.32</v>
      </c>
      <c r="D10" s="11">
        <v>17.22</v>
      </c>
      <c r="E10" s="11">
        <v>18.24</v>
      </c>
      <c r="F10" s="11">
        <v>19.39</v>
      </c>
    </row>
  </sheetData>
  <conditionalFormatting sqref="B6:F10">
    <cfRule type="colorScale" priority="1">
      <colorScale>
        <cfvo type="min" val="0"/>
        <cfvo type="percentile" val="50"/>
        <cfvo type="max" val="0"/>
        <color rgb="FFFF7675"/>
        <color rgb="FFFFEAA7"/>
        <color rgb="FF55EF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42</v>
      </c>
    </row>
    <row r="2" spans="1:3">
      <c r="A2" s="3" t="s">
        <v>43</v>
      </c>
    </row>
    <row r="4" spans="1:3">
      <c r="A4" s="8" t="s">
        <v>44</v>
      </c>
      <c r="B4" s="8" t="s">
        <v>45</v>
      </c>
      <c r="C4" s="8" t="s">
        <v>46</v>
      </c>
    </row>
    <row r="5" spans="1:3">
      <c r="A5" t="s">
        <v>47</v>
      </c>
      <c r="B5" s="12">
        <v>0.045</v>
      </c>
      <c r="C5" s="12">
        <v>0.07000000000000001</v>
      </c>
    </row>
    <row r="6" spans="1:3">
      <c r="A6" t="s">
        <v>48</v>
      </c>
      <c r="B6" s="12">
        <v>-0.014</v>
      </c>
      <c r="C6" s="12">
        <v>0.017</v>
      </c>
    </row>
    <row r="7" spans="1:3">
      <c r="A7" t="s">
        <v>49</v>
      </c>
      <c r="B7" s="12">
        <v>0.126</v>
      </c>
      <c r="C7" s="12">
        <v>0.159</v>
      </c>
    </row>
    <row r="8" spans="1:3">
      <c r="A8" t="s">
        <v>50</v>
      </c>
      <c r="B8" s="12">
        <v>0.207</v>
      </c>
      <c r="C8" s="12">
        <v>0.07400000000000001</v>
      </c>
    </row>
    <row r="10" spans="1:3">
      <c r="A10" s="9" t="s">
        <v>51</v>
      </c>
      <c r="B10" s="12">
        <v>0.159</v>
      </c>
    </row>
    <row r="11" spans="1:3">
      <c r="A11" t="s">
        <v>52</v>
      </c>
      <c r="B1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28.7109375" customWidth="1"/>
    <col min="2" max="5" width="14.7109375" customWidth="1"/>
  </cols>
  <sheetData>
    <row r="1" spans="1:4">
      <c r="A1" s="1" t="s">
        <v>54</v>
      </c>
    </row>
    <row r="2" spans="1:4">
      <c r="A2" s="3" t="s">
        <v>55</v>
      </c>
    </row>
    <row r="4" spans="1:4">
      <c r="A4" s="8" t="s">
        <v>56</v>
      </c>
      <c r="B4" s="8" t="s">
        <v>57</v>
      </c>
      <c r="C4" s="8" t="s">
        <v>20</v>
      </c>
      <c r="D4" s="8" t="s">
        <v>58</v>
      </c>
    </row>
    <row r="5" spans="1:4">
      <c r="A5" t="s">
        <v>10</v>
      </c>
      <c r="B5" s="12">
        <v>0.105</v>
      </c>
      <c r="C5" s="12">
        <v>0.095</v>
      </c>
      <c r="D5" s="12">
        <v>0.09</v>
      </c>
    </row>
    <row r="6" spans="1:4">
      <c r="A6" t="s">
        <v>59</v>
      </c>
      <c r="B6" s="12">
        <v>0.02</v>
      </c>
      <c r="C6" s="12">
        <v>0.025</v>
      </c>
      <c r="D6" s="12">
        <v>0.03</v>
      </c>
    </row>
    <row r="8" spans="1:4">
      <c r="A8" s="9" t="s">
        <v>60</v>
      </c>
      <c r="B8" s="12">
        <v>0.05</v>
      </c>
      <c r="C8" s="12">
        <v>0.1</v>
      </c>
      <c r="D8" s="12">
        <v>0.15</v>
      </c>
    </row>
    <row r="9" spans="1:4">
      <c r="A9" t="s">
        <v>61</v>
      </c>
      <c r="B9" s="12">
        <v>0.035</v>
      </c>
      <c r="C9" s="12">
        <v>0.08500000000000001</v>
      </c>
      <c r="D9" s="12">
        <v>0.13</v>
      </c>
    </row>
    <row r="10" spans="1:4">
      <c r="A10" t="s">
        <v>62</v>
      </c>
      <c r="B10" s="12">
        <v>0.02</v>
      </c>
      <c r="C10" s="12">
        <v>0.07000000000000001</v>
      </c>
      <c r="D10" s="12">
        <v>0.11</v>
      </c>
    </row>
    <row r="11" spans="1:4">
      <c r="A11" t="s">
        <v>63</v>
      </c>
      <c r="B11" s="12">
        <v>0.01</v>
      </c>
      <c r="C11" s="12">
        <v>0.055</v>
      </c>
      <c r="D11" s="12">
        <v>0.09</v>
      </c>
    </row>
    <row r="12" spans="1:4">
      <c r="A12" t="s">
        <v>64</v>
      </c>
      <c r="B12" s="12">
        <v>0.005</v>
      </c>
      <c r="C12" s="12">
        <v>0.04</v>
      </c>
      <c r="D12" s="12">
        <v>0.07000000000000001</v>
      </c>
    </row>
    <row r="14" spans="1:4">
      <c r="A14" s="4" t="s">
        <v>65</v>
      </c>
    </row>
    <row r="15" spans="1:4">
      <c r="A15" t="s">
        <v>66</v>
      </c>
      <c r="B15" s="11">
        <v>13.71</v>
      </c>
      <c r="C15" s="11">
        <v>22</v>
      </c>
      <c r="D15" s="11">
        <v>31.58</v>
      </c>
    </row>
    <row r="16" spans="1:4">
      <c r="A16" t="s">
        <v>67</v>
      </c>
      <c r="B16" s="12">
        <v>-0.634</v>
      </c>
      <c r="C16" s="12">
        <v>-0.413</v>
      </c>
      <c r="D16" s="12">
        <v>-0.158</v>
      </c>
    </row>
    <row r="18" spans="1:3">
      <c r="A18" s="9" t="s">
        <v>68</v>
      </c>
    </row>
    <row r="19" spans="1:3">
      <c r="A19" s="3" t="s">
        <v>69</v>
      </c>
    </row>
    <row r="20" spans="1:3">
      <c r="C20" s="10">
        <v>22.32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2026-02-03T07:30:43Z</dcterms:created>
  <dcterms:modified xsi:type="dcterms:W3CDTF">2026-02-03T07:30:43Z</dcterms:modified>
</cp:coreProperties>
</file>