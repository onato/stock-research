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Historical Financials" sheetId="2" state="visible" r:id="rId2"/>
    <sheet xmlns:r="http://schemas.openxmlformats.org/officeDocument/2006/relationships" name="DCF Assumptions" sheetId="3" state="visible" r:id="rId3"/>
    <sheet xmlns:r="http://schemas.openxmlformats.org/officeDocument/2006/relationships" name="DCF Mode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9"/>
      <sz val="14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Cambria"/>
      <charset val="1"/>
      <family val="0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D6EAF8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5" fillId="4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center" vertical="bottom"/>
    </xf>
    <xf numFmtId="164" fontId="0" fillId="5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5" fillId="4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center" vertical="bottom"/>
    </xf>
    <xf numFmtId="164" fontId="0" fillId="5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1" max="1"/>
    <col width="65" customWidth="1" style="24" min="2" max="2"/>
  </cols>
  <sheetData>
    <row r="1" ht="17.25" customHeight="1" s="25">
      <c r="A1" s="26" t="inlineStr">
        <is>
          <t>NETEASE, INC. (9999.HK / NTES) - COMPANY OVERVIEW</t>
        </is>
      </c>
      <c r="B1" s="26" t="n"/>
    </row>
    <row r="3" ht="15" customHeight="1" s="25">
      <c r="A3" s="27" t="inlineStr">
        <is>
          <t>Company Profile</t>
        </is>
      </c>
    </row>
    <row r="4" ht="15" customHeight="1" s="25">
      <c r="A4" s="28" t="inlineStr">
        <is>
          <t>Company Name</t>
        </is>
      </c>
      <c r="B4" s="24" t="inlineStr">
        <is>
          <t>NetEase, Inc.</t>
        </is>
      </c>
    </row>
    <row r="5" ht="15" customHeight="1" s="25">
      <c r="A5" s="28" t="inlineStr">
        <is>
          <t>Stock Code (HK)</t>
        </is>
      </c>
      <c r="B5" s="24" t="inlineStr">
        <is>
          <t>9999.HK</t>
        </is>
      </c>
    </row>
    <row r="6" ht="15" customHeight="1" s="25">
      <c r="A6" s="28" t="inlineStr">
        <is>
          <t>Stock Code (US ADR)</t>
        </is>
      </c>
      <c r="B6" s="24" t="inlineStr">
        <is>
          <t>NTES</t>
        </is>
      </c>
    </row>
    <row r="7" ht="15" customHeight="1" s="25">
      <c r="A7" s="28" t="inlineStr">
        <is>
          <t>Headquarters</t>
        </is>
      </c>
      <c r="B7" s="24" t="inlineStr">
        <is>
          <t>Hangzhou, China</t>
        </is>
      </c>
    </row>
    <row r="8" ht="15" customHeight="1" s="25">
      <c r="A8" s="28" t="inlineStr">
        <is>
          <t>Founded</t>
        </is>
      </c>
      <c r="B8" s="24" t="inlineStr">
        <is>
          <t>1997</t>
        </is>
      </c>
    </row>
    <row r="9" ht="15" customHeight="1" s="25">
      <c r="A9" s="28" t="inlineStr">
        <is>
          <t>Employees</t>
        </is>
      </c>
      <c r="B9" s="24" t="inlineStr">
        <is>
          <t>26,028</t>
        </is>
      </c>
    </row>
    <row r="10" ht="15" customHeight="1" s="25">
      <c r="A10" s="28" t="inlineStr">
        <is>
          <t>Sector</t>
        </is>
      </c>
      <c r="B10" s="24" t="inlineStr">
        <is>
          <t>Communication Services</t>
        </is>
      </c>
    </row>
    <row r="11" ht="15" customHeight="1" s="25">
      <c r="A11" s="28" t="inlineStr">
        <is>
          <t>Industry</t>
        </is>
      </c>
      <c r="B11" s="24" t="inlineStr">
        <is>
          <t>Electronic Gaming &amp; Multimedia</t>
        </is>
      </c>
    </row>
    <row r="13" ht="15" customHeight="1" s="25">
      <c r="A13" s="27" t="inlineStr">
        <is>
          <t>Business Segments</t>
        </is>
      </c>
    </row>
    <row r="14" ht="15" customHeight="1" s="25">
      <c r="A14" s="28" t="inlineStr">
        <is>
          <t>1. Games &amp; Related VAS</t>
        </is>
      </c>
      <c r="B14" s="24" t="inlineStr">
        <is>
          <t>~79% of revenue - Mobile/PC games development &amp; operations</t>
        </is>
      </c>
    </row>
    <row r="15" ht="15" customHeight="1" s="25">
      <c r="A15" s="28" t="inlineStr">
        <is>
          <t>2. Youdao</t>
        </is>
      </c>
      <c r="B15" s="24" t="inlineStr">
        <is>
          <t>~6% of revenue - Education technology &amp; AI learning</t>
        </is>
      </c>
    </row>
    <row r="16" ht="15" customHeight="1" s="25">
      <c r="A16" s="28" t="inlineStr">
        <is>
          <t>3. Cloud Music</t>
        </is>
      </c>
      <c r="B16" s="24" t="inlineStr">
        <is>
          <t>~8% of revenue - Music streaming platform</t>
        </is>
      </c>
    </row>
    <row r="17" ht="15" customHeight="1" s="25">
      <c r="A17" s="28" t="inlineStr">
        <is>
          <t>4. Innovative Business</t>
        </is>
      </c>
      <c r="B17" s="24" t="inlineStr">
        <is>
          <t>~7% of revenue - E-commerce, media, advertising</t>
        </is>
      </c>
    </row>
    <row r="19" ht="15" customHeight="1" s="25">
      <c r="A19" s="27" t="inlineStr">
        <is>
          <t>Key Franchises</t>
        </is>
      </c>
    </row>
    <row r="20" ht="15" customHeight="1" s="25">
      <c r="A20" s="28" t="inlineStr">
        <is>
          <t>Game Titles</t>
        </is>
      </c>
      <c r="B20" s="24" t="inlineStr">
        <is>
          <t>Fantasy Westward Journey, Identity V, Naraka: Bladepoint, Eggy Party, Marvel Rivals</t>
        </is>
      </c>
    </row>
    <row r="21" ht="15" customHeight="1" s="25">
      <c r="A21" s="28" t="inlineStr">
        <is>
          <t>Partnerships</t>
        </is>
      </c>
      <c r="B21" s="24" t="inlineStr">
        <is>
          <t>Blizzard Entertainment (World of Warcraft, Hearthstone, Diablo)</t>
        </is>
      </c>
    </row>
    <row r="23" ht="15" customHeight="1" s="25">
      <c r="A23" s="27" t="inlineStr">
        <is>
          <t>Market Data (as of Jan 2026)</t>
        </is>
      </c>
    </row>
    <row r="24" ht="15" customHeight="1" s="25">
      <c r="A24" s="28" t="inlineStr">
        <is>
          <t>Current Price (HKD)</t>
        </is>
      </c>
      <c r="B24" s="24" t="n">
        <v>211.9</v>
      </c>
    </row>
    <row r="25" ht="15" customHeight="1" s="25">
      <c r="A25" s="28" t="inlineStr">
        <is>
          <t>52-Week Range (HKD)</t>
        </is>
      </c>
      <c r="B25" s="24" t="inlineStr">
        <is>
          <t>131.90 - 248.00</t>
        </is>
      </c>
    </row>
    <row r="26" ht="15" customHeight="1" s="25">
      <c r="A26" s="28" t="inlineStr">
        <is>
          <t>Market Cap (HKD bn)</t>
        </is>
      </c>
      <c r="B26" s="24" t="n">
        <v>686.1799999999999</v>
      </c>
    </row>
    <row r="27" ht="15" customHeight="1" s="25">
      <c r="A27" s="28" t="inlineStr">
        <is>
          <t>Market Cap (USD bn)</t>
        </is>
      </c>
      <c r="B27" s="24" t="n">
        <v>88</v>
      </c>
    </row>
    <row r="28" ht="15" customHeight="1" s="25">
      <c r="A28" s="28" t="inlineStr">
        <is>
          <t>Shares Outstanding (bn)</t>
        </is>
      </c>
      <c r="B28" s="24" t="n">
        <v>3.22</v>
      </c>
    </row>
    <row r="29" ht="15" customHeight="1" s="25">
      <c r="A29" s="28" t="inlineStr">
        <is>
          <t>Avg. Daily Volume</t>
        </is>
      </c>
      <c r="B29" s="24" t="inlineStr">
        <is>
          <t>4.5M</t>
        </is>
      </c>
    </row>
    <row r="31" ht="15" customHeight="1" s="25">
      <c r="A31" s="27" t="inlineStr">
        <is>
          <t>Investment Highlights</t>
        </is>
      </c>
    </row>
    <row r="32" ht="15" customHeight="1" s="25">
      <c r="A32" s="24" t="inlineStr">
        <is>
          <t>1</t>
        </is>
      </c>
      <c r="B32" s="24" t="inlineStr">
        <is>
          <t>Leading Chinese gaming company with strong IP portfolio</t>
        </is>
      </c>
    </row>
    <row r="33" ht="15" customHeight="1" s="25">
      <c r="A33" s="24" t="inlineStr">
        <is>
          <t>2</t>
        </is>
      </c>
      <c r="B33" s="24" t="inlineStr">
        <is>
          <t>High margins (62%+ gross, 28%+ net) and strong cash generation</t>
        </is>
      </c>
    </row>
    <row r="34" ht="15" customHeight="1" s="25">
      <c r="A34" s="24" t="inlineStr">
        <is>
          <t>3</t>
        </is>
      </c>
      <c r="B34" s="24" t="inlineStr">
        <is>
          <t>Minimal debt with ~RMB 150bn net cash position</t>
        </is>
      </c>
    </row>
    <row r="35" ht="15" customHeight="1" s="25">
      <c r="A35" s="24" t="inlineStr">
        <is>
          <t>4</t>
        </is>
      </c>
      <c r="B35" s="24" t="inlineStr">
        <is>
          <t>Global expansion with successful titles (Marvel Rivals, Once Human)</t>
        </is>
      </c>
    </row>
    <row r="36" ht="15" customHeight="1" s="25">
      <c r="A36" s="24" t="inlineStr">
        <is>
          <t>5</t>
        </is>
      </c>
      <c r="B36" s="24" t="inlineStr">
        <is>
          <t>Consistent dividend payer with active share buyback program</t>
        </is>
      </c>
    </row>
    <row r="37" ht="15" customHeight="1" s="25">
      <c r="A37" s="24" t="inlineStr">
        <is>
          <t>6</t>
        </is>
      </c>
      <c r="B37" s="24" t="inlineStr">
        <is>
          <t>AI integration driving innovation across gaming and education</t>
        </is>
      </c>
    </row>
    <row r="39" ht="15" customHeight="1" s="25">
      <c r="A39" s="27" t="inlineStr">
        <is>
          <t>Key Risks</t>
        </is>
      </c>
    </row>
    <row r="40" ht="15" customHeight="1" s="25">
      <c r="A40" s="24" t="inlineStr">
        <is>
          <t>1</t>
        </is>
      </c>
      <c r="B40" s="24" t="inlineStr">
        <is>
          <t>Chinese regulatory environment for gaming</t>
        </is>
      </c>
    </row>
    <row r="41" ht="15" customHeight="1" s="25">
      <c r="A41" s="24" t="inlineStr">
        <is>
          <t>2</t>
        </is>
      </c>
      <c r="B41" s="24" t="inlineStr">
        <is>
          <t>Competition from Tencent and other global gaming companies</t>
        </is>
      </c>
    </row>
    <row r="42" ht="15" customHeight="1" s="25">
      <c r="A42" s="24" t="inlineStr">
        <is>
          <t>3</t>
        </is>
      </c>
      <c r="B42" s="24" t="inlineStr">
        <is>
          <t>Reliance on key gaming franchises for revenue</t>
        </is>
      </c>
    </row>
    <row r="43" ht="15" customHeight="1" s="25">
      <c r="A43" s="24" t="inlineStr">
        <is>
          <t>4</t>
        </is>
      </c>
      <c r="B43" s="24" t="inlineStr">
        <is>
          <t>Geopolitical tensions affecting US-listed Chinese stocks</t>
        </is>
      </c>
    </row>
    <row r="44" ht="15" customHeight="1" s="25">
      <c r="A44" s="24" t="inlineStr">
        <is>
          <t>5</t>
        </is>
      </c>
      <c r="B44" s="24" t="inlineStr">
        <is>
          <t>Game approval delays in China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1" max="1"/>
    <col width="15" customWidth="1" style="24" min="2" max="6"/>
  </cols>
  <sheetData>
    <row r="1" ht="15" customHeight="1" s="25">
      <c r="A1" s="29" t="inlineStr">
        <is>
          <t>Item</t>
        </is>
      </c>
      <c r="B1" s="29" t="inlineStr">
        <is>
          <t>2021</t>
        </is>
      </c>
      <c r="C1" s="29" t="inlineStr">
        <is>
          <t>2022</t>
        </is>
      </c>
      <c r="D1" s="29" t="inlineStr">
        <is>
          <t>2023</t>
        </is>
      </c>
      <c r="E1" s="29" t="inlineStr">
        <is>
          <t>2024</t>
        </is>
      </c>
      <c r="F1" s="29" t="inlineStr">
        <is>
          <t>TTM Q3 2025</t>
        </is>
      </c>
    </row>
    <row r="2" ht="15" customHeight="1" s="25">
      <c r="A2" s="27" t="inlineStr">
        <is>
          <t>INCOME STATEMENT (RMB millions)</t>
        </is>
      </c>
    </row>
    <row r="3" ht="15" customHeight="1" s="25">
      <c r="A3" s="28" t="inlineStr">
        <is>
          <t>Revenue</t>
        </is>
      </c>
      <c r="B3" s="30" t="n">
        <v>87606</v>
      </c>
      <c r="C3" s="30" t="n">
        <v>96496</v>
      </c>
      <c r="D3" s="30" t="n">
        <v>103468</v>
      </c>
      <c r="E3" s="30" t="n">
        <v>105295</v>
      </c>
      <c r="F3" s="30" t="n">
        <v>109678</v>
      </c>
    </row>
    <row r="4" ht="15" customHeight="1" s="25">
      <c r="A4" s="31" t="inlineStr">
        <is>
          <t xml:space="preserve">   Games &amp; VAS</t>
        </is>
      </c>
      <c r="B4" s="30" t="n">
        <v>67606</v>
      </c>
      <c r="C4" s="30" t="n">
        <v>73833</v>
      </c>
      <c r="D4" s="30" t="n">
        <v>81640</v>
      </c>
      <c r="E4" s="30" t="n">
        <v>82937</v>
      </c>
      <c r="F4" s="30" t="n">
        <v>87150</v>
      </c>
    </row>
    <row r="5" ht="15" customHeight="1" s="25">
      <c r="A5" s="31" t="inlineStr">
        <is>
          <t xml:space="preserve">   Youdao</t>
        </is>
      </c>
      <c r="B5" s="30" t="n">
        <v>5476</v>
      </c>
      <c r="C5" s="30" t="n">
        <v>5056</v>
      </c>
      <c r="D5" s="30" t="n">
        <v>5795</v>
      </c>
      <c r="E5" s="30" t="n">
        <v>6220</v>
      </c>
      <c r="F5" s="30" t="n">
        <v>6450</v>
      </c>
    </row>
    <row r="6" ht="15" customHeight="1" s="25">
      <c r="A6" s="31" t="inlineStr">
        <is>
          <t xml:space="preserve">   Cloud Music</t>
        </is>
      </c>
      <c r="B6" s="30" t="n">
        <v>7292</v>
      </c>
      <c r="C6" s="30" t="n">
        <v>8982</v>
      </c>
      <c r="D6" s="30" t="n">
        <v>8714</v>
      </c>
      <c r="E6" s="30" t="n">
        <v>8380</v>
      </c>
      <c r="F6" s="30" t="n">
        <v>8200</v>
      </c>
    </row>
    <row r="7" ht="15" customHeight="1" s="25">
      <c r="A7" s="31" t="inlineStr">
        <is>
          <t xml:space="preserve">   Innovative Business</t>
        </is>
      </c>
      <c r="B7" s="30" t="n">
        <v>7232</v>
      </c>
      <c r="C7" s="30" t="n">
        <v>8625</v>
      </c>
      <c r="D7" s="30" t="n">
        <v>7319</v>
      </c>
      <c r="E7" s="30" t="n">
        <v>7758</v>
      </c>
      <c r="F7" s="30" t="n">
        <v>7878</v>
      </c>
    </row>
    <row r="8" ht="15" customHeight="1" s="25">
      <c r="A8" s="28" t="inlineStr">
        <is>
          <t>Cost of Revenue</t>
        </is>
      </c>
      <c r="B8" s="30" t="n">
        <v>40635</v>
      </c>
      <c r="C8" s="30" t="n">
        <v>43730</v>
      </c>
      <c r="D8" s="30" t="n">
        <v>40405</v>
      </c>
      <c r="E8" s="30" t="n">
        <v>39488</v>
      </c>
      <c r="F8" s="30" t="n">
        <v>40397</v>
      </c>
    </row>
    <row r="9" ht="15" customHeight="1" s="25">
      <c r="A9" s="28" t="inlineStr">
        <is>
          <t>Gross Profit</t>
        </is>
      </c>
      <c r="B9" s="30" t="n">
        <v>46971</v>
      </c>
      <c r="C9" s="30" t="n">
        <v>52766</v>
      </c>
      <c r="D9" s="30" t="n">
        <v>63063</v>
      </c>
      <c r="E9" s="30" t="n">
        <v>65807</v>
      </c>
      <c r="F9" s="30" t="n">
        <v>69281</v>
      </c>
    </row>
    <row r="10" ht="15" customHeight="1" s="25">
      <c r="A10" s="28" t="inlineStr">
        <is>
          <t>Gross Margin %</t>
        </is>
      </c>
      <c r="B10" s="24" t="inlineStr">
        <is>
          <t>53.6%</t>
        </is>
      </c>
      <c r="C10" s="24" t="inlineStr">
        <is>
          <t>54.7%</t>
        </is>
      </c>
      <c r="D10" s="24" t="inlineStr">
        <is>
          <t>61.0%</t>
        </is>
      </c>
      <c r="E10" s="24" t="inlineStr">
        <is>
          <t>62.5%</t>
        </is>
      </c>
      <c r="F10" s="24" t="inlineStr">
        <is>
          <t>63.2%</t>
        </is>
      </c>
    </row>
    <row r="11" ht="15" customHeight="1" s="25">
      <c r="A11" s="28" t="inlineStr">
        <is>
          <t>Operating Expenses</t>
        </is>
      </c>
      <c r="B11" s="30" t="n">
        <v>27104</v>
      </c>
      <c r="C11" s="30" t="n">
        <v>32012</v>
      </c>
      <c r="D11" s="30" t="n">
        <v>34186</v>
      </c>
      <c r="E11" s="30" t="n">
        <v>35426</v>
      </c>
      <c r="F11" s="30" t="n">
        <v>36800</v>
      </c>
    </row>
    <row r="12" ht="15" customHeight="1" s="25">
      <c r="A12" s="31" t="inlineStr">
        <is>
          <t xml:space="preserve">   R&amp;D Expenses</t>
        </is>
      </c>
      <c r="B12" s="30" t="n">
        <v>14125</v>
      </c>
      <c r="C12" s="30" t="n">
        <v>15389</v>
      </c>
      <c r="D12" s="30" t="n">
        <v>16088</v>
      </c>
      <c r="E12" s="30" t="n">
        <v>16840</v>
      </c>
      <c r="F12" s="30" t="n">
        <v>17500</v>
      </c>
    </row>
    <row r="13" ht="15" customHeight="1" s="25">
      <c r="A13" s="31" t="inlineStr">
        <is>
          <t xml:space="preserve">   S&amp;M Expenses</t>
        </is>
      </c>
      <c r="B13" s="30" t="n">
        <v>11893</v>
      </c>
      <c r="C13" s="30" t="n">
        <v>11926</v>
      </c>
      <c r="D13" s="30" t="n">
        <v>13929</v>
      </c>
      <c r="E13" s="30" t="n">
        <v>14100</v>
      </c>
      <c r="F13" s="30" t="n">
        <v>14800</v>
      </c>
    </row>
    <row r="14" ht="15" customHeight="1" s="25">
      <c r="A14" s="31" t="inlineStr">
        <is>
          <t xml:space="preserve">   G&amp;A Expenses</t>
        </is>
      </c>
      <c r="B14" s="30" t="n">
        <v>4086</v>
      </c>
      <c r="C14" s="30" t="n">
        <v>4697</v>
      </c>
      <c r="D14" s="30" t="n">
        <v>4169</v>
      </c>
      <c r="E14" s="30" t="n">
        <v>4486</v>
      </c>
      <c r="F14" s="30" t="n">
        <v>4500</v>
      </c>
    </row>
    <row r="15" ht="15" customHeight="1" s="25">
      <c r="A15" s="28" t="inlineStr">
        <is>
          <t>Operating Income</t>
        </is>
      </c>
      <c r="B15" s="30" t="n">
        <v>19867</v>
      </c>
      <c r="C15" s="30" t="n">
        <v>20754</v>
      </c>
      <c r="D15" s="30" t="n">
        <v>28877</v>
      </c>
      <c r="E15" s="30" t="n">
        <v>30381</v>
      </c>
      <c r="F15" s="30" t="n">
        <v>32481</v>
      </c>
    </row>
    <row r="16" ht="15" customHeight="1" s="25">
      <c r="A16" s="28" t="inlineStr">
        <is>
          <t>Operating Margin %</t>
        </is>
      </c>
      <c r="B16" s="24" t="inlineStr">
        <is>
          <t>22.7%</t>
        </is>
      </c>
      <c r="C16" s="24" t="inlineStr">
        <is>
          <t>21.5%</t>
        </is>
      </c>
      <c r="D16" s="24" t="inlineStr">
        <is>
          <t>27.9%</t>
        </is>
      </c>
      <c r="E16" s="24" t="inlineStr">
        <is>
          <t>28.8%</t>
        </is>
      </c>
      <c r="F16" s="24" t="inlineStr">
        <is>
          <t>29.6%</t>
        </is>
      </c>
    </row>
    <row r="17" ht="15" customHeight="1" s="25">
      <c r="A17" s="28" t="inlineStr">
        <is>
          <t>Net Income</t>
        </is>
      </c>
      <c r="B17" s="30" t="n">
        <v>19390</v>
      </c>
      <c r="C17" s="30" t="n">
        <v>19870</v>
      </c>
      <c r="D17" s="30" t="n">
        <v>29411</v>
      </c>
      <c r="E17" s="30" t="n">
        <v>29697</v>
      </c>
      <c r="F17" s="30" t="n">
        <v>31000</v>
      </c>
    </row>
    <row r="18" ht="15" customHeight="1" s="25">
      <c r="A18" s="28" t="inlineStr">
        <is>
          <t>Net Margin %</t>
        </is>
      </c>
      <c r="B18" s="24" t="inlineStr">
        <is>
          <t>22.1%</t>
        </is>
      </c>
      <c r="C18" s="24" t="inlineStr">
        <is>
          <t>20.6%</t>
        </is>
      </c>
      <c r="D18" s="24" t="inlineStr">
        <is>
          <t>28.4%</t>
        </is>
      </c>
      <c r="E18" s="24" t="inlineStr">
        <is>
          <t>28.2%</t>
        </is>
      </c>
      <c r="F18" s="24" t="inlineStr">
        <is>
          <t>28.3%</t>
        </is>
      </c>
    </row>
    <row r="19" ht="15" customHeight="1" s="25">
      <c r="A19" s="28" t="inlineStr">
        <is>
          <t>EPS (RMB)</t>
        </is>
      </c>
      <c r="B19" s="32" t="n">
        <v>5.95</v>
      </c>
      <c r="C19" s="32" t="n">
        <v>6.15</v>
      </c>
      <c r="D19" s="32" t="n">
        <v>9.15</v>
      </c>
      <c r="E19" s="32" t="n">
        <v>9.279999999999999</v>
      </c>
      <c r="F19" s="32" t="n">
        <v>9.699999999999999</v>
      </c>
    </row>
    <row r="20" ht="15" customHeight="1" s="25">
      <c r="A20" s="28" t="n"/>
    </row>
    <row r="21" ht="15" customHeight="1" s="25">
      <c r="A21" s="27" t="inlineStr">
        <is>
          <t>BALANCE SHEET HIGHLIGHTS (RMB millions)</t>
        </is>
      </c>
    </row>
    <row r="22" ht="15" customHeight="1" s="25">
      <c r="A22" s="28" t="inlineStr">
        <is>
          <t>Cash &amp; Equivalents</t>
        </is>
      </c>
      <c r="B22" s="30" t="n">
        <v>17376</v>
      </c>
      <c r="C22" s="30" t="n">
        <v>27588</v>
      </c>
      <c r="D22" s="30" t="n">
        <v>24207</v>
      </c>
      <c r="E22" s="30" t="n">
        <v>54475</v>
      </c>
      <c r="F22" s="30" t="n">
        <v>58210</v>
      </c>
    </row>
    <row r="23" ht="15" customHeight="1" s="25">
      <c r="A23" s="28" t="inlineStr">
        <is>
          <t>Total Cash &amp; Investments</t>
        </is>
      </c>
      <c r="B23" s="30" t="n">
        <v>95000</v>
      </c>
      <c r="C23" s="30" t="n">
        <v>105000</v>
      </c>
      <c r="D23" s="30" t="n">
        <v>110000</v>
      </c>
      <c r="E23" s="30" t="n">
        <v>120000</v>
      </c>
      <c r="F23" s="30" t="n">
        <v>153200</v>
      </c>
    </row>
    <row r="24" ht="15" customHeight="1" s="25">
      <c r="A24" s="28" t="inlineStr">
        <is>
          <t>Total Debt</t>
        </is>
      </c>
      <c r="B24" s="30" t="n">
        <v>7000</v>
      </c>
      <c r="C24" s="30" t="n">
        <v>7200</v>
      </c>
      <c r="D24" s="30" t="n">
        <v>7500</v>
      </c>
      <c r="E24" s="30" t="n">
        <v>7300</v>
      </c>
      <c r="F24" s="30" t="n">
        <v>11280</v>
      </c>
    </row>
    <row r="25" ht="15" customHeight="1" s="25">
      <c r="A25" s="28" t="inlineStr">
        <is>
          <t>Net Cash Position</t>
        </is>
      </c>
      <c r="B25" s="30" t="n">
        <v>88000</v>
      </c>
      <c r="C25" s="30" t="n">
        <v>97800</v>
      </c>
      <c r="D25" s="30" t="n">
        <v>102500</v>
      </c>
      <c r="E25" s="30" t="n">
        <v>112700</v>
      </c>
      <c r="F25" s="30" t="n">
        <v>141920</v>
      </c>
    </row>
    <row r="26" ht="15" customHeight="1" s="25">
      <c r="A26" s="28" t="inlineStr">
        <is>
          <t>Total Assets</t>
        </is>
      </c>
      <c r="B26" s="30" t="n">
        <v>175000</v>
      </c>
      <c r="C26" s="30" t="n">
        <v>195000</v>
      </c>
      <c r="D26" s="30" t="n">
        <v>210000</v>
      </c>
      <c r="E26" s="30" t="n">
        <v>235000</v>
      </c>
      <c r="F26" s="30" t="n">
        <v>255000</v>
      </c>
    </row>
    <row r="27" ht="15" customHeight="1" s="25">
      <c r="A27" s="28" t="inlineStr">
        <is>
          <t>Shareholders' Equity</t>
        </is>
      </c>
      <c r="B27" s="30" t="n">
        <v>120000</v>
      </c>
      <c r="C27" s="30" t="n">
        <v>135000</v>
      </c>
      <c r="D27" s="30" t="n">
        <v>155000</v>
      </c>
      <c r="E27" s="30" t="n">
        <v>175000</v>
      </c>
      <c r="F27" s="30" t="n">
        <v>195000</v>
      </c>
    </row>
    <row r="28" ht="15" customHeight="1" s="25">
      <c r="A28" s="28" t="n"/>
    </row>
    <row r="29" ht="15" customHeight="1" s="25">
      <c r="A29" s="27" t="inlineStr">
        <is>
          <t>CASH FLOW (RMB millions)</t>
        </is>
      </c>
    </row>
    <row r="30" ht="15" customHeight="1" s="25">
      <c r="A30" s="28" t="inlineStr">
        <is>
          <t>Operating Cash Flow</t>
        </is>
      </c>
      <c r="B30" s="30" t="n">
        <v>24927</v>
      </c>
      <c r="C30" s="30" t="n">
        <v>27709</v>
      </c>
      <c r="D30" s="30" t="n">
        <v>35331</v>
      </c>
      <c r="E30" s="30" t="n">
        <v>39677</v>
      </c>
      <c r="F30" s="30" t="n">
        <v>46556</v>
      </c>
    </row>
    <row r="31" ht="15" customHeight="1" s="25">
      <c r="A31" s="28" t="inlineStr">
        <is>
          <t>Capital Expenditures</t>
        </is>
      </c>
      <c r="B31" s="30" t="n">
        <v>-2500</v>
      </c>
      <c r="C31" s="30" t="n">
        <v>-2800</v>
      </c>
      <c r="D31" s="30" t="n">
        <v>-2400</v>
      </c>
      <c r="E31" s="30" t="n">
        <v>-1200</v>
      </c>
      <c r="F31" s="30" t="n">
        <v>-1200</v>
      </c>
    </row>
    <row r="32" ht="15" customHeight="1" s="25">
      <c r="A32" s="28" t="inlineStr">
        <is>
          <t>Free Cash Flow</t>
        </is>
      </c>
      <c r="B32" s="30" t="n">
        <v>22427</v>
      </c>
      <c r="C32" s="30" t="n">
        <v>24909</v>
      </c>
      <c r="D32" s="30" t="n">
        <v>32931</v>
      </c>
      <c r="E32" s="30" t="n">
        <v>38477</v>
      </c>
      <c r="F32" s="30" t="n">
        <v>45356</v>
      </c>
    </row>
    <row r="33" ht="15" customHeight="1" s="25">
      <c r="A33" s="28" t="inlineStr">
        <is>
          <t>FCF Margin %</t>
        </is>
      </c>
      <c r="B33" s="24" t="inlineStr">
        <is>
          <t>25.6%</t>
        </is>
      </c>
      <c r="C33" s="24" t="inlineStr">
        <is>
          <t>25.8%</t>
        </is>
      </c>
      <c r="D33" s="24" t="inlineStr">
        <is>
          <t>31.8%</t>
        </is>
      </c>
      <c r="E33" s="24" t="inlineStr">
        <is>
          <t>36.5%</t>
        </is>
      </c>
      <c r="F33" s="24" t="inlineStr">
        <is>
          <t>41.4%</t>
        </is>
      </c>
    </row>
    <row r="34" ht="15" customHeight="1" s="25">
      <c r="A34" s="28" t="inlineStr">
        <is>
          <t>Dividends Paid</t>
        </is>
      </c>
      <c r="B34" s="30" t="n">
        <v>-5000</v>
      </c>
      <c r="C34" s="30" t="n">
        <v>-5500</v>
      </c>
      <c r="D34" s="30" t="n">
        <v>-7500</v>
      </c>
      <c r="E34" s="30" t="n">
        <v>-10000</v>
      </c>
      <c r="F34" s="30" t="n">
        <v>-12000</v>
      </c>
    </row>
    <row r="35" ht="15" customHeight="1" s="25">
      <c r="A35" s="28" t="inlineStr">
        <is>
          <t>Share Repurchases</t>
        </is>
      </c>
      <c r="B35" s="30" t="n">
        <v>-3000</v>
      </c>
      <c r="C35" s="30" t="n">
        <v>-4000</v>
      </c>
      <c r="D35" s="30" t="n">
        <v>-8000</v>
      </c>
      <c r="E35" s="30" t="n">
        <v>-11500</v>
      </c>
      <c r="F35" s="30" t="n">
        <v>-14000</v>
      </c>
    </row>
    <row r="36" ht="15" customHeight="1" s="25">
      <c r="A36" s="28" t="n"/>
    </row>
    <row r="37" ht="15" customHeight="1" s="25">
      <c r="A37" s="27" t="inlineStr">
        <is>
          <t>KEY METRICS</t>
        </is>
      </c>
    </row>
    <row r="38" ht="15" customHeight="1" s="25">
      <c r="A38" s="28" t="inlineStr">
        <is>
          <t>Revenue Growth %</t>
        </is>
      </c>
      <c r="B38" s="24" t="inlineStr">
        <is>
          <t>10.2%</t>
        </is>
      </c>
      <c r="C38" s="24" t="inlineStr">
        <is>
          <t>10.2%</t>
        </is>
      </c>
      <c r="D38" s="24" t="inlineStr">
        <is>
          <t>7.2%</t>
        </is>
      </c>
      <c r="E38" s="24" t="inlineStr">
        <is>
          <t>1.8%</t>
        </is>
      </c>
      <c r="F38" s="24" t="inlineStr">
        <is>
          <t>4.2%</t>
        </is>
      </c>
    </row>
    <row r="39" ht="15" customHeight="1" s="25">
      <c r="A39" s="28" t="inlineStr">
        <is>
          <t>Earnings Growth %</t>
        </is>
      </c>
      <c r="B39" s="24" t="inlineStr">
        <is>
          <t>8.5%</t>
        </is>
      </c>
      <c r="C39" s="24" t="inlineStr">
        <is>
          <t>2.5%</t>
        </is>
      </c>
      <c r="D39" s="24" t="inlineStr">
        <is>
          <t>48.0%</t>
        </is>
      </c>
      <c r="E39" s="24" t="inlineStr">
        <is>
          <t>1.0%</t>
        </is>
      </c>
      <c r="F39" s="24" t="inlineStr">
        <is>
          <t>4.4%</t>
        </is>
      </c>
    </row>
    <row r="40" ht="15" customHeight="1" s="25">
      <c r="A40" s="28" t="inlineStr">
        <is>
          <t>ROE %</t>
        </is>
      </c>
      <c r="B40" s="24" t="inlineStr">
        <is>
          <t>16.2%</t>
        </is>
      </c>
      <c r="C40" s="24" t="inlineStr">
        <is>
          <t>14.7%</t>
        </is>
      </c>
      <c r="D40" s="24" t="inlineStr">
        <is>
          <t>19.0%</t>
        </is>
      </c>
      <c r="E40" s="24" t="inlineStr">
        <is>
          <t>17.0%</t>
        </is>
      </c>
      <c r="F40" s="24" t="inlineStr">
        <is>
          <t>15.9%</t>
        </is>
      </c>
    </row>
    <row r="41" ht="15" customHeight="1" s="25">
      <c r="A41" s="28" t="inlineStr">
        <is>
          <t>ROIC %</t>
        </is>
      </c>
      <c r="B41" s="24" t="inlineStr">
        <is>
          <t>14.5%</t>
        </is>
      </c>
      <c r="C41" s="24" t="inlineStr">
        <is>
          <t>13.2%</t>
        </is>
      </c>
      <c r="D41" s="24" t="inlineStr">
        <is>
          <t>16.5%</t>
        </is>
      </c>
      <c r="E41" s="24" t="inlineStr">
        <is>
          <t>15.0%</t>
        </is>
      </c>
      <c r="F41" s="24" t="inlineStr">
        <is>
          <t>14.0%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1" max="1"/>
    <col width="15" customWidth="1" style="24" min="2" max="2"/>
    <col width="40" customWidth="1" style="24" min="3" max="3"/>
  </cols>
  <sheetData>
    <row r="1" ht="17.25" customHeight="1" s="25">
      <c r="A1" s="26" t="inlineStr">
        <is>
          <t>NETEASE DCF MODEL - KEY ASSUMPTIONS</t>
        </is>
      </c>
      <c r="B1" s="26" t="n"/>
    </row>
    <row r="3" ht="15" customHeight="1" s="25">
      <c r="A3" s="27" t="inlineStr">
        <is>
          <t>REVENUE GROWTH ASSUMPTIONS</t>
        </is>
      </c>
      <c r="B3" s="24" t="inlineStr">
        <is>
          <t>Value</t>
        </is>
      </c>
      <c r="C3" s="24" t="inlineStr">
        <is>
          <t>Notes</t>
        </is>
      </c>
    </row>
    <row r="4" ht="15" customHeight="1" s="25">
      <c r="A4" s="24" t="inlineStr">
        <is>
          <t>Base Year Revenue (RMB mn)</t>
        </is>
      </c>
      <c r="B4" s="33" t="n">
        <v>113000</v>
      </c>
      <c r="C4" s="24" t="inlineStr">
        <is>
          <t>TTM Q3 2025 (updated)</t>
        </is>
      </c>
    </row>
    <row r="5" ht="15" customHeight="1" s="25">
      <c r="A5" s="24" t="inlineStr">
        <is>
          <t>Year 1 Growth Rate</t>
        </is>
      </c>
      <c r="B5" s="34" t="inlineStr">
        <is>
          <t>10.0%</t>
        </is>
      </c>
      <c r="C5" s="24" t="inlineStr">
        <is>
          <t>Based on historical 12% CAGR, current 8-9% reacceleration</t>
        </is>
      </c>
    </row>
    <row r="6" ht="15" customHeight="1" s="25">
      <c r="A6" s="24" t="inlineStr">
        <is>
          <t>Year 2 Growth Rate</t>
        </is>
      </c>
      <c r="B6" s="34" t="inlineStr">
        <is>
          <t>9.0%</t>
        </is>
      </c>
      <c r="C6" s="24" t="inlineStr">
        <is>
          <t>Gradual normalization</t>
        </is>
      </c>
    </row>
    <row r="7" ht="15" customHeight="1" s="25">
      <c r="A7" s="24" t="inlineStr">
        <is>
          <t>Year 3 Growth Rate</t>
        </is>
      </c>
      <c r="B7" s="34" t="inlineStr">
        <is>
          <t>8.0%</t>
        </is>
      </c>
      <c r="C7" t="inlineStr"/>
    </row>
    <row r="8" ht="15" customHeight="1" s="25">
      <c r="A8" s="24" t="inlineStr">
        <is>
          <t>Year 4 Growth Rate</t>
        </is>
      </c>
      <c r="B8" s="34" t="inlineStr">
        <is>
          <t>7.5%</t>
        </is>
      </c>
      <c r="C8" t="inlineStr"/>
    </row>
    <row r="9" ht="15" customHeight="1" s="25">
      <c r="A9" s="24" t="inlineStr">
        <is>
          <t>Year 5 Growth Rate</t>
        </is>
      </c>
      <c r="B9" s="34" t="inlineStr">
        <is>
          <t>7.0%</t>
        </is>
      </c>
      <c r="C9" s="24" t="inlineStr">
        <is>
          <t>Mature but still growing</t>
        </is>
      </c>
    </row>
    <row r="10" ht="15" customHeight="1" s="25">
      <c r="A10" s="24" t="inlineStr">
        <is>
          <t>Terminal Growth Rate</t>
        </is>
      </c>
      <c r="B10" s="34" t="inlineStr">
        <is>
          <t>3.0%</t>
        </is>
      </c>
      <c r="C10" s="24" t="inlineStr">
        <is>
          <t>Global gaming market growth + international expansion</t>
        </is>
      </c>
    </row>
    <row r="12" ht="15" customHeight="1" s="25">
      <c r="A12" s="27" t="inlineStr">
        <is>
          <t>MARGIN ASSUMPTIONS</t>
        </is>
      </c>
    </row>
    <row r="13" ht="15" customHeight="1" s="25">
      <c r="A13" s="24" t="inlineStr">
        <is>
          <t>Gross Margin</t>
        </is>
      </c>
      <c r="B13" s="34" t="inlineStr">
        <is>
          <t>63.0%</t>
        </is>
      </c>
      <c r="C13" s="24" t="inlineStr">
        <is>
          <t>Stable based on historical trend</t>
        </is>
      </c>
    </row>
    <row r="14" ht="15" customHeight="1" s="25">
      <c r="A14" s="24" t="inlineStr">
        <is>
          <t>Operating Margin</t>
        </is>
      </c>
      <c r="B14" s="34" t="inlineStr">
        <is>
          <t>30-31%</t>
        </is>
      </c>
      <c r="C14" s="24" t="inlineStr">
        <is>
          <t>Slight expansion from 30% to 31% over forecast period</t>
        </is>
      </c>
    </row>
    <row r="15" ht="15" customHeight="1" s="25">
      <c r="A15" s="24" t="inlineStr">
        <is>
          <t>Tax Rate</t>
        </is>
      </c>
      <c r="B15" s="34" t="inlineStr">
        <is>
          <t>15.0%</t>
        </is>
      </c>
      <c r="C15" s="24" t="inlineStr">
        <is>
          <t>Effective rate for China tech</t>
        </is>
      </c>
    </row>
    <row r="16" ht="15" customHeight="1" s="25">
      <c r="A16" s="24" t="inlineStr">
        <is>
          <t>D&amp;A as % of Revenue</t>
        </is>
      </c>
      <c r="B16" s="34" t="inlineStr">
        <is>
          <t>3.5%</t>
        </is>
      </c>
      <c r="C16" s="24" t="inlineStr">
        <is>
          <t>Based on historical average</t>
        </is>
      </c>
    </row>
    <row r="17" ht="15" customHeight="1" s="25">
      <c r="A17" s="24" t="inlineStr">
        <is>
          <t>CapEx as % of Revenue</t>
        </is>
      </c>
      <c r="B17" s="34" t="inlineStr">
        <is>
          <t>1.2%</t>
        </is>
      </c>
      <c r="C17" s="24" t="inlineStr">
        <is>
          <t>Low capex business model</t>
        </is>
      </c>
    </row>
    <row r="18" ht="15" customHeight="1" s="25">
      <c r="A18" s="24" t="inlineStr">
        <is>
          <t>Change in NWC as % of Rev Growth</t>
        </is>
      </c>
      <c r="B18" s="34" t="inlineStr">
        <is>
          <t>5.0%</t>
        </is>
      </c>
      <c r="C18" s="24" t="inlineStr">
        <is>
          <t>Working capital needs</t>
        </is>
      </c>
    </row>
    <row r="20" ht="15" customHeight="1" s="25">
      <c r="A20" s="27" t="inlineStr">
        <is>
          <t>WACC CALCULATION</t>
        </is>
      </c>
    </row>
    <row r="21" ht="15" customHeight="1" s="25">
      <c r="A21" s="24" t="inlineStr">
        <is>
          <t>Risk-Free Rate</t>
        </is>
      </c>
      <c r="B21" s="34" t="inlineStr">
        <is>
          <t>4.5%</t>
        </is>
      </c>
      <c r="C21" s="24" t="inlineStr">
        <is>
          <t>10Y US Treasury + China premium</t>
        </is>
      </c>
    </row>
    <row r="22" ht="15" customHeight="1" s="25">
      <c r="A22" s="24" t="inlineStr">
        <is>
          <t>Equity Risk Premium</t>
        </is>
      </c>
      <c r="B22" s="34" t="inlineStr">
        <is>
          <t>6.0%</t>
        </is>
      </c>
      <c r="C22" s="24" t="inlineStr">
        <is>
          <t>Market risk premium</t>
        </is>
      </c>
    </row>
    <row r="23" ht="15" customHeight="1" s="25">
      <c r="A23" s="24" t="inlineStr">
        <is>
          <t>Beta (Levered)</t>
        </is>
      </c>
      <c r="B23" s="34" t="n">
        <v>0.7</v>
      </c>
      <c r="C23" s="24" t="inlineStr">
        <is>
          <t>Bloomberg adjusted beta</t>
        </is>
      </c>
    </row>
    <row r="24" ht="15" customHeight="1" s="25">
      <c r="A24" s="24" t="inlineStr">
        <is>
          <t>Cost of Equity</t>
        </is>
      </c>
      <c r="B24" s="34" t="inlineStr">
        <is>
          <t>8.7%</t>
        </is>
      </c>
      <c r="C24" s="24" t="inlineStr">
        <is>
          <t>Rf + Beta x ERP</t>
        </is>
      </c>
    </row>
    <row r="25" ht="15" customHeight="1" s="25">
      <c r="A25" s="24" t="inlineStr">
        <is>
          <t>Cost of Debt (Pre-tax)</t>
        </is>
      </c>
      <c r="B25" s="34" t="inlineStr">
        <is>
          <t>4.0%</t>
        </is>
      </c>
      <c r="C25" s="24" t="inlineStr">
        <is>
          <t>Investment grade</t>
        </is>
      </c>
    </row>
    <row r="26" ht="15" customHeight="1" s="25">
      <c r="A26" s="24" t="inlineStr">
        <is>
          <t>Tax Rate for Debt</t>
        </is>
      </c>
      <c r="B26" s="34" t="inlineStr">
        <is>
          <t>15.0%</t>
        </is>
      </c>
      <c r="C26" s="24" t="inlineStr">
        <is>
          <t>Effective tax rate</t>
        </is>
      </c>
    </row>
    <row r="27" ht="15" customHeight="1" s="25">
      <c r="A27" s="24" t="inlineStr">
        <is>
          <t>Cost of Debt (After-tax)</t>
        </is>
      </c>
      <c r="B27" s="34" t="inlineStr">
        <is>
          <t>3.4%</t>
        </is>
      </c>
      <c r="C27" s="24" t="inlineStr">
        <is>
          <t>Pre-tax x (1-Tax)</t>
        </is>
      </c>
    </row>
    <row r="28" ht="15" customHeight="1" s="25">
      <c r="A28" s="24" t="inlineStr">
        <is>
          <t>Debt/Total Capital</t>
        </is>
      </c>
      <c r="B28" s="34" t="inlineStr">
        <is>
          <t>5.0%</t>
        </is>
      </c>
      <c r="C28" s="24" t="inlineStr">
        <is>
          <t>Minimal leverage</t>
        </is>
      </c>
    </row>
    <row r="29" ht="15" customHeight="1" s="25">
      <c r="A29" s="24" t="inlineStr">
        <is>
          <t>Equity/Total Capital</t>
        </is>
      </c>
      <c r="B29" s="34" t="inlineStr">
        <is>
          <t>95.0%</t>
        </is>
      </c>
      <c r="C29" s="24" t="inlineStr">
        <is>
          <t>Mostly equity financed</t>
        </is>
      </c>
    </row>
    <row r="30" ht="15" customHeight="1" s="25">
      <c r="A30" s="24" t="inlineStr">
        <is>
          <t>WACC</t>
        </is>
      </c>
      <c r="B30" s="34" t="inlineStr">
        <is>
          <t>8.4%</t>
        </is>
      </c>
      <c r="C30" s="24" t="inlineStr">
        <is>
          <t>Weighted average cost of capital</t>
        </is>
      </c>
    </row>
    <row r="32" ht="15" customHeight="1" s="25">
      <c r="A32" s="27" t="inlineStr">
        <is>
          <t>VALUATION INPUTS</t>
        </is>
      </c>
    </row>
    <row r="33" ht="15" customHeight="1" s="25">
      <c r="A33" s="24" t="inlineStr">
        <is>
          <t>Shares Outstanding (mn)</t>
        </is>
      </c>
      <c r="B33" s="33" t="n">
        <v>3220</v>
      </c>
      <c r="C33" s="24" t="inlineStr">
        <is>
          <t>Ordinary shares</t>
        </is>
      </c>
    </row>
    <row r="34" ht="15" customHeight="1" s="25">
      <c r="A34" s="24" t="inlineStr">
        <is>
          <t>Net Cash Position (RMB mn)</t>
        </is>
      </c>
      <c r="B34" s="33" t="n">
        <v>141920</v>
      </c>
      <c r="C34" s="24" t="inlineStr">
        <is>
          <t>Cash - Debt as of Q3 2025</t>
        </is>
      </c>
    </row>
    <row r="35" ht="15" customHeight="1" s="25">
      <c r="A35" s="24" t="inlineStr">
        <is>
          <t>Current Stock Price (HKD)</t>
        </is>
      </c>
      <c r="B35" s="33" t="n">
        <v>211.9</v>
      </c>
      <c r="C35" s="24" t="inlineStr">
        <is>
          <t>As of Jan 2026</t>
        </is>
      </c>
    </row>
    <row r="36" ht="15" customHeight="1" s="25">
      <c r="A36" s="24" t="inlineStr">
        <is>
          <t>HKD/RMB Exchange Rate</t>
        </is>
      </c>
      <c r="B36" s="34" t="n">
        <v>0.93</v>
      </c>
      <c r="C36" s="24" t="inlineStr">
        <is>
          <t>Approximate rate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4" min="1" max="1"/>
    <col width="14" customWidth="1" style="24" min="2" max="8"/>
  </cols>
  <sheetData>
    <row r="1" ht="17.25" customHeight="1" s="25">
      <c r="A1" s="26" t="inlineStr">
        <is>
          <t>NETEASE DCF VALUATION MODEL</t>
        </is>
      </c>
      <c r="B1" s="26" t="n"/>
      <c r="C1" s="26" t="n"/>
      <c r="D1" s="26" t="n"/>
      <c r="E1" s="26" t="n"/>
      <c r="F1" s="26" t="n"/>
      <c r="G1" s="26" t="n"/>
      <c r="H1" s="26" t="n"/>
    </row>
    <row r="2" ht="15" customHeight="1" s="25">
      <c r="A2" s="24" t="inlineStr">
        <is>
          <t>(RMB millions unless noted)</t>
        </is>
      </c>
    </row>
    <row r="4" ht="15" customHeight="1" s="25">
      <c r="A4" s="29" t="n"/>
      <c r="B4" s="29" t="inlineStr">
        <is>
          <t>Base</t>
        </is>
      </c>
      <c r="C4" s="29" t="inlineStr">
        <is>
          <t>Year 1</t>
        </is>
      </c>
      <c r="D4" s="29" t="inlineStr">
        <is>
          <t>Year 2</t>
        </is>
      </c>
      <c r="E4" s="29" t="inlineStr">
        <is>
          <t>Year 3</t>
        </is>
      </c>
      <c r="F4" s="29" t="inlineStr">
        <is>
          <t>Year 4</t>
        </is>
      </c>
      <c r="G4" s="29" t="inlineStr">
        <is>
          <t>Year 5</t>
        </is>
      </c>
      <c r="H4" s="29" t="inlineStr">
        <is>
          <t>Terminal</t>
        </is>
      </c>
    </row>
    <row r="5" ht="15" customHeight="1" s="25">
      <c r="A5" s="24" t="inlineStr">
        <is>
          <t>Period</t>
        </is>
      </c>
      <c r="B5" s="24" t="inlineStr">
        <is>
          <t>2025</t>
        </is>
      </c>
      <c r="C5" s="24" t="inlineStr">
        <is>
          <t>2026</t>
        </is>
      </c>
      <c r="D5" s="24" t="inlineStr">
        <is>
          <t>2027</t>
        </is>
      </c>
      <c r="E5" s="24" t="inlineStr">
        <is>
          <t>2028</t>
        </is>
      </c>
      <c r="F5" s="24" t="inlineStr">
        <is>
          <t>2029</t>
        </is>
      </c>
      <c r="G5" s="24" t="inlineStr">
        <is>
          <t>2030</t>
        </is>
      </c>
    </row>
    <row r="7" ht="15" customHeight="1" s="25">
      <c r="A7" s="27" t="inlineStr">
        <is>
          <t>REVENUE PROJECTION</t>
        </is>
      </c>
    </row>
    <row r="8" ht="15" customHeight="1" s="25">
      <c r="A8" s="24" t="inlineStr">
        <is>
          <t>Revenue Growth Rate</t>
        </is>
      </c>
      <c r="C8" s="35" t="n">
        <v>0.1</v>
      </c>
      <c r="D8" s="35" t="n">
        <v>0.09</v>
      </c>
      <c r="E8" s="35" t="n">
        <v>0.08</v>
      </c>
      <c r="F8" s="35" t="n">
        <v>0.075</v>
      </c>
      <c r="G8" s="35" t="n">
        <v>0.07000000000000001</v>
      </c>
    </row>
    <row r="9" ht="15" customHeight="1" s="25">
      <c r="A9" s="24" t="inlineStr">
        <is>
          <t>Revenue</t>
        </is>
      </c>
      <c r="B9" s="33" t="n">
        <v>113000</v>
      </c>
      <c r="C9" s="36">
        <f>B9*(1+C8)</f>
        <v/>
      </c>
      <c r="D9" s="36">
        <f>C9*(1+D8)</f>
        <v/>
      </c>
      <c r="E9" s="36">
        <f>D9*(1+E8)</f>
        <v/>
      </c>
      <c r="F9" s="36">
        <f>E9*(1+F8)</f>
        <v/>
      </c>
      <c r="G9" s="36">
        <f>F9*(1+G8)</f>
        <v/>
      </c>
    </row>
    <row r="10" ht="15" customHeight="1" s="25">
      <c r="A10" s="24" t="inlineStr">
        <is>
          <t>YoY Growth %</t>
        </is>
      </c>
      <c r="C10" s="37">
        <f>(C9-B9)/B9</f>
        <v/>
      </c>
      <c r="D10" s="37">
        <f>(D9-C9)/C9</f>
        <v/>
      </c>
      <c r="E10" s="37">
        <f>(E9-D9)/D9</f>
        <v/>
      </c>
      <c r="F10" s="37">
        <f>(F9-E9)/E9</f>
        <v/>
      </c>
      <c r="G10" s="37">
        <f>(G9-F9)/F9</f>
        <v/>
      </c>
    </row>
    <row r="12" ht="15" customHeight="1" s="25">
      <c r="A12" s="27" t="inlineStr">
        <is>
          <t>FREE CASH FLOW CALCULATION</t>
        </is>
      </c>
    </row>
    <row r="13" ht="15" customHeight="1" s="25">
      <c r="A13" s="24" t="inlineStr">
        <is>
          <t>Operating Margin</t>
        </is>
      </c>
      <c r="B13" s="35" t="n">
        <v>0.3</v>
      </c>
      <c r="C13" s="35" t="n">
        <v>0.305</v>
      </c>
      <c r="D13" s="35" t="n">
        <v>0.31</v>
      </c>
      <c r="E13" s="35" t="n">
        <v>0.31</v>
      </c>
      <c r="F13" s="35" t="n">
        <v>0.31</v>
      </c>
      <c r="G13" s="35" t="n">
        <v>0.3</v>
      </c>
    </row>
    <row r="14" ht="15" customHeight="1" s="25">
      <c r="A14" s="24" t="inlineStr">
        <is>
          <t>Operating Income (EBIT)</t>
        </is>
      </c>
      <c r="B14" s="36">
        <f>B9*B13</f>
        <v/>
      </c>
      <c r="C14" s="36">
        <f>C9*C13</f>
        <v/>
      </c>
      <c r="D14" s="36">
        <f>D9*D13</f>
        <v/>
      </c>
      <c r="E14" s="36">
        <f>E9*E13</f>
        <v/>
      </c>
      <c r="F14" s="36">
        <f>F9*F13</f>
        <v/>
      </c>
      <c r="G14" s="36">
        <f>G9*G13</f>
        <v/>
      </c>
    </row>
    <row r="15" ht="15" customHeight="1" s="25">
      <c r="A15" s="24" t="inlineStr">
        <is>
          <t>Tax Rate</t>
        </is>
      </c>
      <c r="B15" s="35" t="n">
        <v>0.15</v>
      </c>
      <c r="C15" s="35" t="n">
        <v>0.15</v>
      </c>
      <c r="D15" s="35" t="n">
        <v>0.15</v>
      </c>
      <c r="E15" s="35" t="n">
        <v>0.15</v>
      </c>
      <c r="F15" s="35" t="n">
        <v>0.15</v>
      </c>
      <c r="G15" s="35" t="n">
        <v>0.15</v>
      </c>
    </row>
    <row r="16" ht="15" customHeight="1" s="25">
      <c r="A16" s="24" t="inlineStr">
        <is>
          <t>Less: Taxes</t>
        </is>
      </c>
      <c r="B16" s="36">
        <f>-B14*B15</f>
        <v/>
      </c>
      <c r="C16" s="36">
        <f>-C14*C15</f>
        <v/>
      </c>
      <c r="D16" s="36">
        <f>-D14*D15</f>
        <v/>
      </c>
      <c r="E16" s="36">
        <f>-E14*E15</f>
        <v/>
      </c>
      <c r="F16" s="36">
        <f>-F14*F15</f>
        <v/>
      </c>
      <c r="G16" s="36">
        <f>-G14*G15</f>
        <v/>
      </c>
    </row>
    <row r="17" ht="15" customHeight="1" s="25">
      <c r="A17" s="24" t="inlineStr">
        <is>
          <t>NOPAT (Net Operating Profit After Tax)</t>
        </is>
      </c>
      <c r="B17" s="36">
        <f>B14+B16</f>
        <v/>
      </c>
      <c r="C17" s="36">
        <f>C14+C16</f>
        <v/>
      </c>
      <c r="D17" s="36">
        <f>D14+D16</f>
        <v/>
      </c>
      <c r="E17" s="36">
        <f>E14+E16</f>
        <v/>
      </c>
      <c r="F17" s="36">
        <f>F14+F16</f>
        <v/>
      </c>
      <c r="G17" s="36">
        <f>G14+G16</f>
        <v/>
      </c>
    </row>
    <row r="18" ht="15" customHeight="1" s="25">
      <c r="A18" s="24" t="inlineStr">
        <is>
          <t>D&amp;A as % of Revenue</t>
        </is>
      </c>
      <c r="B18" s="35" t="n">
        <v>0.035</v>
      </c>
      <c r="C18" s="35" t="n">
        <v>0.035</v>
      </c>
      <c r="D18" s="35" t="n">
        <v>0.035</v>
      </c>
      <c r="E18" s="35" t="n">
        <v>0.035</v>
      </c>
      <c r="F18" s="35" t="n">
        <v>0.035</v>
      </c>
      <c r="G18" s="35" t="n">
        <v>0.035</v>
      </c>
    </row>
    <row r="19" ht="15" customHeight="1" s="25">
      <c r="A19" s="24" t="inlineStr">
        <is>
          <t>Add: Depreciation &amp; Amortization</t>
        </is>
      </c>
      <c r="B19" s="36">
        <f>B9*B18</f>
        <v/>
      </c>
      <c r="C19" s="36">
        <f>C9*C18</f>
        <v/>
      </c>
      <c r="D19" s="36">
        <f>D9*D18</f>
        <v/>
      </c>
      <c r="E19" s="36">
        <f>E9*E18</f>
        <v/>
      </c>
      <c r="F19" s="36">
        <f>F9*F18</f>
        <v/>
      </c>
      <c r="G19" s="36">
        <f>G9*G18</f>
        <v/>
      </c>
    </row>
    <row r="20" ht="15" customHeight="1" s="25">
      <c r="A20" s="24" t="inlineStr">
        <is>
          <t>CapEx as % of Revenue</t>
        </is>
      </c>
      <c r="B20" s="35" t="n">
        <v>0.012</v>
      </c>
      <c r="C20" s="35" t="n">
        <v>0.012</v>
      </c>
      <c r="D20" s="35" t="n">
        <v>0.012</v>
      </c>
      <c r="E20" s="35" t="n">
        <v>0.012</v>
      </c>
      <c r="F20" s="35" t="n">
        <v>0.012</v>
      </c>
      <c r="G20" s="35" t="n">
        <v>0.012</v>
      </c>
    </row>
    <row r="21" ht="15" customHeight="1" s="25">
      <c r="A21" s="24" t="inlineStr">
        <is>
          <t>Less: Capital Expenditures</t>
        </is>
      </c>
      <c r="B21" s="36">
        <f>-B9*B20</f>
        <v/>
      </c>
      <c r="C21" s="36">
        <f>-C9*C20</f>
        <v/>
      </c>
      <c r="D21" s="36">
        <f>-D9*D20</f>
        <v/>
      </c>
      <c r="E21" s="36">
        <f>-E9*E20</f>
        <v/>
      </c>
      <c r="F21" s="36">
        <f>-F9*F20</f>
        <v/>
      </c>
      <c r="G21" s="36">
        <f>-G9*G20</f>
        <v/>
      </c>
    </row>
    <row r="22" ht="15" customHeight="1" s="25">
      <c r="A22" s="24" t="inlineStr">
        <is>
          <t>Δ NWC as % of Revenue Change</t>
        </is>
      </c>
      <c r="B22" s="35" t="n">
        <v>0.05</v>
      </c>
      <c r="C22" s="35" t="n">
        <v>0.05</v>
      </c>
      <c r="D22" s="35" t="n">
        <v>0.05</v>
      </c>
      <c r="E22" s="35" t="n">
        <v>0.05</v>
      </c>
      <c r="F22" s="35" t="n">
        <v>0.05</v>
      </c>
      <c r="G22" s="35" t="n">
        <v>0.05</v>
      </c>
    </row>
    <row r="23" ht="15" customHeight="1" s="25">
      <c r="A23" s="24" t="inlineStr">
        <is>
          <t>Less: Change in Net Working Capital</t>
        </is>
      </c>
      <c r="B23" s="36" t="n">
        <v>0</v>
      </c>
      <c r="C23" s="36">
        <f>-(C9-B9)*C22</f>
        <v/>
      </c>
      <c r="D23" s="36">
        <f>-(D9-C9)*D22</f>
        <v/>
      </c>
      <c r="E23" s="36">
        <f>-(E9-D9)*E22</f>
        <v/>
      </c>
      <c r="F23" s="36">
        <f>-(F9-E9)*F22</f>
        <v/>
      </c>
      <c r="G23" s="36">
        <f>-(G9-F9)*G22</f>
        <v/>
      </c>
    </row>
    <row r="25" ht="15" customHeight="1" s="25">
      <c r="A25" s="38" t="inlineStr">
        <is>
          <t>Free Cash Flow (FCF)</t>
        </is>
      </c>
      <c r="B25" s="39">
        <f>B17+B19+B21+B23</f>
        <v/>
      </c>
      <c r="C25" s="39">
        <f>C17+C19+C21+C23</f>
        <v/>
      </c>
      <c r="D25" s="39">
        <f>D17+D19+D21+D23</f>
        <v/>
      </c>
      <c r="E25" s="39">
        <f>E17+E19+E21+E23</f>
        <v/>
      </c>
      <c r="F25" s="39">
        <f>F17+F19+F21+F23</f>
        <v/>
      </c>
      <c r="G25" s="39">
        <f>G17+G19+G21+G23</f>
        <v/>
      </c>
    </row>
    <row r="26" ht="15" customHeight="1" s="25">
      <c r="A26" s="24" t="inlineStr">
        <is>
          <t>FCF Growth %</t>
        </is>
      </c>
      <c r="C26" s="37">
        <f>(C25-B25)/B25</f>
        <v/>
      </c>
      <c r="D26" s="37">
        <f>(D25-C25)/C25</f>
        <v/>
      </c>
      <c r="E26" s="37">
        <f>(E25-D25)/D25</f>
        <v/>
      </c>
      <c r="F26" s="37">
        <f>(F25-E25)/E25</f>
        <v/>
      </c>
      <c r="G26" s="37">
        <f>(G25-F25)/F25</f>
        <v/>
      </c>
    </row>
    <row r="28" ht="15" customHeight="1" s="25">
      <c r="A28" s="27" t="inlineStr">
        <is>
          <t>DISCOUNTED CASH FLOW VALUATION</t>
        </is>
      </c>
    </row>
    <row r="29" ht="15" customHeight="1" s="25">
      <c r="A29" s="24" t="inlineStr">
        <is>
          <t>WACC</t>
        </is>
      </c>
      <c r="B29" s="35" t="n">
        <v>0.08400000000000001</v>
      </c>
    </row>
    <row r="30" ht="15" customHeight="1" s="25">
      <c r="A30" s="24" t="inlineStr">
        <is>
          <t>Terminal Growth Rate</t>
        </is>
      </c>
      <c r="B30" s="35" t="n">
        <v>0.03</v>
      </c>
    </row>
    <row r="31" ht="15" customHeight="1" s="25">
      <c r="A31" s="24" t="inlineStr">
        <is>
          <t>Discount Period</t>
        </is>
      </c>
      <c r="C31" s="24" t="n">
        <v>1</v>
      </c>
      <c r="D31" s="24" t="n">
        <v>2</v>
      </c>
      <c r="E31" s="24" t="n">
        <v>3</v>
      </c>
      <c r="F31" s="24" t="n">
        <v>4</v>
      </c>
      <c r="G31" s="24" t="n">
        <v>5</v>
      </c>
    </row>
    <row r="32" ht="15" customHeight="1" s="25">
      <c r="A32" s="24" t="inlineStr">
        <is>
          <t>Discount Factor</t>
        </is>
      </c>
      <c r="C32" s="40">
        <f>1/(1+$B$29)^C31</f>
        <v/>
      </c>
      <c r="D32" s="40">
        <f>1/(1+$B$29)^D31</f>
        <v/>
      </c>
      <c r="E32" s="40">
        <f>1/(1+$B$29)^E31</f>
        <v/>
      </c>
      <c r="F32" s="40">
        <f>1/(1+$B$29)^F31</f>
        <v/>
      </c>
      <c r="G32" s="40">
        <f>1/(1+$B$29)^G31</f>
        <v/>
      </c>
    </row>
    <row r="33" ht="15" customHeight="1" s="25">
      <c r="A33" s="24" t="inlineStr">
        <is>
          <t>Present Value of FCF</t>
        </is>
      </c>
      <c r="C33" s="36">
        <f>C25*C32</f>
        <v/>
      </c>
      <c r="D33" s="36">
        <f>D25*D32</f>
        <v/>
      </c>
      <c r="E33" s="36">
        <f>E25*E32</f>
        <v/>
      </c>
      <c r="F33" s="36">
        <f>F25*F32</f>
        <v/>
      </c>
      <c r="G33" s="36">
        <f>G25*G32</f>
        <v/>
      </c>
    </row>
    <row r="35" ht="15" customHeight="1" s="25">
      <c r="A35" s="38" t="inlineStr">
        <is>
          <t>Sum of PV of FCF (Years 1-5)</t>
        </is>
      </c>
      <c r="B35" s="36">
        <f>SUM(C33:G33)</f>
        <v/>
      </c>
    </row>
    <row r="36" ht="15" customHeight="1" s="25">
      <c r="A36" s="24" t="inlineStr">
        <is>
          <t>Terminal Value (Gordon Growth)</t>
        </is>
      </c>
      <c r="B36" s="36">
        <f>G25*(1+B30)/(B29-B30)</f>
        <v/>
      </c>
    </row>
    <row r="37" ht="15" customHeight="1" s="25">
      <c r="A37" s="24" t="inlineStr">
        <is>
          <t>PV of Terminal Value</t>
        </is>
      </c>
      <c r="B37" s="36">
        <f>B36*G32</f>
        <v/>
      </c>
    </row>
    <row r="39" ht="15" customHeight="1" s="25">
      <c r="A39" s="38" t="inlineStr">
        <is>
          <t>Enterprise Value</t>
        </is>
      </c>
      <c r="B39" s="39">
        <f>B35+B37</f>
        <v/>
      </c>
    </row>
    <row r="40" ht="15" customHeight="1" s="25">
      <c r="A40" s="24" t="inlineStr">
        <is>
          <t>Add: Net Cash Position</t>
        </is>
      </c>
      <c r="B40" s="33" t="n">
        <v>153200</v>
      </c>
    </row>
    <row r="41" ht="15" customHeight="1" s="25">
      <c r="A41" s="38" t="inlineStr">
        <is>
          <t>Equity Value</t>
        </is>
      </c>
      <c r="B41" s="39">
        <f>B39+B40</f>
        <v/>
      </c>
    </row>
    <row r="42" ht="15" customHeight="1" s="25">
      <c r="A42" s="24" t="inlineStr">
        <is>
          <t>Shares Outstanding (millions)</t>
        </is>
      </c>
      <c r="B42" s="33" t="n">
        <v>3220</v>
      </c>
    </row>
    <row r="43" ht="15" customHeight="1" s="25">
      <c r="A43" s="38" t="inlineStr">
        <is>
          <t>Implied Value per Share (RMB)</t>
        </is>
      </c>
      <c r="B43" s="41">
        <f>B41/B42</f>
        <v/>
      </c>
    </row>
    <row r="44" ht="15" customHeight="1" s="25">
      <c r="A44" s="24" t="inlineStr">
        <is>
          <t>HKD/RMB Exchange Rate</t>
        </is>
      </c>
      <c r="B44" s="34" t="n">
        <v>0.93</v>
      </c>
    </row>
    <row r="45" ht="15" customHeight="1" s="25">
      <c r="A45" s="38" t="inlineStr">
        <is>
          <t>Implied Value per Share (HKD)</t>
        </is>
      </c>
      <c r="B45" s="41">
        <f>B43/B44</f>
        <v/>
      </c>
    </row>
    <row r="46" ht="15" customHeight="1" s="25">
      <c r="A46" s="24" t="inlineStr">
        <is>
          <t>Current Stock Price (HKD)</t>
        </is>
      </c>
      <c r="B46" s="42" t="n">
        <v>211.9</v>
      </c>
    </row>
    <row r="47" ht="15" customHeight="1" s="25">
      <c r="A47" s="38" t="inlineStr">
        <is>
          <t>Upside / (Downside)</t>
        </is>
      </c>
      <c r="B47" s="43">
        <f>(B45-B46)/B46</f>
        <v/>
      </c>
    </row>
    <row r="49" ht="15" customHeight="1" s="25">
      <c r="A49" s="27" t="inlineStr">
        <is>
          <t>VALUATION BREAKDOWN</t>
        </is>
      </c>
    </row>
    <row r="50" ht="15" customHeight="1" s="25">
      <c r="A50" s="24" t="inlineStr">
        <is>
          <t>PV of FCF (Years 1-5)</t>
        </is>
      </c>
      <c r="B50" s="36">
        <f>B35</f>
        <v/>
      </c>
      <c r="C50" s="37">
        <f>B50/B39</f>
        <v/>
      </c>
    </row>
    <row r="51" ht="15" customHeight="1" s="25">
      <c r="A51" s="24" t="inlineStr">
        <is>
          <t>PV of Terminal Value</t>
        </is>
      </c>
      <c r="B51" s="36">
        <f>B37</f>
        <v/>
      </c>
      <c r="C51" s="37">
        <f>B51/B39</f>
        <v/>
      </c>
    </row>
    <row r="52" ht="15" customHeight="1" s="25">
      <c r="A52" s="24" t="inlineStr">
        <is>
          <t>Enterprise Value</t>
        </is>
      </c>
      <c r="B52" s="36">
        <f>B39</f>
        <v/>
      </c>
      <c r="C52" s="24" t="inlineStr">
        <is>
          <t>100.0%</t>
        </is>
      </c>
    </row>
    <row r="54" ht="15" customHeight="1" s="25">
      <c r="A54" s="27" t="inlineStr">
        <is>
          <t>SENSITIVITY ANALYSIS: WACC vs Terminal Growth</t>
        </is>
      </c>
    </row>
    <row r="56" ht="15" customHeight="1" s="25">
      <c r="A56" s="24" t="inlineStr">
        <is>
          <t>Implied Share Price (HKD)</t>
        </is>
      </c>
      <c r="C56" s="38" t="inlineStr">
        <is>
          <t>Terminal Growth Rate</t>
        </is>
      </c>
    </row>
    <row r="57" ht="15" customHeight="1" s="25">
      <c r="A57" s="38" t="inlineStr">
        <is>
          <t>WACC</t>
        </is>
      </c>
      <c r="C57" s="44" t="inlineStr">
        <is>
          <t>1.5%</t>
        </is>
      </c>
      <c r="D57" s="44" t="inlineStr">
        <is>
          <t>2.0%</t>
        </is>
      </c>
      <c r="E57" s="44" t="inlineStr">
        <is>
          <t>2.5%</t>
        </is>
      </c>
      <c r="F57" s="44" t="inlineStr">
        <is>
          <t>3.0%</t>
        </is>
      </c>
      <c r="G57" s="44" t="inlineStr">
        <is>
          <t>3.5%</t>
        </is>
      </c>
    </row>
    <row r="58" ht="15" customHeight="1" s="25">
      <c r="B58" s="45" t="n">
        <v>0.074</v>
      </c>
      <c r="C58" s="46">
        <f>(B35+(G25*(1+0.015)/(B58-0.015))*G32+B40)/B42/B44</f>
        <v/>
      </c>
      <c r="D58" s="46">
        <f>(B35+(G25*(1+0.02)/(B58-0.02))*G32+B40)/B42/B44</f>
        <v/>
      </c>
      <c r="E58" s="46">
        <f>(B35+(G25*(1+0.025)/(B58-0.025))*G32+B40)/B42/B44</f>
        <v/>
      </c>
      <c r="F58" s="46">
        <f>(B35+(G25*(1+0.03)/(B58-0.03))*G32+B40)/B42/B44</f>
        <v/>
      </c>
      <c r="G58" s="46">
        <f>(B35+(G25*(1+0.035)/(B58-0.035))*G32+B40)/B42/B44</f>
        <v/>
      </c>
    </row>
    <row r="59" ht="15" customHeight="1" s="25">
      <c r="B59" s="45" t="n">
        <v>0.079</v>
      </c>
      <c r="C59" s="46">
        <f>(B35+(G25*(1+0.015)/(B59-0.015))*G32+B40)/B42/B44</f>
        <v/>
      </c>
      <c r="D59" s="46">
        <f>(B35+(G25*(1+0.02)/(B59-0.02))*G32+B40)/B42/B44</f>
        <v/>
      </c>
      <c r="E59" s="46">
        <f>(B35+(G25*(1+0.025)/(B59-0.025))*G32+B40)/B42/B44</f>
        <v/>
      </c>
      <c r="F59" s="46">
        <f>(B35+(G25*(1+0.03)/(B59-0.03))*G32+B40)/B42/B44</f>
        <v/>
      </c>
      <c r="G59" s="46">
        <f>(B35+(G25*(1+0.035)/(B59-0.035))*G32+B40)/B42/B44</f>
        <v/>
      </c>
    </row>
    <row r="60" ht="15" customHeight="1" s="25">
      <c r="B60" s="45" t="n">
        <v>0.08400000000000001</v>
      </c>
      <c r="C60" s="46">
        <f>(B35+(G25*(1+0.015)/(B60-0.015))*G32+B40)/B42/B44</f>
        <v/>
      </c>
      <c r="D60" s="46">
        <f>(B35+(G25*(1+0.02)/(B60-0.02))*G32+B40)/B42/B44</f>
        <v/>
      </c>
      <c r="E60" s="47">
        <f>(B35+(G25*(1+0.025)/(B60-0.025))*G32+B40)/B42/B44</f>
        <v/>
      </c>
      <c r="F60" s="46">
        <f>(B35+(G25*(1+0.03)/(B60-0.03))*G32+B40)/B42/B44</f>
        <v/>
      </c>
      <c r="G60" s="46">
        <f>(B35+(G25*(1+0.035)/(B60-0.035))*G32+B40)/B42/B44</f>
        <v/>
      </c>
    </row>
    <row r="61" ht="15" customHeight="1" s="25">
      <c r="B61" s="45" t="n">
        <v>0.089</v>
      </c>
      <c r="C61" s="46">
        <f>(B35+(G25*(1+0.015)/(B61-0.015))*G32+B40)/B42/B44</f>
        <v/>
      </c>
      <c r="D61" s="46">
        <f>(B35+(G25*(1+0.02)/(B61-0.02))*G32+B40)/B42/B44</f>
        <v/>
      </c>
      <c r="E61" s="46">
        <f>(B35+(G25*(1+0.025)/(B61-0.025))*G32+B40)/B42/B44</f>
        <v/>
      </c>
      <c r="F61" s="46">
        <f>(B35+(G25*(1+0.03)/(B61-0.03))*G32+B40)/B42/B44</f>
        <v/>
      </c>
      <c r="G61" s="46">
        <f>(B35+(G25*(1+0.035)/(B61-0.035))*G32+B40)/B42/B44</f>
        <v/>
      </c>
    </row>
    <row r="62" ht="15" customHeight="1" s="25">
      <c r="B62" s="45" t="n">
        <v>0.094</v>
      </c>
      <c r="C62" s="46">
        <f>(B35+(G25*(1+0.015)/(B62-0.015))*G32+B40)/B42/B44</f>
        <v/>
      </c>
      <c r="D62" s="46">
        <f>(B35+(G25*(1+0.02)/(B62-0.02))*G32+B40)/B42/B44</f>
        <v/>
      </c>
      <c r="E62" s="46">
        <f>(B35+(G25*(1+0.025)/(B62-0.025))*G32+B40)/B42/B44</f>
        <v/>
      </c>
      <c r="F62" s="46">
        <f>(B35+(G25*(1+0.03)/(B62-0.03))*G32+B40)/B42/B44</f>
        <v/>
      </c>
      <c r="G62" s="46">
        <f>(B35+(G25*(1+0.035)/(B62-0.035))*G32+B40)/B42/B44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2026-01-05T01:30:18Z</dcterms:created>
  <dcterms:modified xmlns:dcterms="http://purl.org/dc/terms/" xmlns:xsi="http://www.w3.org/2001/XMLSchema-instance" xsi:type="dcterms:W3CDTF">2026-01-05T05:29:16Z</dcterms:modified>
  <cp:revision>0</cp:revision>
</cp:coreProperties>
</file>