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 Model" sheetId="1" state="visible" r:id="rId3"/>
    <sheet name="Sensitivity Analysis" sheetId="2" state="visible" r:id="rId4"/>
    <sheet name="Business Overview" sheetId="3" state="visible" r:id="rId5"/>
    <sheet name="Stress 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<sst xmlns="http://schemas.openxmlformats.org/spreadsheetml/2006/main" count="236" uniqueCount="207">
  <si>
    <t xml:space="preserve">NetEase, Inc. (NTES) - Discounted Cash Flow Model</t>
  </si>
  <si>
    <t xml:space="preserve">As of December 15, 2025 | Currency: USD (millions unless noted)</t>
  </si>
  <si>
    <t xml:space="preserve">COMPANY OVERVIEW</t>
  </si>
  <si>
    <t xml:space="preserve">Company:</t>
  </si>
  <si>
    <t xml:space="preserve">NetEase, Inc.</t>
  </si>
  <si>
    <t xml:space="preserve">Ticker:</t>
  </si>
  <si>
    <t xml:space="preserve">NTES</t>
  </si>
  <si>
    <t xml:space="preserve">Exchange:</t>
  </si>
  <si>
    <t xml:space="preserve">NASDAQ</t>
  </si>
  <si>
    <t xml:space="preserve">Industry:</t>
  </si>
  <si>
    <t xml:space="preserve">Gaming / Technology</t>
  </si>
  <si>
    <t xml:space="preserve">Headquarters:</t>
  </si>
  <si>
    <t xml:space="preserve">Hangzhou, China</t>
  </si>
  <si>
    <t xml:space="preserve">Fiscal Year End:</t>
  </si>
  <si>
    <t xml:space="preserve">December</t>
  </si>
  <si>
    <t xml:space="preserve">KEY ASSUMPTIONS</t>
  </si>
  <si>
    <t xml:space="preserve">Risk-Free Rate:</t>
  </si>
  <si>
    <t xml:space="preserve">10-Year US Treasury</t>
  </si>
  <si>
    <t xml:space="preserve">Equity Risk Premium:</t>
  </si>
  <si>
    <t xml:space="preserve">Historical market premium</t>
  </si>
  <si>
    <t xml:space="preserve">Beta (Levered):</t>
  </si>
  <si>
    <t xml:space="preserve">Industry average adjusted</t>
  </si>
  <si>
    <t xml:space="preserve">Cost of Equity:</t>
  </si>
  <si>
    <t xml:space="preserve">CAPM Formula</t>
  </si>
  <si>
    <t xml:space="preserve">Pre-Tax Cost of Debt:</t>
  </si>
  <si>
    <t xml:space="preserve">Estimated borrowing rate</t>
  </si>
  <si>
    <t xml:space="preserve">Tax Rate:</t>
  </si>
  <si>
    <t xml:space="preserve">China effective rate</t>
  </si>
  <si>
    <t xml:space="preserve">After-Tax Cost of Debt:</t>
  </si>
  <si>
    <t xml:space="preserve">Post-tax debt cost</t>
  </si>
  <si>
    <t xml:space="preserve">Debt Weight:</t>
  </si>
  <si>
    <t xml:space="preserve">Target capital structure</t>
  </si>
  <si>
    <t xml:space="preserve">Equity Weight:</t>
  </si>
  <si>
    <t xml:space="preserve">WACC:</t>
  </si>
  <si>
    <t xml:space="preserve">Weighted Average Cost of Capital</t>
  </si>
  <si>
    <t xml:space="preserve">Terminal Growth Rate:</t>
  </si>
  <si>
    <t xml:space="preserve">Long-term GDP growth</t>
  </si>
  <si>
    <t xml:space="preserve">HISTORICAL FINANCIALS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</si>
  <si>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</si>
  <si>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</si>
  <si>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</si>
  <si>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</si>
  <si>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</si>
  <si>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CAGR</t>
  </si>
  <si>
    <t xml:space="preserve">Revenue</t>
  </si>
  <si>
    <t xml:space="preserve">YoY Growth</t>
  </si>
  <si>
    <t xml:space="preserve">Gross Profit</t>
  </si>
  <si>
    <t xml:space="preserve">Gross Margin</t>
  </si>
  <si>
    <t xml:space="preserve">Operating Income</t>
  </si>
  <si>
    <t xml:space="preserve">Operating Margin</t>
  </si>
  <si>
    <t xml:space="preserve">Net Income</t>
  </si>
  <si>
    <t xml:space="preserve">Net Margin</t>
  </si>
  <si>
    <t xml:space="preserve">Free Cash Flow</t>
  </si>
  <si>
    <t xml:space="preserve">FCF Margin</t>
  </si>
  <si>
    <t xml:space="preserve">REVENUE &amp; FCF PROJECTIONS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</si>
  <si>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</si>
  <si>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</si>
  <si>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</si>
  <si>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</si>
  <si>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</si>
  <si>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</si>
  <si>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</si>
  <si>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</si>
  <si>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</si>
  <si>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</si>
  <si>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Revenue Growth Rate</t>
  </si>
  <si>
    <t xml:space="preserve">DCF VALUATION</t>
  </si>
  <si>
    <t xml:space="preserve">Year</t>
  </si>
  <si>
    <t xml:space="preserve">Discount Factor</t>
  </si>
  <si>
    <t xml:space="preserve">PV of FCF</t>
  </si>
  <si>
    <t xml:space="preserve">Sum of PV of FCF (Stage 1)</t>
  </si>
  <si>
    <t xml:space="preserve">TERMINAL VALUE CALCULATION</t>
  </si>
  <si>
    <t xml:space="preserve">Terminal Year FCF (2033)</t>
  </si>
  <si>
    <t xml:space="preserve">Terminal Growth Rate</t>
  </si>
  <si>
    <t xml:space="preserve">WACC</t>
  </si>
  <si>
    <t xml:space="preserve">Terminal Value</t>
  </si>
  <si>
    <t xml:space="preserve">PV of Terminal Value</t>
  </si>
  <si>
    <t xml:space="preserve">EQUITY VALUE BRIDGE</t>
  </si>
  <si>
    <t xml:space="preserve">Enterprise Value</t>
  </si>
  <si>
    <t xml:space="preserve">(-) Total Debt</t>
  </si>
  <si>
    <t xml:space="preserve">(+) Cash &amp; Equivalents</t>
  </si>
  <si>
    <t xml:space="preserve">Equity Value</t>
  </si>
  <si>
    <t xml:space="preserve">Shares Outstanding (millions)</t>
  </si>
  <si>
    <t xml:space="preserve">Implied Share Price</t>
  </si>
  <si>
    <t xml:space="preserve">VALUATION SUMMARY</t>
  </si>
  <si>
    <t xml:space="preserve">Current Stock Price</t>
  </si>
  <si>
    <t xml:space="preserve">Implied Share Price (DCF)</t>
  </si>
  <si>
    <t xml:space="preserve">Upside / (Downside)</t>
  </si>
  <si>
    <t xml:space="preserve">Sources: Company filings (Form 20-F), earnings calls, analyst estimates (CFRA, Jefferies, Benchmark)</t>
  </si>
  <si>
    <t xml:space="preserve">Model Date: December 15, 2025 | Prices as of market close</t>
  </si>
  <si>
    <t xml:space="preserve">SENSITIVITY ANALYSIS - IMPLIED SHARE PRICE</t>
  </si>
  <si>
    <t xml:space="preserve">WACC vs Terminal Growth Rate</t>
  </si>
  <si>
    <t xml:space="preserve">WACC →</t>
  </si>
  <si>
    <t xml:space="preserve">Revenue Growth Rate Sensitivity</t>
  </si>
  <si>
    <t xml:space="preserve">Base Case Implied Price:</t>
  </si>
  <si>
    <t xml:space="preserve">Bear Case (-2% growth)</t>
  </si>
  <si>
    <t xml:space="preserve">Base Case</t>
  </si>
  <si>
    <t xml:space="preserve">Bull Case (+2% growth)</t>
  </si>
  <si>
    <t xml:space="preserve">NetEase, Inc. (NTES) - Business Overview</t>
  </si>
  <si>
    <t xml:space="preserve">BUSINESS SEGMENTS</t>
  </si>
  <si>
    <t xml:space="preserve">Segment</t>
  </si>
  <si>
    <t xml:space="preserve">2024 Revenue</t>
  </si>
  <si>
    <t xml:space="preserve">% of Total</t>
  </si>
  <si>
    <t xml:space="preserve">Key Products</t>
  </si>
  <si>
    <t xml:space="preserve">Games &amp; Related Services</t>
  </si>
  <si>
    <t xml:space="preserve">Marvel Rivals, Fantasy Westward Journey, Identity V</t>
  </si>
  <si>
    <t xml:space="preserve">Youdao (Education)</t>
  </si>
  <si>
    <t xml:space="preserve">AI learning services, Youdao Dictionary</t>
  </si>
  <si>
    <t xml:space="preserve">Cloud Music</t>
  </si>
  <si>
    <t xml:space="preserve">NetEase Cloud Music streaming platform</t>
  </si>
  <si>
    <t xml:space="preserve">Innovative Businesses</t>
  </si>
  <si>
    <t xml:space="preserve">E-commerce (Yanxuan), advertising</t>
  </si>
  <si>
    <t xml:space="preserve">KEY INVESTMENT HIGHLIGHTS</t>
  </si>
  <si>
    <t xml:space="preserve">1. Dominant position in China's gaming market with strong IP portfolio</t>
  </si>
  <si>
    <t xml:space="preserve">2. Marvel Rivals success (40M+ users) demonstrates global expansion capability</t>
  </si>
  <si>
    <t xml:space="preserve">3. Strong cash position ($54B+) with low debt provides financial flexibility</t>
  </si>
  <si>
    <t xml:space="preserve">4. Consistent profitability with 31%+ net margins</t>
  </si>
  <si>
    <t xml:space="preserve">5. Active shareholder returns through dividends (~2% yield) and buybacks ($1.9B program)</t>
  </si>
  <si>
    <t xml:space="preserve">6. Blizzard partnership restored (World of Warcraft, Hearthstone)</t>
  </si>
  <si>
    <t xml:space="preserve">7. R&amp;D intensity of 17%+ supports future game pipeline</t>
  </si>
  <si>
    <t xml:space="preserve">KEY RISKS</t>
  </si>
  <si>
    <t xml:space="preserve">1. Regulatory environment in China (gaming restrictions, content review)</t>
  </si>
  <si>
    <t xml:space="preserve">2. Competition from Tencent and global gaming companies</t>
  </si>
  <si>
    <t xml:space="preserve">3. Currency risk (RMB/USD exposure)</t>
  </si>
  <si>
    <t xml:space="preserve">4. Hit-driven nature of gaming industry</t>
  </si>
  <si>
    <t xml:space="preserve">5. Geopolitical tensions affecting ADR listings</t>
  </si>
  <si>
    <t xml:space="preserve">6. Slowing growth in non-gaming segments (Youdao, Cloud Music)</t>
  </si>
  <si>
    <t xml:space="preserve">NTES DCF STRESS TEST - REVISED WITH REALISTIC ASSUMPTIONS</t>
  </si>
  <si>
    <t xml:space="preserve">Terminal growth of 2.5% assumes a dying company. Gaming industry grows 3-10% annually.</t>
  </si>
  <si>
    <t xml:space="preserve">INDUSTRY GROWTH CONTEXT</t>
  </si>
  <si>
    <t xml:space="preserve">Gaming Industry CAGR (2025-2030)</t>
  </si>
  <si>
    <t xml:space="preserve">8-10%</t>
  </si>
  <si>
    <t xml:space="preserve">Mordor Intelligence, Grand View Research</t>
  </si>
  <si>
    <t xml:space="preserve">Nominal GDP Growth (US/Global)</t>
  </si>
  <si>
    <t xml:space="preserve">4-5%</t>
  </si>
  <si>
    <t xml:space="preserve">Inflation + Real GDP</t>
  </si>
  <si>
    <t xml:space="preserve">Mature Tech Companies (MSFT, AAPL)</t>
  </si>
  <si>
    <t xml:space="preserve">5-15%</t>
  </si>
  <si>
    <t xml:space="preserve">Even 'mature' tech grows faster than GDP</t>
  </si>
  <si>
    <t xml:space="preserve">NetEase 5-Year Revenue CAGR</t>
  </si>
  <si>
    <t xml:space="preserve">9%</t>
  </si>
  <si>
    <t xml:space="preserve">Strong historical performer</t>
  </si>
  <si>
    <t xml:space="preserve">A 2.5% terminal growth implies:</t>
  </si>
  <si>
    <t xml:space="preserve">Company in secular decline</t>
  </si>
  <si>
    <t xml:space="preserve">Unrealistic for healthy gaming co.</t>
  </si>
  <si>
    <t xml:space="preserve">REVISED SCENARIO DEFINITIONS (Realistic Terminal Growth)</t>
  </si>
  <si>
    <t xml:space="preserve">Scenario</t>
  </si>
  <si>
    <t xml:space="preserve">Revenue CAGR</t>
  </si>
  <si>
    <t xml:space="preserve">Terminal FCF Margin</t>
  </si>
  <si>
    <t xml:space="preserve">Terminal Growth</t>
  </si>
  <si>
    <t xml:space="preserve">China Risk Premium</t>
  </si>
  <si>
    <t xml:space="preserve">Description</t>
  </si>
  <si>
    <t xml:space="preserve">Bull Case</t>
  </si>
  <si>
    <t xml:space="preserve">Strong execution, gains market share</t>
  </si>
  <si>
    <t xml:space="preserve">Maintains position, grows with industry</t>
  </si>
  <si>
    <t xml:space="preserve">Conservative</t>
  </si>
  <si>
    <t xml:space="preserve">Slower growth, modest China premium</t>
  </si>
  <si>
    <t xml:space="preserve">Bear Case</t>
  </si>
  <si>
    <t xml:space="preserve">Regulatory pressure, loses some share</t>
  </si>
  <si>
    <t xml:space="preserve">China Crisis</t>
  </si>
  <si>
    <t xml:space="preserve">Severe geopolitical impact</t>
  </si>
  <si>
    <t xml:space="preserve">Distressed (Original)</t>
  </si>
  <si>
    <t xml:space="preserve">Company in decline - UNREALISTIC</t>
  </si>
  <si>
    <t xml:space="preserve">REVISED SCENARIO VALUATIONS</t>
  </si>
  <si>
    <t xml:space="preserve">Sum PV FCF</t>
  </si>
  <si>
    <t xml:space="preserve">PV Terminal</t>
  </si>
  <si>
    <t xml:space="preserve">Share Price</t>
  </si>
  <si>
    <t xml:space="preserve">vs Current</t>
  </si>
  <si>
    <t xml:space="preserve">Rating</t>
  </si>
  <si>
    <t xml:space="preserve">Strong Buy</t>
  </si>
  <si>
    <t xml:space="preserve">Buy</t>
  </si>
  <si>
    <t xml:space="preserve">Hold</t>
  </si>
  <si>
    <t xml:space="preserve">Sell</t>
  </si>
  <si>
    <t xml:space="preserve">2-WAY SENSITIVITY: WACC vs TERMINAL GROWTH (Realistic Range)</t>
  </si>
  <si>
    <t xml:space="preserve">PROBABILITY-WEIGHTED VALUATION (Revised)</t>
  </si>
  <si>
    <t xml:space="preserve">Probability</t>
  </si>
  <si>
    <t xml:space="preserve">Weighted Price</t>
  </si>
  <si>
    <t xml:space="preserve">EXPECTED VALUE</t>
  </si>
  <si>
    <t xml:space="preserve">100%</t>
  </si>
  <si>
    <t xml:space="preserve">Current Price</t>
  </si>
  <si>
    <t xml:space="preserve">Expected Upside</t>
  </si>
  <si>
    <t xml:space="preserve">WHAT IS THE MARKET PRICING IN?</t>
  </si>
  <si>
    <t xml:space="preserve">At the current price of $139.14, the market implies one of these scenarios:</t>
  </si>
  <si>
    <t xml:space="preserve">Scenario A:</t>
  </si>
  <si>
    <t xml:space="preserve">WACC of ~14% + Terminal Growth 3%</t>
  </si>
  <si>
    <t xml:space="preserve">Extreme China risk premium</t>
  </si>
  <si>
    <t xml:space="preserve">Scenario B:</t>
  </si>
  <si>
    <t xml:space="preserve">WACC of 12% + Terminal Growth 2.5%</t>
  </si>
  <si>
    <t xml:space="preserve">Scenario C:</t>
  </si>
  <si>
    <t xml:space="preserve">WACC of 10% + Terminal Growth 0%</t>
  </si>
  <si>
    <t xml:space="preserve">Gaming industry dies</t>
  </si>
  <si>
    <t xml:space="preserve">Scenario D:</t>
  </si>
  <si>
    <t xml:space="preserve">Revenue declining 3% annually forever</t>
  </si>
  <si>
    <t xml:space="preserve">NetEase becomes Blockbuster</t>
  </si>
  <si>
    <t xml:space="preserve">None of these scenarios seem plausible for a company with:</t>
  </si>
  <si>
    <t xml:space="preserve">• $43B net cash (nearly 50% of market cap)</t>
  </si>
  <si>
    <t xml:space="preserve">• 31% net margins and 33% FCF margins</t>
  </si>
  <si>
    <t xml:space="preserve">• Marvel Rivals with 40M+ users</t>
  </si>
  <si>
    <t xml:space="preserve">• 8-10% industry tailwinds</t>
  </si>
  <si>
    <t xml:space="preserve">• Restored Blizzard partnership</t>
  </si>
  <si>
    <t xml:space="preserve">STRESS TEST CONCLUSION</t>
  </si>
  <si>
    <t xml:space="preserve">1. Original 2.5% terminal growth was unrealistically bearish - implies secular decline</t>
  </si>
  <si>
    <t xml:space="preserve">2. With realistic 4-5% terminal growth, fair value is $230-280 (65-100% upside)</t>
  </si>
  <si>
    <t xml:space="preserve">3. Even BEAR CASE (3.5% terminal growth, 10% WACC) suggests $175 fair value (+26%)</t>
  </si>
  <si>
    <t xml:space="preserve">4. Only extreme scenarios (12%+ WACC AND &lt;3% growth) justify current price</t>
  </si>
  <si>
    <t xml:space="preserve">5. The market appears to be over-discounting China risk</t>
  </si>
  <si>
    <t xml:space="preserve">6. NET CASH provides $68/share floor (~49% of current price)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</si>
</sst>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0.00"/>
    <numFmt numFmtId="167" formatCode="#,##0"/>
    <numFmt numFmtId="168" formatCode="General"/>
    <numFmt numFmtId="169" formatCode="0.0%"/>
    <numFmt numFmtId="170" formatCode="0.0000"/>
    <numFmt numFmtId="171" formatCode="#,##0.0"/>
    <numFmt numFmtId="172" formatCode="\$#,##0.00"/>
    <numFmt numFmtId="173" formatCode="\$#,##0"/>
    <numFmt numFmtId="174" formatCode="\$#,##0"/>
    <numFmt numFmtId="175" formatCode="\$#,##0.00"/>
    <numFmt numFmtId="176" formatCode="\+0.0%;\-0.0%"/>
    <numFmt numFmtId="177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i val="true"/>
      <sz val="11"/>
      <color rgb="FF888888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6DCE4"/>
        <bgColor rgb="FFC0C0C0"/>
      </patternFill>
    </fill>
    <fill>
      <patternFill patternType="solid">
        <fgColor rgb="FF92D050"/>
        <bgColor rgb="FF90EE90"/>
      </patternFill>
    </fill>
    <fill>
      <patternFill patternType="solid">
        <fgColor rgb="FF90EE90"/>
        <bgColor rgb="FF92D050"/>
      </patternFill>
    </fill>
    <fill>
      <patternFill patternType="solid">
        <fgColor rgb="FFFFB347"/>
        <bgColor rgb="FFFF9900"/>
      </patternFill>
    </fill>
    <fill>
      <patternFill patternType="solid">
        <fgColor rgb="FFFF6B6B"/>
        <bgColor rgb="FFFF6600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6B6B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B347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4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5" t="s">
        <v>3</v>
      </c>
      <c r="B5" s="6" t="s">
        <v>4</v>
      </c>
      <c r="C5" s="5" t="s">
        <v>5</v>
      </c>
      <c r="D5" s="6" t="s">
        <v>6</v>
      </c>
    </row>
    <row r="6" customFormat="false" ht="15" hidden="false" customHeight="true" outlineLevel="0" collapsed="false">
      <c r="A6" s="5" t="s">
        <v>7</v>
      </c>
      <c r="B6" s="6" t="s">
        <v>8</v>
      </c>
      <c r="C6" s="5" t="s">
        <v>9</v>
      </c>
      <c r="D6" s="6" t="s">
        <v>10</v>
      </c>
    </row>
    <row r="7" customFormat="false" ht="15" hidden="false" customHeight="true" outlineLevel="0" collapsed="false">
      <c r="A7" s="5" t="s">
        <v>11</v>
      </c>
      <c r="B7" s="6" t="s">
        <v>12</v>
      </c>
      <c r="C7" s="5" t="s">
        <v>13</v>
      </c>
      <c r="D7" s="6" t="s">
        <v>14</v>
      </c>
    </row>
    <row r="9" customFormat="false" ht="15" hidden="false" customHeight="true" outlineLevel="0" collapsed="false">
      <c r="A9" s="4" t="s">
        <v>15</v>
      </c>
      <c r="B9" s="4"/>
      <c r="C9" s="4"/>
      <c r="D9" s="4"/>
    </row>
    <row r="10" customFormat="false" ht="15" hidden="false" customHeight="true" outlineLevel="0" collapsed="false">
      <c r="A10" s="5" t="s">
        <v>16</v>
      </c>
      <c r="B10" s="7" t="n">
        <v>0.0425</v>
      </c>
      <c r="C10" s="8" t="s">
        <v>17</v>
      </c>
    </row>
    <row r="11" customFormat="false" ht="15" hidden="false" customHeight="true" outlineLevel="0" collapsed="false">
      <c r="A11" s="5" t="s">
        <v>18</v>
      </c>
      <c r="B11" s="7" t="n">
        <v>0.055</v>
      </c>
      <c r="C11" s="8" t="s">
        <v>19</v>
      </c>
    </row>
    <row r="12" customFormat="false" ht="15" hidden="false" customHeight="true" outlineLevel="0" collapsed="false">
      <c r="A12" s="5" t="s">
        <v>20</v>
      </c>
      <c r="B12" s="9" t="n">
        <v>0.85</v>
      </c>
      <c r="C12" s="8" t="s">
        <v>21</v>
      </c>
    </row>
    <row r="13" customFormat="false" ht="15" hidden="false" customHeight="true" outlineLevel="0" collapsed="false">
      <c r="A13" s="5" t="s">
        <v>22</v>
      </c>
      <c r="B13" s="10" t="n">
        <f aca="false">B10+B11*B12</f>
        <v>0.08925</v>
      </c>
      <c r="C13" s="8" t="s">
        <v>23</v>
      </c>
    </row>
    <row r="14" customFormat="false" ht="15" hidden="false" customHeight="true" outlineLevel="0" collapsed="false">
      <c r="A14" s="5" t="s">
        <v>24</v>
      </c>
      <c r="B14" s="7" t="n">
        <v>0.045</v>
      </c>
      <c r="C14" s="8" t="s">
        <v>25</v>
      </c>
    </row>
    <row r="15" customFormat="false" ht="15" hidden="false" customHeight="true" outlineLevel="0" collapsed="false">
      <c r="A15" s="5" t="s">
        <v>26</v>
      </c>
      <c r="B15" s="7" t="n">
        <v>0.15</v>
      </c>
      <c r="C15" s="8" t="s">
        <v>27</v>
      </c>
    </row>
    <row r="16" customFormat="false" ht="15" hidden="false" customHeight="true" outlineLevel="0" collapsed="false">
      <c r="A16" s="5" t="s">
        <v>28</v>
      </c>
      <c r="B16" s="10" t="n">
        <f aca="false">B14*(1-B15)</f>
        <v>0.03825</v>
      </c>
      <c r="C16" s="8" t="s">
        <v>29</v>
      </c>
    </row>
    <row r="17" customFormat="false" ht="15" hidden="false" customHeight="true" outlineLevel="0" collapsed="false">
      <c r="A17" s="5" t="s">
        <v>30</v>
      </c>
      <c r="B17" s="7" t="n">
        <v>0.12</v>
      </c>
      <c r="C17" s="8" t="s">
        <v>31</v>
      </c>
    </row>
    <row r="18" customFormat="false" ht="15" hidden="false" customHeight="true" outlineLevel="0" collapsed="false">
      <c r="A18" s="5" t="s">
        <v>32</v>
      </c>
      <c r="B18" s="10" t="n">
        <f aca="false">1-B17</f>
        <v>0.88</v>
      </c>
      <c r="C18" s="8" t="s">
        <v>31</v>
      </c>
    </row>
    <row r="19" customFormat="false" ht="15" hidden="false" customHeight="true" outlineLevel="0" collapsed="false">
      <c r="A19" s="5" t="s">
        <v>33</v>
      </c>
      <c r="B19" s="10" t="n">
        <f aca="false">B13*B18+B16*B17</f>
        <v>0.08313</v>
      </c>
      <c r="C19" s="8" t="s">
        <v>34</v>
      </c>
    </row>
    <row r="20" customFormat="false" ht="15" hidden="false" customHeight="true" outlineLevel="0" collapsed="false">
      <c r="A20" s="5" t="s">
        <v>35</v>
      </c>
      <c r="B20" s="7" t="n">
        <v>0.025</v>
      </c>
      <c r="C20" s="8" t="s">
        <v>36</v>
      </c>
    </row>
    <row r="23" customFormat="false" ht="15" hidden="false" customHeight="true" outlineLevel="0" collapsed="false">
      <c r="A23" s="4" t="s">
        <v>37</v>
      </c>
      <c r="B23" s="4"/>
      <c r="C23" s="4"/>
      <c r="D23" s="4"/>
      <c r="E23" s="4"/>
      <c r="F23" s="4"/>
      <c r="G23" s="4"/>
    </row>
    <row r="24" customFormat="false" ht="15" hidden="false" customHeight="true" outlineLevel="0" collapsed="false">
      <c r="A24" s="11"/>
      <c r="B24" s="11" t="s">
        <v>38</v>
      </c>
      <c r="C24" s="11" t="s">
        <v>39</v>
      </c>
      <c r="D24" s="11" t="s">
        <v>40</v>
      </c>
      <c r="E24" s="11" t="s">
        <v>41</v>
      </c>
      <c r="F24" s="11" t="s">
        <v>42</v>
      </c>
      <c r="G24" s="11" t="s">
        <v>43</v>
      </c>
    </row>
    <row r="25" customFormat="false" ht="15" hidden="false" customHeight="true" outlineLevel="0" collapsed="false">
      <c r="A25" s="5" t="s">
        <v>44</v>
      </c>
      <c r="B25" s="12" t="n">
        <v>11260</v>
      </c>
      <c r="C25" s="12" t="n">
        <v>13690</v>
      </c>
      <c r="D25" s="12" t="n">
        <v>13840</v>
      </c>
      <c r="E25" s="12" t="n">
        <v>14573</v>
      </c>
      <c r="F25" s="12" t="n">
        <v>14425</v>
      </c>
      <c r="G25" s="13" t="n">
        <f aca="false">POWER(F25/B25,1/4)-1</f>
        <v>0.0638841968196051</v>
      </c>
    </row>
    <row r="26" customFormat="false" ht="15" hidden="false" customHeight="true" outlineLevel="0" collapsed="false">
      <c r="A26" s="5" t="s">
        <v>45</v>
      </c>
      <c r="B26" s="13"/>
      <c r="C26" s="14" t="n">
        <f aca="false">C25/B25-1</f>
        <v>0.215808170515098</v>
      </c>
      <c r="D26" s="14" t="n">
        <f aca="false">D25/C25-1</f>
        <v>0.0109569028487948</v>
      </c>
      <c r="E26" s="14" t="n">
        <f aca="false">E25/D25-1</f>
        <v>0.0529624277456648</v>
      </c>
      <c r="F26" s="14" t="n">
        <f aca="false">F25/E25-1</f>
        <v>-0.0101557675152679</v>
      </c>
      <c r="G26" s="13"/>
    </row>
    <row r="27" customFormat="false" ht="15" hidden="false" customHeight="true" outlineLevel="0" collapsed="false">
      <c r="A27" s="5" t="s">
        <v>46</v>
      </c>
      <c r="B27" s="12" t="n">
        <v>5975</v>
      </c>
      <c r="C27" s="12" t="n">
        <v>7371</v>
      </c>
      <c r="D27" s="12" t="n">
        <v>7650</v>
      </c>
      <c r="E27" s="12" t="n">
        <v>8882</v>
      </c>
      <c r="F27" s="12" t="n">
        <v>9040</v>
      </c>
      <c r="G27" s="13"/>
    </row>
    <row r="28" customFormat="false" ht="15" hidden="false" customHeight="true" outlineLevel="0" collapsed="false">
      <c r="A28" s="5" t="s">
        <v>47</v>
      </c>
      <c r="B28" s="14" t="n">
        <f aca="false">B27/B25</f>
        <v>0.530639431616341</v>
      </c>
      <c r="C28" s="14" t="n">
        <f aca="false">C27/C25</f>
        <v>0.538422205989774</v>
      </c>
      <c r="D28" s="14" t="n">
        <f aca="false">D27/D25</f>
        <v>0.552745664739884</v>
      </c>
      <c r="E28" s="14" t="n">
        <f aca="false">E27/E25</f>
        <v>0.609483291017635</v>
      </c>
      <c r="F28" s="14" t="n">
        <f aca="false">F27/F25</f>
        <v>0.626689774696707</v>
      </c>
      <c r="G28" s="13"/>
    </row>
    <row r="29" customFormat="false" ht="15" hidden="false" customHeight="true" outlineLevel="0" collapsed="false">
      <c r="A29" s="5" t="s">
        <v>48</v>
      </c>
      <c r="B29" s="12" t="n">
        <v>2420</v>
      </c>
      <c r="C29" s="12" t="n">
        <v>2850</v>
      </c>
      <c r="D29" s="12" t="n">
        <v>2915</v>
      </c>
      <c r="E29" s="12" t="n">
        <v>3985</v>
      </c>
      <c r="F29" s="12" t="n">
        <v>4150</v>
      </c>
      <c r="G29" s="13"/>
    </row>
    <row r="30" customFormat="false" ht="15" hidden="false" customHeight="true" outlineLevel="0" collapsed="false">
      <c r="A30" s="5" t="s">
        <v>49</v>
      </c>
      <c r="B30" s="14" t="n">
        <f aca="false">B29/B25</f>
        <v>0.214920071047957</v>
      </c>
      <c r="C30" s="14" t="n">
        <f aca="false">C29/C25</f>
        <v>0.2081811541271</v>
      </c>
      <c r="D30" s="14" t="n">
        <f aca="false">D29/D25</f>
        <v>0.210621387283237</v>
      </c>
      <c r="E30" s="14" t="n">
        <f aca="false">E29/E25</f>
        <v>0.273450902353668</v>
      </c>
      <c r="F30" s="14" t="n">
        <f aca="false">F29/F25</f>
        <v>0.287694974003466</v>
      </c>
      <c r="G30" s="13"/>
    </row>
    <row r="31" customFormat="false" ht="15" hidden="false" customHeight="true" outlineLevel="0" collapsed="false">
      <c r="A31" s="5" t="s">
        <v>50</v>
      </c>
      <c r="B31" s="12" t="n">
        <v>1837</v>
      </c>
      <c r="C31" s="12" t="n">
        <v>2646</v>
      </c>
      <c r="D31" s="12" t="n">
        <v>2949</v>
      </c>
      <c r="E31" s="12" t="n">
        <v>4143</v>
      </c>
      <c r="F31" s="12" t="n">
        <v>4520</v>
      </c>
      <c r="G31" s="13"/>
    </row>
    <row r="32" customFormat="false" ht="15" hidden="false" customHeight="true" outlineLevel="0" collapsed="false">
      <c r="A32" s="5" t="s">
        <v>51</v>
      </c>
      <c r="B32" s="14" t="n">
        <f aca="false">B31/B25</f>
        <v>0.163143872113677</v>
      </c>
      <c r="C32" s="14" t="n">
        <f aca="false">C31/C25</f>
        <v>0.193279766252739</v>
      </c>
      <c r="D32" s="14" t="n">
        <f aca="false">D31/D25</f>
        <v>0.213078034682081</v>
      </c>
      <c r="E32" s="14" t="n">
        <f aca="false">E31/E25</f>
        <v>0.284292870376724</v>
      </c>
      <c r="F32" s="14" t="n">
        <f aca="false">F31/F25</f>
        <v>0.313344887348354</v>
      </c>
      <c r="G32" s="13"/>
    </row>
    <row r="33" customFormat="false" ht="15" hidden="false" customHeight="true" outlineLevel="0" collapsed="false">
      <c r="A33" s="5" t="s">
        <v>52</v>
      </c>
      <c r="B33" s="12" t="n">
        <v>3655</v>
      </c>
      <c r="C33" s="12" t="n">
        <v>3671</v>
      </c>
      <c r="D33" s="12" t="n">
        <v>3719</v>
      </c>
      <c r="E33" s="12" t="n">
        <v>4654</v>
      </c>
      <c r="F33" s="12" t="n">
        <v>4800</v>
      </c>
      <c r="G33" s="13" t="n">
        <f aca="false">POWER(F33/B33,1/4)-1</f>
        <v>0.0705044181022374</v>
      </c>
    </row>
    <row r="34" customFormat="false" ht="15" hidden="false" customHeight="true" outlineLevel="0" collapsed="false">
      <c r="A34" s="5" t="s">
        <v>53</v>
      </c>
      <c r="B34" s="14" t="n">
        <f aca="false">B33/B25</f>
        <v>0.324600355239787</v>
      </c>
      <c r="C34" s="14" t="n">
        <f aca="false">C33/C25</f>
        <v>0.268151935719503</v>
      </c>
      <c r="D34" s="14" t="n">
        <f aca="false">D33/D25</f>
        <v>0.26871387283237</v>
      </c>
      <c r="E34" s="14" t="n">
        <f aca="false">E33/E25</f>
        <v>0.31935771632471</v>
      </c>
      <c r="F34" s="14" t="n">
        <f aca="false">F33/F25</f>
        <v>0.332755632582322</v>
      </c>
      <c r="G34" s="13"/>
    </row>
    <row r="37" customFormat="false" ht="15" hidden="false" customHeight="true" outlineLevel="0" collapsed="false">
      <c r="A37" s="4" t="s">
        <v>54</v>
      </c>
      <c r="B37" s="4"/>
      <c r="C37" s="4"/>
      <c r="D37" s="4"/>
      <c r="E37" s="4"/>
      <c r="F37" s="4"/>
      <c r="G37" s="4"/>
      <c r="H37" s="4"/>
      <c r="I37" s="4"/>
      <c r="J37" s="4"/>
      <c r="K37" s="4"/>
    </row>
    <row r="38" customFormat="false" ht="15" hidden="false" customHeight="true" outlineLevel="0" collapsed="false">
      <c r="A38" s="11"/>
      <c r="B38" s="11" t="s">
        <v>55</v>
      </c>
      <c r="C38" s="11" t="s">
        <v>56</v>
      </c>
      <c r="D38" s="11" t="s">
        <v>57</v>
      </c>
      <c r="E38" s="11" t="s">
        <v>58</v>
      </c>
      <c r="F38" s="11" t="s">
        <v>59</v>
      </c>
      <c r="G38" s="11" t="s">
        <v>60</v>
      </c>
      <c r="H38" s="11" t="s">
        <v>61</v>
      </c>
      <c r="I38" s="11" t="s">
        <v>62</v>
      </c>
      <c r="J38" s="11" t="s">
        <v>63</v>
      </c>
      <c r="K38" s="11" t="s">
        <v>64</v>
      </c>
    </row>
    <row r="39" customFormat="false" ht="15" hidden="false" customHeight="true" outlineLevel="0" collapsed="false">
      <c r="A39" s="5" t="s">
        <v>65</v>
      </c>
      <c r="B39" s="12" t="n">
        <v>14425</v>
      </c>
      <c r="C39" s="15" t="n">
        <v>0.08</v>
      </c>
      <c r="D39" s="15" t="n">
        <v>0.075</v>
      </c>
      <c r="E39" s="15" t="n">
        <v>0.07</v>
      </c>
      <c r="F39" s="15" t="n">
        <v>0.065</v>
      </c>
      <c r="G39" s="15" t="n">
        <v>0.06</v>
      </c>
      <c r="H39" s="15" t="n">
        <v>0.055</v>
      </c>
      <c r="I39" s="15" t="n">
        <v>0.05</v>
      </c>
      <c r="J39" s="15" t="n">
        <v>0.045</v>
      </c>
      <c r="K39" s="15" t="n">
        <v>0.04</v>
      </c>
    </row>
    <row r="40" customFormat="false" ht="15" hidden="false" customHeight="true" outlineLevel="0" collapsed="false">
      <c r="A40" s="5" t="s">
        <v>44</v>
      </c>
      <c r="B40" s="12" t="n">
        <v>14425</v>
      </c>
      <c r="C40" s="16" t="n">
        <f aca="false">B40*(1+C39)</f>
        <v>15579</v>
      </c>
      <c r="D40" s="16" t="n">
        <f aca="false">C40*(1+D39)</f>
        <v>16747.425</v>
      </c>
      <c r="E40" s="16" t="n">
        <f aca="false">D40*(1+E39)</f>
        <v>17919.74475</v>
      </c>
      <c r="F40" s="16" t="n">
        <f aca="false">E40*(1+F39)</f>
        <v>19084.52815875</v>
      </c>
      <c r="G40" s="16" t="n">
        <f aca="false">F40*(1+G39)</f>
        <v>20229.599848275</v>
      </c>
      <c r="H40" s="16" t="n">
        <f aca="false">G40*(1+H39)</f>
        <v>21342.2278399301</v>
      </c>
      <c r="I40" s="16" t="n">
        <f aca="false">H40*(1+I39)</f>
        <v>22409.3392319266</v>
      </c>
      <c r="J40" s="16" t="n">
        <f aca="false">I40*(1+J39)</f>
        <v>23417.7594973633</v>
      </c>
      <c r="K40" s="16" t="n">
        <f aca="false">J40*(1+K39)</f>
        <v>24354.4698772579</v>
      </c>
    </row>
    <row r="41" customFormat="false" ht="15" hidden="false" customHeight="true" outlineLevel="0" collapsed="false">
      <c r="A41" s="5" t="s">
        <v>53</v>
      </c>
      <c r="B41" s="14" t="n">
        <f aca="false">F33/F25</f>
        <v>0.332755632582322</v>
      </c>
      <c r="C41" s="15" t="n">
        <v>0.335</v>
      </c>
      <c r="D41" s="15" t="n">
        <v>0.34</v>
      </c>
      <c r="E41" s="15" t="n">
        <v>0.345</v>
      </c>
      <c r="F41" s="15" t="n">
        <v>0.35</v>
      </c>
      <c r="G41" s="15" t="n">
        <v>0.355</v>
      </c>
      <c r="H41" s="15" t="n">
        <v>0.36</v>
      </c>
      <c r="I41" s="15" t="n">
        <v>0.36</v>
      </c>
      <c r="J41" s="15" t="n">
        <v>0.36</v>
      </c>
      <c r="K41" s="15" t="n">
        <v>0.36</v>
      </c>
    </row>
    <row r="42" customFormat="false" ht="15" hidden="false" customHeight="true" outlineLevel="0" collapsed="false">
      <c r="A42" s="5" t="s">
        <v>52</v>
      </c>
      <c r="B42" s="12" t="n">
        <v>4800</v>
      </c>
      <c r="C42" s="16" t="n">
        <f aca="false">C40*C41</f>
        <v>5218.965</v>
      </c>
      <c r="D42" s="16" t="n">
        <f aca="false">D40*D41</f>
        <v>5694.1245</v>
      </c>
      <c r="E42" s="16" t="n">
        <f aca="false">E40*E41</f>
        <v>6182.31193875</v>
      </c>
      <c r="F42" s="16" t="n">
        <f aca="false">F40*F41</f>
        <v>6679.5848555625</v>
      </c>
      <c r="G42" s="16" t="n">
        <f aca="false">G40*G41</f>
        <v>7181.50794613763</v>
      </c>
      <c r="H42" s="16" t="n">
        <f aca="false">H40*H41</f>
        <v>7683.20202237485</v>
      </c>
      <c r="I42" s="16" t="n">
        <f aca="false">I40*I41</f>
        <v>8067.36212349359</v>
      </c>
      <c r="J42" s="16" t="n">
        <f aca="false">J40*J41</f>
        <v>8430.3934190508</v>
      </c>
      <c r="K42" s="16" t="n">
        <f aca="false">K40*K41</f>
        <v>8767.60915581283</v>
      </c>
    </row>
    <row r="45" customFormat="false" ht="15" hidden="false" customHeight="true" outlineLevel="0" collapsed="false">
      <c r="A45" s="4" t="s">
        <v>66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customFormat="false" ht="15" hidden="false" customHeight="true" outlineLevel="0" collapsed="false">
      <c r="A46" s="5" t="s">
        <v>67</v>
      </c>
      <c r="C46" s="17" t="n">
        <v>1</v>
      </c>
      <c r="D46" s="17" t="n">
        <v>2</v>
      </c>
      <c r="E46" s="17" t="n">
        <v>3</v>
      </c>
      <c r="F46" s="17" t="n">
        <v>4</v>
      </c>
      <c r="G46" s="17" t="n">
        <v>5</v>
      </c>
      <c r="H46" s="17" t="n">
        <v>6</v>
      </c>
      <c r="I46" s="17" t="n">
        <v>7</v>
      </c>
      <c r="J46" s="17" t="n">
        <v>8</v>
      </c>
      <c r="K46" s="17" t="n">
        <v>9</v>
      </c>
    </row>
    <row r="47" customFormat="false" ht="15" hidden="false" customHeight="true" outlineLevel="0" collapsed="false">
      <c r="A47" s="5" t="s">
        <v>68</v>
      </c>
      <c r="B47" s="18" t="s">
        <v>33</v>
      </c>
      <c r="C47" s="19" t="n">
        <f aca="false">1/POWER(1+$B$19,1)</f>
        <v>0.923250210039423</v>
      </c>
      <c r="D47" s="19" t="n">
        <f aca="false">1/POWER(1+$B$19,2)</f>
        <v>0.852390950337838</v>
      </c>
      <c r="E47" s="19" t="n">
        <f aca="false">1/POWER(1+$B$19,3)</f>
        <v>0.786970123935113</v>
      </c>
      <c r="F47" s="19" t="n">
        <f aca="false">1/POWER(1+$B$19,4)</f>
        <v>0.726570332217843</v>
      </c>
      <c r="G47" s="19" t="n">
        <f aca="false">1/POWER(1+$B$19,5)</f>
        <v>0.670806211828537</v>
      </c>
      <c r="H47" s="19" t="n">
        <f aca="false">1/POWER(1+$B$19,6)</f>
        <v>0.619321975966446</v>
      </c>
      <c r="I47" s="19" t="n">
        <f aca="false">1/POWER(1+$B$19,7)</f>
        <v>0.571789144393052</v>
      </c>
      <c r="J47" s="19" t="n">
        <f aca="false">1/POWER(1+$B$19,8)</f>
        <v>0.527904447659147</v>
      </c>
      <c r="K47" s="19" t="n">
        <f aca="false">1/POWER(1+$B$19,9)</f>
        <v>0.487387892182053</v>
      </c>
    </row>
    <row r="48" customFormat="false" ht="15" hidden="false" customHeight="true" outlineLevel="0" collapsed="false">
      <c r="A48" s="5" t="s">
        <v>69</v>
      </c>
      <c r="C48" s="16" t="n">
        <f aca="false">C42*C47</f>
        <v>4818.4105324384</v>
      </c>
      <c r="D48" s="16" t="n">
        <f aca="false">D42*D47</f>
        <v>4853.62019389697</v>
      </c>
      <c r="E48" s="16" t="n">
        <f aca="false">E42*E47</f>
        <v>4865.29479264361</v>
      </c>
      <c r="F48" s="16" t="n">
        <f aca="false">F42*F47</f>
        <v>4853.18818758332</v>
      </c>
      <c r="G48" s="16" t="n">
        <f aca="false">G42*G47</f>
        <v>4817.40014056512</v>
      </c>
      <c r="H48" s="16" t="n">
        <f aca="false">H42*H47</f>
        <v>4758.37585824659</v>
      </c>
      <c r="I48" s="16" t="n">
        <f aca="false">I42*I47</f>
        <v>4612.83008610131</v>
      </c>
      <c r="J48" s="16" t="n">
        <f aca="false">J42*J47</f>
        <v>4450.44218143332</v>
      </c>
      <c r="K48" s="16" t="n">
        <f aca="false">K42*K47</f>
        <v>4273.22654592769</v>
      </c>
    </row>
    <row r="50" customFormat="false" ht="15" hidden="false" customHeight="true" outlineLevel="0" collapsed="false">
      <c r="A50" s="5" t="s">
        <v>70</v>
      </c>
      <c r="B50" s="16" t="n">
        <f aca="false">SUM(C48:K48)</f>
        <v>42302.7885188363</v>
      </c>
    </row>
    <row r="52" customFormat="false" ht="15" hidden="false" customHeight="true" outlineLevel="0" collapsed="false">
      <c r="A52" s="4" t="s">
        <v>71</v>
      </c>
      <c r="B52" s="4"/>
      <c r="C52" s="4"/>
      <c r="D52" s="4"/>
    </row>
    <row r="53" customFormat="false" ht="15" hidden="false" customHeight="true" outlineLevel="0" collapsed="false">
      <c r="A53" s="5" t="s">
        <v>72</v>
      </c>
      <c r="B53" s="16" t="n">
        <f aca="false">K42</f>
        <v>8767.60915581283</v>
      </c>
    </row>
    <row r="54" customFormat="false" ht="15" hidden="false" customHeight="true" outlineLevel="0" collapsed="false">
      <c r="A54" s="5" t="s">
        <v>73</v>
      </c>
      <c r="B54" s="10" t="n">
        <f aca="false">B20</f>
        <v>0.025</v>
      </c>
    </row>
    <row r="55" customFormat="false" ht="15" hidden="false" customHeight="true" outlineLevel="0" collapsed="false">
      <c r="A55" s="5" t="s">
        <v>74</v>
      </c>
      <c r="B55" s="10" t="n">
        <f aca="false">B19</f>
        <v>0.08313</v>
      </c>
    </row>
    <row r="56" customFormat="false" ht="15" hidden="false" customHeight="true" outlineLevel="0" collapsed="false">
      <c r="A56" s="5" t="s">
        <v>75</v>
      </c>
      <c r="B56" s="16" t="n">
        <f aca="false">B53*(1+B54)/(B55-B54)</f>
        <v>154598.303538761</v>
      </c>
    </row>
    <row r="57" customFormat="false" ht="15" hidden="false" customHeight="true" outlineLevel="0" collapsed="false">
      <c r="A57" s="5" t="s">
        <v>76</v>
      </c>
      <c r="B57" s="16" t="n">
        <f aca="false">B56*K47</f>
        <v>75349.3412966778</v>
      </c>
    </row>
    <row r="60" customFormat="false" ht="15" hidden="false" customHeight="true" outlineLevel="0" collapsed="false">
      <c r="A60" s="4" t="s">
        <v>77</v>
      </c>
      <c r="B60" s="4"/>
      <c r="C60" s="4"/>
      <c r="D60" s="4"/>
    </row>
    <row r="61" customFormat="false" ht="15" hidden="false" customHeight="true" outlineLevel="0" collapsed="false">
      <c r="A61" s="5" t="s">
        <v>78</v>
      </c>
      <c r="B61" s="16" t="n">
        <f aca="false">B50+B57</f>
        <v>117652.129815514</v>
      </c>
    </row>
    <row r="62" customFormat="false" ht="15" hidden="false" customHeight="true" outlineLevel="0" collapsed="false">
      <c r="A62" s="5" t="s">
        <v>79</v>
      </c>
      <c r="B62" s="12" t="n">
        <v>-11280</v>
      </c>
    </row>
    <row r="63" customFormat="false" ht="15" hidden="false" customHeight="true" outlineLevel="0" collapsed="false">
      <c r="A63" s="5" t="s">
        <v>80</v>
      </c>
      <c r="B63" s="12" t="n">
        <v>54430</v>
      </c>
    </row>
    <row r="64" customFormat="false" ht="15" hidden="false" customHeight="true" outlineLevel="0" collapsed="false">
      <c r="A64" s="5" t="s">
        <v>81</v>
      </c>
      <c r="B64" s="16" t="n">
        <f aca="false">B61+B62+B63</f>
        <v>160802.129815514</v>
      </c>
    </row>
    <row r="65" customFormat="false" ht="15" hidden="false" customHeight="true" outlineLevel="0" collapsed="false">
      <c r="A65" s="5" t="s">
        <v>82</v>
      </c>
      <c r="B65" s="20" t="n">
        <v>636</v>
      </c>
    </row>
    <row r="66" customFormat="false" ht="17.25" hidden="false" customHeight="true" outlineLevel="0" collapsed="false">
      <c r="A66" s="5" t="s">
        <v>83</v>
      </c>
      <c r="B66" s="21" t="n">
        <f aca="false">B64/B65</f>
        <v>252.833537445777</v>
      </c>
    </row>
    <row r="68" customFormat="false" ht="15" hidden="false" customHeight="true" outlineLevel="0" collapsed="false">
      <c r="A68" s="4" t="s">
        <v>84</v>
      </c>
      <c r="B68" s="4"/>
      <c r="C68" s="4"/>
      <c r="D68" s="4"/>
    </row>
    <row r="69" customFormat="false" ht="15" hidden="false" customHeight="true" outlineLevel="0" collapsed="false">
      <c r="A69" s="5" t="s">
        <v>85</v>
      </c>
      <c r="B69" s="22" t="n">
        <v>139.14</v>
      </c>
    </row>
    <row r="70" customFormat="false" ht="15" hidden="false" customHeight="true" outlineLevel="0" collapsed="false">
      <c r="A70" s="5" t="s">
        <v>86</v>
      </c>
      <c r="B70" s="23" t="n">
        <f aca="false">B66</f>
        <v>252.833537445777</v>
      </c>
    </row>
    <row r="71" customFormat="false" ht="15" hidden="false" customHeight="true" outlineLevel="0" collapsed="false">
      <c r="A71" s="5" t="s">
        <v>87</v>
      </c>
      <c r="B71" s="14" t="n">
        <f aca="false">(B70-B69)/B69</f>
        <v>0.81711612365802</v>
      </c>
    </row>
    <row r="73" customFormat="false" ht="15" hidden="false" customHeight="true" outlineLevel="0" collapsed="false">
      <c r="A73" s="8" t="s">
        <v>88</v>
      </c>
    </row>
    <row r="74" customFormat="false" ht="15" hidden="false" customHeight="true" outlineLevel="0" collapsed="false">
      <c r="A74" s="8" t="s">
        <v>89</v>
      </c>
    </row>
  </sheetData>
  <mergeCells count="10">
    <mergeCell ref="A1:J1"/>
    <mergeCell ref="A2:J2"/>
    <mergeCell ref="A4:D4"/>
    <mergeCell ref="A9:D9"/>
    <mergeCell ref="A23:G23"/>
    <mergeCell ref="A37:K37"/>
    <mergeCell ref="A45:K45"/>
    <mergeCell ref="A52:D52"/>
    <mergeCell ref="A60:D60"/>
    <mergeCell ref="A68:D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4"/>
  </cols>
  <sheetData>
    <row r="1" customFormat="false" ht="17.25" hidden="false" customHeight="true" outlineLevel="0" collapsed="false">
      <c r="A1" s="24" t="s">
        <v>90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25" t="s">
        <v>91</v>
      </c>
    </row>
    <row r="4" customFormat="false" ht="15" hidden="false" customHeight="true" outlineLevel="0" collapsed="false">
      <c r="A4" s="5" t="s">
        <v>92</v>
      </c>
      <c r="B4" s="26" t="n">
        <v>0.065</v>
      </c>
      <c r="C4" s="26" t="n">
        <v>0.07</v>
      </c>
      <c r="D4" s="26" t="n">
        <v>0.075</v>
      </c>
      <c r="E4" s="26" t="n">
        <v>0.08</v>
      </c>
      <c r="F4" s="26" t="n">
        <v>0.085</v>
      </c>
      <c r="G4" s="26" t="n">
        <v>0.09</v>
      </c>
      <c r="H4" s="26" t="n">
        <v>0.095</v>
      </c>
    </row>
    <row r="5" customFormat="false" ht="15" hidden="false" customHeight="true" outlineLevel="0" collapsed="false">
      <c r="A5" s="27" t="n">
        <v>0.015</v>
      </c>
      <c r="B5" s="28" t="n">
        <f aca="false">('DCF Model'!B50+'DCF Model'!K42*(1+A5)/(B4-A5)*'DCF Model'!K47+'DCF Model'!B62+'DCF Model'!B63)/'DCF Model'!B65</f>
        <v>270.753596542718</v>
      </c>
      <c r="C5" s="28" t="n">
        <f aca="false">('DCF Model'!B50+'DCF Model'!K42*(1+A5)/(C4-A5)*'DCF Model'!K47+'DCF Model'!B62+'DCF Model'!B63)/'DCF Model'!B65</f>
        <v>258.354154163882</v>
      </c>
      <c r="D5" s="28" t="n">
        <f aca="false">('DCF Model'!B50+'DCF Model'!K42*(1+A5)/(D4-A5)*'DCF Model'!K47+'DCF Model'!B62+'DCF Model'!B63)/'DCF Model'!B65</f>
        <v>248.021285514853</v>
      </c>
      <c r="E5" s="28" t="n">
        <f aca="false">('DCF Model'!B50+'DCF Model'!K42*(1+A5)/(E4-A5)*'DCF Model'!K47+'DCF Model'!B62+'DCF Model'!B63)/'DCF Model'!B65</f>
        <v>239.278088965674</v>
      </c>
      <c r="F5" s="28" t="n">
        <f aca="false">('DCF Model'!B50+'DCF Model'!K42*(1+A5)/(F4-A5)*'DCF Model'!K47+'DCF Model'!B62+'DCF Model'!B63)/'DCF Model'!B65</f>
        <v>231.783920494949</v>
      </c>
      <c r="G5" s="28" t="n">
        <f aca="false">('DCF Model'!B50+'DCF Model'!K42*(1+A5)/(G4-A5)*'DCF Model'!K47+'DCF Model'!B62+'DCF Model'!B63)/'DCF Model'!B65</f>
        <v>225.288974486988</v>
      </c>
      <c r="H5" s="28" t="n">
        <f aca="false">('DCF Model'!B50+'DCF Model'!K42*(1+A5)/(H4-A5)*'DCF Model'!K47+'DCF Model'!B62+'DCF Model'!B63)/'DCF Model'!B65</f>
        <v>219.605896730022</v>
      </c>
    </row>
    <row r="6" customFormat="false" ht="15" hidden="false" customHeight="true" outlineLevel="0" collapsed="false">
      <c r="A6" s="27" t="n">
        <v>0.02</v>
      </c>
      <c r="B6" s="28" t="n">
        <f aca="false">('DCF Model'!B50+'DCF Model'!K42*(1+A6)/(B4-A6)*'DCF Model'!K47+'DCF Model'!B62+'DCF Model'!B63)/'DCF Model'!B65</f>
        <v>286.655016079451</v>
      </c>
      <c r="C6" s="28" t="n">
        <f aca="false">('DCF Model'!B50+'DCF Model'!K42*(1+A6)/(C4-A6)*'DCF Model'!K47+'DCF Model'!B62+'DCF Model'!B63)/'DCF Model'!B65</f>
        <v>271.425487509058</v>
      </c>
      <c r="D6" s="28" t="n">
        <f aca="false">('DCF Model'!B50+'DCF Model'!K42*(1+A6)/(D4-A6)*'DCF Model'!K47+'DCF Model'!B62+'DCF Model'!B63)/'DCF Model'!B65</f>
        <v>258.964964133283</v>
      </c>
      <c r="E6" s="28" t="n">
        <f aca="false">('DCF Model'!B50+'DCF Model'!K42*(1+A6)/(E4-A6)*'DCF Model'!K47+'DCF Model'!B62+'DCF Model'!B63)/'DCF Model'!B65</f>
        <v>248.58119465347</v>
      </c>
      <c r="F6" s="28" t="n">
        <f aca="false">('DCF Model'!B50+'DCF Model'!K42*(1+A6)/(F4-A6)*'DCF Model'!K47+'DCF Model'!B62+'DCF Model'!B63)/'DCF Model'!B65</f>
        <v>239.794928170552</v>
      </c>
      <c r="G6" s="28" t="n">
        <f aca="false">('DCF Model'!B50+'DCF Model'!K42*(1+A6)/(G4-A6)*'DCF Model'!K47+'DCF Model'!B62+'DCF Model'!B63)/'DCF Model'!B65</f>
        <v>232.263842613764</v>
      </c>
      <c r="H6" s="28" t="n">
        <f aca="false">('DCF Model'!B50+'DCF Model'!K42*(1+A6)/(H4-A6)*'DCF Model'!K47+'DCF Model'!B62+'DCF Model'!B63)/'DCF Model'!B65</f>
        <v>225.736901797882</v>
      </c>
    </row>
    <row r="7" customFormat="false" ht="15" hidden="false" customHeight="true" outlineLevel="0" collapsed="false">
      <c r="A7" s="27" t="n">
        <v>0.025</v>
      </c>
      <c r="B7" s="28" t="n">
        <f aca="false">('DCF Model'!B50+'DCF Model'!K42*(1+A7)/(B4-A7)*'DCF Model'!K47+'DCF Model'!B62+'DCF Model'!B63)/'DCF Model'!B65</f>
        <v>306.531790500367</v>
      </c>
      <c r="C7" s="28" t="n">
        <f aca="false">('DCF Model'!B50+'DCF Model'!K42*(1+A7)/(C4-A7)*'DCF Model'!K47+'DCF Model'!B62+'DCF Model'!B63)/'DCF Model'!B65</f>
        <v>287.401561597607</v>
      </c>
      <c r="D7" s="28" t="n">
        <f aca="false">('DCF Model'!B50+'DCF Model'!K42*(1+A7)/(D4-A7)*'DCF Model'!K47+'DCF Model'!B62+'DCF Model'!B63)/'DCF Model'!B65</f>
        <v>272.097378475399</v>
      </c>
      <c r="E7" s="29" t="n">
        <f aca="false">('DCF Model'!B50+'DCF Model'!K42*(1+A7)/(E4-A7)*'DCF Model'!K47+'DCF Model'!B62+'DCF Model'!B63)/'DCF Model'!B65</f>
        <v>259.575774102684</v>
      </c>
      <c r="F7" s="28" t="n">
        <f aca="false">('DCF Model'!B50+'DCF Model'!K42*(1+A7)/(F4-A7)*'DCF Model'!K47+'DCF Model'!B62+'DCF Model'!B63)/'DCF Model'!B65</f>
        <v>249.141103792087</v>
      </c>
      <c r="G7" s="28" t="n">
        <f aca="false">('DCF Model'!B50+'DCF Model'!K42*(1+A7)/(G4-A7)*'DCF Model'!K47+'DCF Model'!B62+'DCF Model'!B63)/'DCF Model'!B65</f>
        <v>240.311767375429</v>
      </c>
      <c r="H7" s="28" t="n">
        <f aca="false">('DCF Model'!B50+'DCF Model'!K42*(1+A7)/(H4-A7)*'DCF Model'!K47+'DCF Model'!B62+'DCF Model'!B63)/'DCF Model'!B65</f>
        <v>232.743764732579</v>
      </c>
    </row>
    <row r="8" customFormat="false" ht="15" hidden="false" customHeight="true" outlineLevel="0" collapsed="false">
      <c r="A8" s="27" t="n">
        <v>0.03</v>
      </c>
      <c r="B8" s="28" t="n">
        <f aca="false">('DCF Model'!B50+'DCF Model'!K42*(1+A8)/(B4-A8)*'DCF Model'!K47+'DCF Model'!B62+'DCF Model'!B63)/'DCF Model'!B65</f>
        <v>332.087643327259</v>
      </c>
      <c r="C8" s="28" t="n">
        <f aca="false">('DCF Model'!B50+'DCF Model'!K42*(1+A8)/(C4-A8)*'DCF Model'!K47+'DCF Model'!B62+'DCF Model'!B63)/'DCF Model'!B65</f>
        <v>307.371654208293</v>
      </c>
      <c r="D8" s="28" t="n">
        <f aca="false">('DCF Model'!B50+'DCF Model'!K42*(1+A8)/(D4-A8)*'DCF Model'!K47+'DCF Model'!B62+'DCF Model'!B63)/'DCF Model'!B65</f>
        <v>288.148107115764</v>
      </c>
      <c r="E8" s="28" t="n">
        <f aca="false">('DCF Model'!B50+'DCF Model'!K42*(1+A8)/(E4-A8)*'DCF Model'!K47+'DCF Model'!B62+'DCF Model'!B63)/'DCF Model'!B65</f>
        <v>272.76926944174</v>
      </c>
      <c r="F8" s="28" t="n">
        <f aca="false">('DCF Model'!B50+'DCF Model'!K42*(1+A8)/(F4-A8)*'DCF Model'!K47+'DCF Model'!B62+'DCF Model'!B63)/'DCF Model'!B65</f>
        <v>260.186584072085</v>
      </c>
      <c r="G8" s="28" t="n">
        <f aca="false">('DCF Model'!B50+'DCF Model'!K42*(1+A8)/(G4-A8)*'DCF Model'!K47+'DCF Model'!B62+'DCF Model'!B63)/'DCF Model'!B65</f>
        <v>249.701012930705</v>
      </c>
      <c r="H8" s="28" t="n">
        <f aca="false">('DCF Model'!B50+'DCF Model'!K42*(1+A8)/(H4-A8)*'DCF Model'!K47+'DCF Model'!B62+'DCF Model'!B63)/'DCF Model'!B65</f>
        <v>240.828606580307</v>
      </c>
    </row>
    <row r="9" customFormat="false" ht="15" hidden="false" customHeight="true" outlineLevel="0" collapsed="false">
      <c r="A9" s="27" t="n">
        <v>0.035</v>
      </c>
      <c r="B9" s="28" t="n">
        <f aca="false">('DCF Model'!B50+'DCF Model'!K42*(1+A9)/(B4-A9)*'DCF Model'!K47+'DCF Model'!B62+'DCF Model'!B63)/'DCF Model'!B65</f>
        <v>366.162113763116</v>
      </c>
      <c r="C9" s="28" t="n">
        <f aca="false">('DCF Model'!B50+'DCF Model'!K42*(1+A9)/(C4-A9)*'DCF Model'!K47+'DCF Model'!B62+'DCF Model'!B63)/'DCF Model'!B65</f>
        <v>333.047487564889</v>
      </c>
      <c r="D9" s="28" t="n">
        <f aca="false">('DCF Model'!B50+'DCF Model'!K42*(1+A9)/(D4-A9)*'DCF Model'!K47+'DCF Model'!B62+'DCF Model'!B63)/'DCF Model'!B65</f>
        <v>308.211517916219</v>
      </c>
      <c r="E9" s="28" t="n">
        <f aca="false">('DCF Model'!B50+'DCF Model'!K42*(1+A9)/(E4-A9)*'DCF Model'!K47+'DCF Model'!B62+'DCF Model'!B63)/'DCF Model'!B65</f>
        <v>288.89465263392</v>
      </c>
      <c r="F9" s="28" t="n">
        <f aca="false">('DCF Model'!B50+'DCF Model'!K42*(1+A9)/(F4-A9)*'DCF Model'!K47+'DCF Model'!B62+'DCF Model'!B63)/'DCF Model'!B65</f>
        <v>273.441160408081</v>
      </c>
      <c r="G9" s="28" t="n">
        <f aca="false">('DCF Model'!B50+'DCF Model'!K42*(1+A9)/(G4-A9)*'DCF Model'!K47+'DCF Model'!B62+'DCF Model'!B63)/'DCF Model'!B65</f>
        <v>260.797394041485</v>
      </c>
      <c r="H9" s="28" t="n">
        <f aca="false">('DCF Model'!B50+'DCF Model'!K42*(1+A9)/(H4-A9)*'DCF Model'!K47+'DCF Model'!B62+'DCF Model'!B63)/'DCF Model'!B65</f>
        <v>250.260922069322</v>
      </c>
    </row>
    <row r="12" customFormat="false" ht="15" hidden="false" customHeight="true" outlineLevel="0" collapsed="false">
      <c r="A12" s="25" t="s">
        <v>93</v>
      </c>
    </row>
    <row r="14" customFormat="false" ht="15" hidden="false" customHeight="true" outlineLevel="0" collapsed="false">
      <c r="A14" s="1" t="s">
        <v>94</v>
      </c>
      <c r="B14" s="30" t="n">
        <f aca="false">'DCF Model'!B66</f>
        <v>252.833537445777</v>
      </c>
    </row>
    <row r="16" customFormat="false" ht="15" hidden="false" customHeight="true" outlineLevel="0" collapsed="false">
      <c r="A16" s="5" t="s">
        <v>95</v>
      </c>
    </row>
    <row r="17" customFormat="false" ht="15" hidden="false" customHeight="true" outlineLevel="0" collapsed="false">
      <c r="A17" s="5" t="s">
        <v>96</v>
      </c>
    </row>
    <row r="18" customFormat="false" ht="15" hidden="false" customHeight="true" outlineLevel="0" collapsed="false">
      <c r="A18" s="5" t="s">
        <v>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4"/>
    <col collapsed="false" customWidth="true" hidden="false" outlineLevel="0" max="5" min="5" style="1" width="50"/>
    <col collapsed="false" customWidth="true" hidden="false" outlineLevel="0" max="11" min="6" style="1" width="14"/>
  </cols>
  <sheetData>
    <row r="1" customFormat="false" ht="19.5" hidden="false" customHeight="true" outlineLevel="0" collapsed="false">
      <c r="A1" s="2" t="s">
        <v>98</v>
      </c>
      <c r="B1" s="2"/>
      <c r="C1" s="2"/>
      <c r="D1" s="2"/>
      <c r="E1" s="2"/>
    </row>
    <row r="3" customFormat="false" ht="15" hidden="false" customHeight="true" outlineLevel="0" collapsed="false">
      <c r="A3" s="4" t="s">
        <v>99</v>
      </c>
      <c r="B3" s="4"/>
      <c r="C3" s="4"/>
      <c r="D3" s="4"/>
      <c r="E3" s="4"/>
    </row>
    <row r="4" customFormat="false" ht="15" hidden="false" customHeight="true" outlineLevel="0" collapsed="false">
      <c r="A4" s="31" t="s">
        <v>100</v>
      </c>
      <c r="B4" s="31" t="s">
        <v>101</v>
      </c>
      <c r="C4" s="31" t="s">
        <v>102</v>
      </c>
      <c r="D4" s="31" t="s">
        <v>45</v>
      </c>
      <c r="E4" s="31" t="s">
        <v>103</v>
      </c>
    </row>
    <row r="5" customFormat="false" ht="15" hidden="false" customHeight="true" outlineLevel="0" collapsed="false">
      <c r="A5" s="1" t="s">
        <v>104</v>
      </c>
      <c r="B5" s="32" t="n">
        <v>11450</v>
      </c>
      <c r="C5" s="33" t="n">
        <v>0.794</v>
      </c>
      <c r="D5" s="33" t="n">
        <v>0.015</v>
      </c>
      <c r="E5" s="1" t="s">
        <v>105</v>
      </c>
    </row>
    <row r="6" customFormat="false" ht="15" hidden="false" customHeight="true" outlineLevel="0" collapsed="false">
      <c r="A6" s="1" t="s">
        <v>106</v>
      </c>
      <c r="B6" s="32" t="n">
        <v>770</v>
      </c>
      <c r="C6" s="33" t="n">
        <v>0.053</v>
      </c>
      <c r="D6" s="33" t="n">
        <v>-0.095</v>
      </c>
      <c r="E6" s="1" t="s">
        <v>107</v>
      </c>
    </row>
    <row r="7" customFormat="false" ht="15" hidden="false" customHeight="true" outlineLevel="0" collapsed="false">
      <c r="A7" s="1" t="s">
        <v>108</v>
      </c>
      <c r="B7" s="32" t="n">
        <v>1100</v>
      </c>
      <c r="C7" s="33" t="n">
        <v>0.076</v>
      </c>
      <c r="D7" s="33" t="n">
        <v>-0.053</v>
      </c>
      <c r="E7" s="1" t="s">
        <v>109</v>
      </c>
    </row>
    <row r="8" customFormat="false" ht="15" hidden="false" customHeight="true" outlineLevel="0" collapsed="false">
      <c r="A8" s="1" t="s">
        <v>110</v>
      </c>
      <c r="B8" s="32" t="n">
        <v>1105</v>
      </c>
      <c r="C8" s="33" t="n">
        <v>0.077</v>
      </c>
      <c r="D8" s="33" t="n">
        <v>-0.17</v>
      </c>
      <c r="E8" s="1" t="s">
        <v>111</v>
      </c>
    </row>
    <row r="11" customFormat="false" ht="15" hidden="false" customHeight="true" outlineLevel="0" collapsed="false">
      <c r="A11" s="4" t="s">
        <v>112</v>
      </c>
      <c r="B11" s="4"/>
      <c r="C11" s="4"/>
      <c r="D11" s="4"/>
      <c r="E11" s="4"/>
    </row>
    <row r="12" customFormat="false" ht="15" hidden="false" customHeight="true" outlineLevel="0" collapsed="false">
      <c r="A12" s="1" t="s">
        <v>113</v>
      </c>
    </row>
    <row r="13" customFormat="false" ht="15" hidden="false" customHeight="true" outlineLevel="0" collapsed="false">
      <c r="A13" s="1" t="s">
        <v>114</v>
      </c>
    </row>
    <row r="14" customFormat="false" ht="15" hidden="false" customHeight="true" outlineLevel="0" collapsed="false">
      <c r="A14" s="1" t="s">
        <v>115</v>
      </c>
    </row>
    <row r="15" customFormat="false" ht="15" hidden="false" customHeight="true" outlineLevel="0" collapsed="false">
      <c r="A15" s="1" t="s">
        <v>116</v>
      </c>
    </row>
    <row r="16" customFormat="false" ht="15" hidden="false" customHeight="true" outlineLevel="0" collapsed="false">
      <c r="A16" s="1" t="s">
        <v>117</v>
      </c>
    </row>
    <row r="17" customFormat="false" ht="15" hidden="false" customHeight="true" outlineLevel="0" collapsed="false">
      <c r="A17" s="1" t="s">
        <v>118</v>
      </c>
    </row>
    <row r="18" customFormat="false" ht="15" hidden="false" customHeight="true" outlineLevel="0" collapsed="false">
      <c r="A18" s="1" t="s">
        <v>119</v>
      </c>
    </row>
    <row r="21" customFormat="false" ht="15" hidden="false" customHeight="true" outlineLevel="0" collapsed="false">
      <c r="A21" s="4" t="s">
        <v>120</v>
      </c>
      <c r="B21" s="4"/>
      <c r="C21" s="4"/>
      <c r="D21" s="4"/>
      <c r="E21" s="4"/>
    </row>
    <row r="22" customFormat="false" ht="15" hidden="false" customHeight="true" outlineLevel="0" collapsed="false">
      <c r="A22" s="1" t="s">
        <v>121</v>
      </c>
    </row>
    <row r="23" customFormat="false" ht="15" hidden="false" customHeight="true" outlineLevel="0" collapsed="false">
      <c r="A23" s="1" t="s">
        <v>122</v>
      </c>
    </row>
    <row r="24" customFormat="false" ht="15" hidden="false" customHeight="true" outlineLevel="0" collapsed="false">
      <c r="A24" s="1" t="s">
        <v>123</v>
      </c>
    </row>
    <row r="25" customFormat="false" ht="15" hidden="false" customHeight="true" outlineLevel="0" collapsed="false">
      <c r="A25" s="1" t="s">
        <v>124</v>
      </c>
    </row>
    <row r="26" customFormat="false" ht="15" hidden="false" customHeight="true" outlineLevel="0" collapsed="false">
      <c r="A26" s="1" t="s">
        <v>125</v>
      </c>
    </row>
    <row r="27" customFormat="false" ht="15" hidden="false" customHeight="true" outlineLevel="0" collapsed="false">
      <c r="A27" s="1" t="s">
        <v>126</v>
      </c>
    </row>
  </sheetData>
  <mergeCells count="4">
    <mergeCell ref="A1:E1"/>
    <mergeCell ref="A3:E3"/>
    <mergeCell ref="A11:E1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9" min="2" style="0" width="14"/>
  </cols>
  <sheetData>
    <row r="1" customFormat="false" ht="19.7" hidden="false" customHeight="false" outlineLevel="0" collapsed="false">
      <c r="A1" s="34" t="s">
        <v>127</v>
      </c>
      <c r="B1" s="34"/>
      <c r="C1" s="34"/>
      <c r="D1" s="34"/>
      <c r="E1" s="34"/>
      <c r="F1" s="34"/>
      <c r="G1" s="34"/>
      <c r="H1" s="34"/>
    </row>
    <row r="2" customFormat="false" ht="15" hidden="false" customHeight="false" outlineLevel="0" collapsed="false">
      <c r="A2" s="35" t="s">
        <v>128</v>
      </c>
      <c r="B2" s="35"/>
      <c r="C2" s="35"/>
      <c r="D2" s="35"/>
      <c r="E2" s="35"/>
      <c r="F2" s="35"/>
      <c r="G2" s="35"/>
      <c r="H2" s="35"/>
    </row>
    <row r="4" customFormat="false" ht="15" hidden="false" customHeight="false" outlineLevel="0" collapsed="false">
      <c r="A4" s="36" t="s">
        <v>129</v>
      </c>
      <c r="B4" s="36"/>
      <c r="C4" s="36"/>
      <c r="D4" s="36"/>
      <c r="E4" s="36"/>
      <c r="F4" s="36"/>
    </row>
    <row r="5" customFormat="false" ht="15" hidden="false" customHeight="false" outlineLevel="0" collapsed="false">
      <c r="A5" s="37" t="s">
        <v>130</v>
      </c>
      <c r="B5" s="38" t="s">
        <v>131</v>
      </c>
      <c r="C5" s="39" t="s">
        <v>132</v>
      </c>
    </row>
    <row r="6" customFormat="false" ht="15" hidden="false" customHeight="false" outlineLevel="0" collapsed="false">
      <c r="A6" s="37" t="s">
        <v>133</v>
      </c>
      <c r="B6" s="38" t="s">
        <v>134</v>
      </c>
      <c r="C6" s="39" t="s">
        <v>135</v>
      </c>
    </row>
    <row r="7" customFormat="false" ht="15" hidden="false" customHeight="false" outlineLevel="0" collapsed="false">
      <c r="A7" s="37" t="s">
        <v>136</v>
      </c>
      <c r="B7" s="38" t="s">
        <v>137</v>
      </c>
      <c r="C7" s="39" t="s">
        <v>138</v>
      </c>
    </row>
    <row r="8" customFormat="false" ht="15" hidden="false" customHeight="false" outlineLevel="0" collapsed="false">
      <c r="A8" s="37" t="s">
        <v>139</v>
      </c>
      <c r="B8" s="38" t="s">
        <v>140</v>
      </c>
      <c r="C8" s="39" t="s">
        <v>141</v>
      </c>
    </row>
    <row r="9" customFormat="false" ht="15" hidden="false" customHeight="false" outlineLevel="0" collapsed="false">
      <c r="A9" s="37" t="s">
        <v>142</v>
      </c>
      <c r="B9" s="38" t="s">
        <v>143</v>
      </c>
      <c r="C9" s="39" t="s">
        <v>144</v>
      </c>
    </row>
    <row r="12" customFormat="false" ht="15" hidden="false" customHeight="false" outlineLevel="0" collapsed="false">
      <c r="A12" s="36" t="s">
        <v>145</v>
      </c>
      <c r="B12" s="36"/>
      <c r="C12" s="36"/>
      <c r="D12" s="36"/>
      <c r="E12" s="36"/>
      <c r="F12" s="36"/>
      <c r="G12" s="36"/>
      <c r="H12" s="36"/>
    </row>
    <row r="13" customFormat="false" ht="15" hidden="false" customHeight="false" outlineLevel="0" collapsed="false">
      <c r="A13" s="11" t="s">
        <v>146</v>
      </c>
      <c r="B13" s="11" t="s">
        <v>147</v>
      </c>
      <c r="C13" s="11" t="s">
        <v>148</v>
      </c>
      <c r="D13" s="11" t="s">
        <v>74</v>
      </c>
      <c r="E13" s="11" t="s">
        <v>149</v>
      </c>
      <c r="F13" s="11" t="s">
        <v>150</v>
      </c>
      <c r="G13" s="11" t="s">
        <v>151</v>
      </c>
    </row>
    <row r="14" customFormat="false" ht="15" hidden="false" customHeight="false" outlineLevel="0" collapsed="false">
      <c r="A14" s="40" t="s">
        <v>152</v>
      </c>
      <c r="B14" s="41" t="n">
        <v>0.075</v>
      </c>
      <c r="C14" s="41" t="n">
        <v>0.38</v>
      </c>
      <c r="D14" s="41" t="n">
        <v>0.075</v>
      </c>
      <c r="E14" s="41" t="n">
        <v>0.06</v>
      </c>
      <c r="F14" s="41" t="n">
        <v>0</v>
      </c>
      <c r="G14" s="0" t="s">
        <v>153</v>
      </c>
    </row>
    <row r="15" customFormat="false" ht="15" hidden="false" customHeight="false" outlineLevel="0" collapsed="false">
      <c r="A15" s="42" t="s">
        <v>96</v>
      </c>
      <c r="B15" s="41" t="n">
        <v>0.055</v>
      </c>
      <c r="C15" s="41" t="n">
        <v>0.36</v>
      </c>
      <c r="D15" s="41" t="n">
        <v>0.083</v>
      </c>
      <c r="E15" s="41" t="n">
        <v>0.05</v>
      </c>
      <c r="F15" s="41" t="n">
        <v>0</v>
      </c>
      <c r="G15" s="0" t="s">
        <v>154</v>
      </c>
    </row>
    <row r="16" customFormat="false" ht="15" hidden="false" customHeight="false" outlineLevel="0" collapsed="false">
      <c r="A16" s="37" t="s">
        <v>155</v>
      </c>
      <c r="B16" s="41" t="n">
        <v>0.04</v>
      </c>
      <c r="C16" s="41" t="n">
        <v>0.34</v>
      </c>
      <c r="D16" s="41" t="n">
        <v>0.09</v>
      </c>
      <c r="E16" s="41" t="n">
        <v>0.04</v>
      </c>
      <c r="F16" s="41" t="n">
        <v>0.01</v>
      </c>
      <c r="G16" s="0" t="s">
        <v>156</v>
      </c>
    </row>
    <row r="17" customFormat="false" ht="15" hidden="false" customHeight="false" outlineLevel="0" collapsed="false">
      <c r="A17" s="43" t="s">
        <v>157</v>
      </c>
      <c r="B17" s="41" t="n">
        <v>0.03</v>
      </c>
      <c r="C17" s="41" t="n">
        <v>0.32</v>
      </c>
      <c r="D17" s="41" t="n">
        <v>0.1</v>
      </c>
      <c r="E17" s="41" t="n">
        <v>0.035</v>
      </c>
      <c r="F17" s="41" t="n">
        <v>0.02</v>
      </c>
      <c r="G17" s="0" t="s">
        <v>158</v>
      </c>
    </row>
    <row r="18" customFormat="false" ht="15" hidden="false" customHeight="false" outlineLevel="0" collapsed="false">
      <c r="A18" s="43" t="s">
        <v>159</v>
      </c>
      <c r="B18" s="41" t="n">
        <v>0.02</v>
      </c>
      <c r="C18" s="41" t="n">
        <v>0.3</v>
      </c>
      <c r="D18" s="41" t="n">
        <v>0.12</v>
      </c>
      <c r="E18" s="41" t="n">
        <v>0.03</v>
      </c>
      <c r="F18" s="41" t="n">
        <v>0.04</v>
      </c>
      <c r="G18" s="0" t="s">
        <v>160</v>
      </c>
    </row>
    <row r="19" customFormat="false" ht="15" hidden="false" customHeight="false" outlineLevel="0" collapsed="false">
      <c r="A19" s="44" t="s">
        <v>161</v>
      </c>
      <c r="B19" s="41" t="n">
        <v>0.02</v>
      </c>
      <c r="C19" s="41" t="n">
        <v>0.28</v>
      </c>
      <c r="D19" s="41" t="n">
        <v>0.12</v>
      </c>
      <c r="E19" s="41" t="n">
        <v>0.025</v>
      </c>
      <c r="F19" s="41" t="n">
        <v>0.04</v>
      </c>
      <c r="G19" s="0" t="s">
        <v>162</v>
      </c>
    </row>
    <row r="21" customFormat="false" ht="15" hidden="false" customHeight="false" outlineLevel="0" collapsed="false">
      <c r="A21" s="36" t="s">
        <v>163</v>
      </c>
      <c r="B21" s="36"/>
      <c r="C21" s="36"/>
      <c r="D21" s="36"/>
      <c r="E21" s="36"/>
      <c r="F21" s="36"/>
      <c r="G21" s="36"/>
      <c r="H21" s="36"/>
      <c r="I21" s="36"/>
    </row>
    <row r="22" customFormat="false" ht="15" hidden="false" customHeight="false" outlineLevel="0" collapsed="false">
      <c r="A22" s="11" t="s">
        <v>146</v>
      </c>
      <c r="B22" s="11" t="s">
        <v>164</v>
      </c>
      <c r="C22" s="11" t="s">
        <v>75</v>
      </c>
      <c r="D22" s="11" t="s">
        <v>165</v>
      </c>
      <c r="E22" s="11" t="s">
        <v>78</v>
      </c>
      <c r="F22" s="11" t="s">
        <v>81</v>
      </c>
      <c r="G22" s="11" t="s">
        <v>166</v>
      </c>
      <c r="H22" s="11" t="s">
        <v>167</v>
      </c>
      <c r="I22" s="11" t="s">
        <v>168</v>
      </c>
    </row>
    <row r="23" customFormat="false" ht="15" hidden="false" customHeight="false" outlineLevel="0" collapsed="false">
      <c r="A23" s="37" t="s">
        <v>152</v>
      </c>
      <c r="B23" s="45" t="n">
        <v>46621.6</v>
      </c>
      <c r="C23" s="45" t="n">
        <v>742660.29013868</v>
      </c>
      <c r="D23" s="45" t="n">
        <v>387359.333333333</v>
      </c>
      <c r="E23" s="45" t="n">
        <v>433980.933333333</v>
      </c>
      <c r="F23" s="45" t="n">
        <v>477130.933333333</v>
      </c>
      <c r="G23" s="46" t="n">
        <v>750.205870020964</v>
      </c>
      <c r="H23" s="47" t="n">
        <v>4.39173400906256</v>
      </c>
      <c r="I23" s="48" t="s">
        <v>169</v>
      </c>
    </row>
    <row r="24" customFormat="false" ht="15" hidden="false" customHeight="false" outlineLevel="0" collapsed="false">
      <c r="A24" s="37" t="s">
        <v>96</v>
      </c>
      <c r="B24" s="45" t="n">
        <v>39664.020733823</v>
      </c>
      <c r="C24" s="45" t="n">
        <v>267525.890588589</v>
      </c>
      <c r="D24" s="45" t="n">
        <v>130529.810905132</v>
      </c>
      <c r="E24" s="45" t="n">
        <v>170193.831638955</v>
      </c>
      <c r="F24" s="45" t="n">
        <v>213343.831638955</v>
      </c>
      <c r="G24" s="46" t="n">
        <v>335.446276161879</v>
      </c>
      <c r="H24" s="47" t="n">
        <v>1.410854363676</v>
      </c>
      <c r="I24" s="48" t="s">
        <v>169</v>
      </c>
    </row>
    <row r="25" customFormat="false" ht="15" hidden="false" customHeight="false" outlineLevel="0" collapsed="false">
      <c r="A25" s="37" t="s">
        <v>155</v>
      </c>
      <c r="B25" s="45" t="n">
        <v>33359.489669447</v>
      </c>
      <c r="C25" s="45" t="n">
        <v>120997.634923034</v>
      </c>
      <c r="D25" s="45" t="n">
        <v>51314.808799562</v>
      </c>
      <c r="E25" s="45" t="n">
        <v>84674.2984690089</v>
      </c>
      <c r="F25" s="45" t="n">
        <v>127824.298469009</v>
      </c>
      <c r="G25" s="46" t="n">
        <v>200.981601366366</v>
      </c>
      <c r="H25" s="47" t="n">
        <v>0.444455953473956</v>
      </c>
      <c r="I25" s="49" t="s">
        <v>170</v>
      </c>
    </row>
    <row r="26" customFormat="false" ht="15" hidden="false" customHeight="false" outlineLevel="0" collapsed="false">
      <c r="A26" s="37" t="s">
        <v>157</v>
      </c>
      <c r="B26" s="45" t="n">
        <v>28546.3202128483</v>
      </c>
      <c r="C26" s="45" t="n">
        <v>73336.8490839441</v>
      </c>
      <c r="D26" s="45" t="n">
        <v>26446.0029802314</v>
      </c>
      <c r="E26" s="45" t="n">
        <v>54992.3231930797</v>
      </c>
      <c r="F26" s="45" t="n">
        <v>98142.3231930797</v>
      </c>
      <c r="G26" s="46" t="n">
        <v>154.311828919937</v>
      </c>
      <c r="H26" s="47" t="n">
        <v>0.109040023860404</v>
      </c>
      <c r="I26" s="50" t="s">
        <v>171</v>
      </c>
    </row>
    <row r="27" customFormat="false" ht="15" hidden="false" customHeight="false" outlineLevel="0" collapsed="false">
      <c r="A27" s="37" t="s">
        <v>159</v>
      </c>
      <c r="B27" s="45" t="n">
        <v>22899.5041197396</v>
      </c>
      <c r="C27" s="45" t="n">
        <v>40976.2767956496</v>
      </c>
      <c r="D27" s="45" t="n">
        <v>10774.834092651</v>
      </c>
      <c r="E27" s="45" t="n">
        <v>33674.3382123905</v>
      </c>
      <c r="F27" s="45" t="n">
        <v>76824.3382123905</v>
      </c>
      <c r="G27" s="46" t="n">
        <v>120.792984610677</v>
      </c>
      <c r="H27" s="47" t="n">
        <v>-0.131860107728353</v>
      </c>
      <c r="I27" s="51" t="s">
        <v>172</v>
      </c>
    </row>
    <row r="28" customFormat="false" ht="15" hidden="false" customHeight="false" outlineLevel="0" collapsed="false">
      <c r="A28" s="52" t="s">
        <v>161</v>
      </c>
      <c r="B28" s="53" t="n">
        <v>22233.0470097802</v>
      </c>
      <c r="C28" s="53" t="n">
        <v>36649.2841243122</v>
      </c>
      <c r="D28" s="53" t="n">
        <v>9637.03847529204</v>
      </c>
      <c r="E28" s="53" t="n">
        <v>31870.0854850723</v>
      </c>
      <c r="F28" s="53" t="n">
        <v>75020.0854850723</v>
      </c>
      <c r="G28" s="54" t="n">
        <v>117.956109253258</v>
      </c>
      <c r="H28" s="55" t="n">
        <v>-0.152248747640806</v>
      </c>
      <c r="I28" s="56" t="s">
        <v>172</v>
      </c>
    </row>
    <row r="31" customFormat="false" ht="15" hidden="false" customHeight="false" outlineLevel="0" collapsed="false">
      <c r="A31" s="36" t="s">
        <v>173</v>
      </c>
      <c r="B31" s="36"/>
      <c r="C31" s="36"/>
      <c r="D31" s="36"/>
      <c r="E31" s="36"/>
      <c r="F31" s="36"/>
      <c r="G31" s="36"/>
      <c r="H31" s="36"/>
      <c r="I31" s="36"/>
      <c r="J31" s="36"/>
    </row>
    <row r="32" customFormat="false" ht="15" hidden="false" customHeight="false" outlineLevel="0" collapsed="false">
      <c r="A32" s="37" t="s">
        <v>92</v>
      </c>
      <c r="B32" s="26" t="n">
        <v>0.07</v>
      </c>
      <c r="C32" s="26" t="n">
        <v>0.08</v>
      </c>
      <c r="D32" s="26" t="n">
        <v>0.09</v>
      </c>
      <c r="E32" s="26" t="n">
        <v>0.1</v>
      </c>
      <c r="F32" s="26" t="n">
        <v>0.11</v>
      </c>
      <c r="G32" s="26" t="n">
        <v>0.12</v>
      </c>
      <c r="H32" s="26" t="n">
        <v>0.13</v>
      </c>
      <c r="I32" s="26" t="n">
        <v>0.14</v>
      </c>
    </row>
    <row r="33" customFormat="false" ht="15" hidden="false" customHeight="false" outlineLevel="0" collapsed="false">
      <c r="A33" s="57" t="n">
        <v>0.03</v>
      </c>
      <c r="B33" s="58" t="n">
        <v>319.194978889935</v>
      </c>
      <c r="C33" s="58" t="n">
        <v>267.297209475038</v>
      </c>
      <c r="D33" s="58" t="n">
        <v>232.779121359375</v>
      </c>
      <c r="E33" s="59" t="n">
        <v>208.187269054829</v>
      </c>
      <c r="F33" s="59" t="n">
        <v>189.795297321157</v>
      </c>
      <c r="G33" s="59" t="n">
        <v>175.533304844537</v>
      </c>
      <c r="H33" s="60" t="n">
        <v>164.159592546956</v>
      </c>
      <c r="I33" s="60" t="n">
        <v>154.884187836954</v>
      </c>
    </row>
    <row r="34" customFormat="false" ht="15" hidden="false" customHeight="false" outlineLevel="0" collapsed="false">
      <c r="A34" s="57" t="n">
        <v>0.035</v>
      </c>
      <c r="B34" s="58" t="n">
        <v>346.67424253266</v>
      </c>
      <c r="C34" s="58" t="n">
        <v>283.169177722224</v>
      </c>
      <c r="D34" s="58" t="n">
        <v>242.831698734774</v>
      </c>
      <c r="E34" s="58" t="n">
        <v>214.964471674836</v>
      </c>
      <c r="F34" s="59" t="n">
        <v>194.575741676103</v>
      </c>
      <c r="G34" s="59" t="n">
        <v>179.023082290081</v>
      </c>
      <c r="H34" s="60" t="n">
        <v>166.776884650139</v>
      </c>
      <c r="I34" s="60" t="n">
        <v>156.890426303408</v>
      </c>
    </row>
    <row r="35" customFormat="false" ht="15" hidden="false" customHeight="false" outlineLevel="0" collapsed="false">
      <c r="A35" s="57" t="n">
        <v>0.04</v>
      </c>
      <c r="B35" s="58" t="n">
        <v>383.313260722959</v>
      </c>
      <c r="C35" s="58" t="n">
        <v>303.009138031207</v>
      </c>
      <c r="D35" s="58" t="n">
        <v>254.894791585254</v>
      </c>
      <c r="E35" s="58" t="n">
        <v>222.871208064844</v>
      </c>
      <c r="F35" s="59" t="n">
        <v>200.039106653184</v>
      </c>
      <c r="G35" s="59" t="n">
        <v>182.949081916319</v>
      </c>
      <c r="H35" s="59" t="n">
        <v>169.684986987008</v>
      </c>
      <c r="I35" s="60" t="n">
        <v>159.097288616507</v>
      </c>
    </row>
    <row r="36" customFormat="false" ht="15" hidden="false" customHeight="false" outlineLevel="0" collapsed="false">
      <c r="A36" s="57" t="n">
        <v>0.045</v>
      </c>
      <c r="B36" s="58" t="n">
        <v>434.607886189377</v>
      </c>
      <c r="C36" s="58" t="n">
        <v>328.51765842847</v>
      </c>
      <c r="D36" s="58" t="n">
        <v>269.63857173584</v>
      </c>
      <c r="E36" s="58" t="n">
        <v>232.2155328894</v>
      </c>
      <c r="F36" s="59" t="n">
        <v>206.342989319048</v>
      </c>
      <c r="G36" s="59" t="n">
        <v>187.398548159389</v>
      </c>
      <c r="H36" s="59" t="n">
        <v>172.935219010569</v>
      </c>
      <c r="I36" s="60" t="n">
        <v>161.536452225722</v>
      </c>
    </row>
    <row r="37" customFormat="false" ht="15" hidden="false" customHeight="false" outlineLevel="0" collapsed="false">
      <c r="A37" s="57" t="n">
        <v>0.05</v>
      </c>
      <c r="B37" s="58" t="n">
        <v>511.549824389005</v>
      </c>
      <c r="C37" s="58" t="n">
        <v>362.529018958155</v>
      </c>
      <c r="D37" s="58" t="n">
        <v>288.068296924073</v>
      </c>
      <c r="E37" s="58" t="n">
        <v>243.428722678866</v>
      </c>
      <c r="F37" s="58" t="n">
        <v>213.697519095888</v>
      </c>
      <c r="G37" s="59" t="n">
        <v>192.483652437182</v>
      </c>
      <c r="H37" s="59" t="n">
        <v>176.591730037074</v>
      </c>
      <c r="I37" s="60" t="n">
        <v>164.246634013738</v>
      </c>
    </row>
    <row r="38" customFormat="false" ht="15" hidden="false" customHeight="false" outlineLevel="0" collapsed="false">
      <c r="A38" s="57" t="n">
        <v>0.055</v>
      </c>
      <c r="B38" s="58" t="n">
        <v>639.786388055052</v>
      </c>
      <c r="C38" s="58" t="n">
        <v>410.144923699714</v>
      </c>
      <c r="D38" s="58" t="n">
        <v>311.763657880373</v>
      </c>
      <c r="E38" s="58" t="n">
        <v>257.133732421547</v>
      </c>
      <c r="F38" s="58" t="n">
        <v>222.389236104881</v>
      </c>
      <c r="G38" s="59" t="n">
        <v>198.351080450021</v>
      </c>
      <c r="H38" s="59" t="n">
        <v>180.735775867114</v>
      </c>
      <c r="I38" s="59" t="n">
        <v>167.275660717992</v>
      </c>
    </row>
    <row r="39" customFormat="false" ht="15" hidden="false" customHeight="false" outlineLevel="0" collapsed="false">
      <c r="A39" s="57" t="n">
        <v>0.06</v>
      </c>
      <c r="B39" s="58" t="n">
        <v>896.259515387144</v>
      </c>
      <c r="C39" s="58" t="n">
        <v>481.568780812051</v>
      </c>
      <c r="D39" s="58" t="n">
        <v>343.357472488772</v>
      </c>
      <c r="E39" s="58" t="n">
        <v>274.264994599898</v>
      </c>
      <c r="F39" s="58" t="n">
        <v>232.819296515673</v>
      </c>
      <c r="G39" s="59" t="n">
        <v>205.196413131667</v>
      </c>
      <c r="H39" s="59" t="n">
        <v>185.471828244302</v>
      </c>
      <c r="I39" s="59" t="n">
        <v>170.683315760277</v>
      </c>
    </row>
    <row r="42" customFormat="false" ht="15" hidden="false" customHeight="false" outlineLevel="0" collapsed="false">
      <c r="A42" s="36" t="s">
        <v>174</v>
      </c>
      <c r="B42" s="36"/>
      <c r="C42" s="36"/>
      <c r="D42" s="36"/>
      <c r="E42" s="36"/>
      <c r="F42" s="36"/>
    </row>
    <row r="43" customFormat="false" ht="15" hidden="false" customHeight="false" outlineLevel="0" collapsed="false">
      <c r="A43" s="61" t="s">
        <v>146</v>
      </c>
      <c r="B43" s="61" t="s">
        <v>175</v>
      </c>
      <c r="C43" s="61" t="s">
        <v>166</v>
      </c>
      <c r="D43" s="61" t="s">
        <v>176</v>
      </c>
    </row>
    <row r="44" customFormat="false" ht="15" hidden="false" customHeight="false" outlineLevel="0" collapsed="false">
      <c r="A44" s="37" t="s">
        <v>152</v>
      </c>
      <c r="B44" s="62" t="n">
        <v>0.15</v>
      </c>
      <c r="C44" s="46" t="n">
        <v>750.205870020964</v>
      </c>
      <c r="D44" s="46" t="n">
        <v>112.530880503145</v>
      </c>
    </row>
    <row r="45" customFormat="false" ht="15" hidden="false" customHeight="false" outlineLevel="0" collapsed="false">
      <c r="A45" s="37" t="s">
        <v>96</v>
      </c>
      <c r="B45" s="62" t="n">
        <v>0.4</v>
      </c>
      <c r="C45" s="46" t="n">
        <v>335.446276161879</v>
      </c>
      <c r="D45" s="46" t="n">
        <v>134.178510464752</v>
      </c>
    </row>
    <row r="46" customFormat="false" ht="15" hidden="false" customHeight="false" outlineLevel="0" collapsed="false">
      <c r="A46" s="37" t="s">
        <v>155</v>
      </c>
      <c r="B46" s="62" t="n">
        <v>0.25</v>
      </c>
      <c r="C46" s="46" t="n">
        <v>200.981601366366</v>
      </c>
      <c r="D46" s="46" t="n">
        <v>50.2454003415916</v>
      </c>
    </row>
    <row r="47" customFormat="false" ht="15" hidden="false" customHeight="false" outlineLevel="0" collapsed="false">
      <c r="A47" s="37" t="s">
        <v>157</v>
      </c>
      <c r="B47" s="62" t="n">
        <v>0.15</v>
      </c>
      <c r="C47" s="46" t="n">
        <v>154.311828919937</v>
      </c>
      <c r="D47" s="46" t="n">
        <v>23.1467743379905</v>
      </c>
    </row>
    <row r="48" customFormat="false" ht="15" hidden="false" customHeight="false" outlineLevel="0" collapsed="false">
      <c r="A48" s="37" t="s">
        <v>159</v>
      </c>
      <c r="B48" s="62" t="n">
        <v>0.05</v>
      </c>
      <c r="C48" s="46" t="n">
        <v>120.792984610677</v>
      </c>
      <c r="D48" s="46" t="n">
        <v>6.03964923053385</v>
      </c>
    </row>
    <row r="49" customFormat="false" ht="15" hidden="false" customHeight="false" outlineLevel="0" collapsed="false">
      <c r="A49" s="63" t="s">
        <v>177</v>
      </c>
      <c r="B49" s="62" t="s">
        <v>178</v>
      </c>
      <c r="D49" s="64" t="n">
        <v>326.141214878012</v>
      </c>
    </row>
    <row r="50" customFormat="false" ht="15" hidden="false" customHeight="false" outlineLevel="0" collapsed="false">
      <c r="A50" s="37" t="s">
        <v>179</v>
      </c>
      <c r="D50" s="46" t="n">
        <v>139.14</v>
      </c>
    </row>
    <row r="51" customFormat="false" ht="15" hidden="false" customHeight="false" outlineLevel="0" collapsed="false">
      <c r="A51" s="37" t="s">
        <v>180</v>
      </c>
      <c r="D51" s="65" t="n">
        <v>1.34397883339092</v>
      </c>
    </row>
    <row r="54" customFormat="false" ht="15" hidden="false" customHeight="false" outlineLevel="0" collapsed="false">
      <c r="A54" s="36" t="s">
        <v>181</v>
      </c>
      <c r="B54" s="36"/>
      <c r="C54" s="36"/>
      <c r="D54" s="36"/>
      <c r="E54" s="36"/>
      <c r="F54" s="36"/>
    </row>
    <row r="55" customFormat="false" ht="15" hidden="false" customHeight="false" outlineLevel="0" collapsed="false">
      <c r="A55" s="66" t="s">
        <v>182</v>
      </c>
      <c r="B55" s="66"/>
      <c r="C55" s="66"/>
      <c r="D55" s="66"/>
      <c r="E55" s="66"/>
      <c r="F55" s="66"/>
    </row>
    <row r="57" customFormat="false" ht="15" hidden="false" customHeight="false" outlineLevel="0" collapsed="false">
      <c r="A57" s="37" t="s">
        <v>183</v>
      </c>
      <c r="B57" s="38" t="s">
        <v>184</v>
      </c>
      <c r="C57" s="52" t="s">
        <v>185</v>
      </c>
    </row>
    <row r="58" customFormat="false" ht="15" hidden="false" customHeight="false" outlineLevel="0" collapsed="false">
      <c r="A58" s="37" t="s">
        <v>186</v>
      </c>
      <c r="B58" s="38" t="s">
        <v>187</v>
      </c>
      <c r="C58" s="52" t="s">
        <v>143</v>
      </c>
    </row>
    <row r="59" customFormat="false" ht="15" hidden="false" customHeight="false" outlineLevel="0" collapsed="false">
      <c r="A59" s="37" t="s">
        <v>188</v>
      </c>
      <c r="B59" s="38" t="s">
        <v>189</v>
      </c>
      <c r="C59" s="52" t="s">
        <v>190</v>
      </c>
    </row>
    <row r="60" customFormat="false" ht="15" hidden="false" customHeight="false" outlineLevel="0" collapsed="false">
      <c r="A60" s="37" t="s">
        <v>191</v>
      </c>
      <c r="B60" s="38" t="s">
        <v>192</v>
      </c>
      <c r="C60" s="52" t="s">
        <v>193</v>
      </c>
    </row>
    <row r="62" customFormat="false" ht="15" hidden="false" customHeight="false" outlineLevel="0" collapsed="false">
      <c r="A62" s="67" t="s">
        <v>194</v>
      </c>
    </row>
    <row r="63" customFormat="false" ht="15" hidden="false" customHeight="false" outlineLevel="0" collapsed="false">
      <c r="A63" s="0" t="s">
        <v>195</v>
      </c>
    </row>
    <row r="64" customFormat="false" ht="15" hidden="false" customHeight="false" outlineLevel="0" collapsed="false">
      <c r="A64" s="0" t="s">
        <v>196</v>
      </c>
    </row>
    <row r="65" customFormat="false" ht="15" hidden="false" customHeight="false" outlineLevel="0" collapsed="false">
      <c r="A65" s="0" t="s">
        <v>197</v>
      </c>
    </row>
    <row r="66" customFormat="false" ht="15" hidden="false" customHeight="false" outlineLevel="0" collapsed="false">
      <c r="A66" s="0" t="s">
        <v>198</v>
      </c>
    </row>
    <row r="67" customFormat="false" ht="15" hidden="false" customHeight="false" outlineLevel="0" collapsed="false">
      <c r="A67" s="0" t="s">
        <v>199</v>
      </c>
    </row>
    <row r="70" customFormat="false" ht="15" hidden="false" customHeight="false" outlineLevel="0" collapsed="false">
      <c r="A70" s="36" t="s">
        <v>200</v>
      </c>
      <c r="B70" s="36"/>
      <c r="C70" s="36"/>
      <c r="D70" s="36"/>
      <c r="E70" s="36"/>
      <c r="F70" s="36"/>
    </row>
    <row r="71" customFormat="false" ht="15" hidden="false" customHeight="false" outlineLevel="0" collapsed="false">
      <c r="A71" s="68" t="s">
        <v>201</v>
      </c>
      <c r="B71" s="68"/>
      <c r="C71" s="68"/>
      <c r="D71" s="68"/>
      <c r="E71" s="68"/>
      <c r="F71" s="68"/>
    </row>
    <row r="72" customFormat="false" ht="15" hidden="false" customHeight="false" outlineLevel="0" collapsed="false">
      <c r="A72" s="68" t="s">
        <v>202</v>
      </c>
      <c r="B72" s="68"/>
      <c r="C72" s="68"/>
      <c r="D72" s="68"/>
      <c r="E72" s="68"/>
      <c r="F72" s="68"/>
    </row>
    <row r="73" customFormat="false" ht="15" hidden="false" customHeight="false" outlineLevel="0" collapsed="false">
      <c r="A73" s="68" t="s">
        <v>203</v>
      </c>
      <c r="B73" s="68"/>
      <c r="C73" s="68"/>
      <c r="D73" s="68"/>
      <c r="E73" s="68"/>
      <c r="F73" s="68"/>
    </row>
    <row r="74" customFormat="false" ht="15" hidden="false" customHeight="false" outlineLevel="0" collapsed="false">
      <c r="A74" s="68" t="s">
        <v>204</v>
      </c>
      <c r="B74" s="68"/>
      <c r="C74" s="68"/>
      <c r="D74" s="68"/>
      <c r="E74" s="68"/>
      <c r="F74" s="68"/>
    </row>
    <row r="75" customFormat="false" ht="15" hidden="false" customHeight="false" outlineLevel="0" collapsed="false">
      <c r="A75" s="68" t="s">
        <v>205</v>
      </c>
      <c r="B75" s="68"/>
      <c r="C75" s="68"/>
      <c r="D75" s="68"/>
      <c r="E75" s="68"/>
      <c r="F75" s="68"/>
    </row>
    <row r="76" customFormat="false" ht="15" hidden="false" customHeight="false" outlineLevel="0" collapsed="false">
      <c r="A76" s="68" t="s">
        <v>206</v>
      </c>
      <c r="B76" s="68"/>
      <c r="C76" s="68"/>
      <c r="D76" s="68"/>
      <c r="E76" s="68"/>
      <c r="F76" s="68"/>
    </row>
  </sheetData>
  <mergeCells count="16">
    <mergeCell ref="A1:H1"/>
    <mergeCell ref="A2:H2"/>
    <mergeCell ref="A4:F4"/>
    <mergeCell ref="A12:H12"/>
    <mergeCell ref="A21:I21"/>
    <mergeCell ref="A31:J31"/>
    <mergeCell ref="A42:F42"/>
    <mergeCell ref="A54:F54"/>
    <mergeCell ref="A55:F55"/>
    <mergeCell ref="A70:F70"/>
    <mergeCell ref="A71:F71"/>
    <mergeCell ref="A72:F72"/>
    <mergeCell ref="A73:F73"/>
    <mergeCell ref="A74:F74"/>
    <mergeCell ref="A75:F75"/>
    <mergeCell ref="A76:F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2025-12-15T03:29:18Z</dcterms:created>
  <dc:creator>openpyxl</dc:creator>
  <dc:description/>
  <dc:language>en-US</dc:language>
  <cp:lastModifiedBy/>
  <dcterms:modified xsi:type="dcterms:W3CDTF">2025-12-15T03:39:05Z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