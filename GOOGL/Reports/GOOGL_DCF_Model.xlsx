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CF Model" sheetId="1" r:id="rId1"/>
    <sheet name="Sensitivity" sheetId="2" r:id="rId2"/>
    <sheet name="Historical" sheetId="3" r:id="rId3"/>
    <sheet name="Scenarios" sheetId="4" r:id="rId4"/>
  </sheets>
  <calcPr calcId="124519" fullCalcOnLoad="1"/>
</workbook>
</file>

<file path=xl/sharedStrings.xml><?xml version="1.0" encoding="utf-8"?>
<sst xmlns="http://schemas.openxmlformats.org/spreadsheetml/2006/main" count="70" uniqueCount="64">
  <si>
    <t>GOOGL DCF Valuation Model</t>
  </si>
  <si>
    <t>Gray cells are INPUTS - adjust to see valuation change</t>
  </si>
  <si>
    <t>KEY INPUTS</t>
  </si>
  <si>
    <t>Current Stock Price</t>
  </si>
  <si>
    <t>Shares Outstanding (M)</t>
  </si>
  <si>
    <t>Cash &amp; Equivalents (M)</t>
  </si>
  <si>
    <t>Total Debt (M)</t>
  </si>
  <si>
    <t>Net Debt (M)</t>
  </si>
  <si>
    <t>Base Year FCF (M)</t>
  </si>
  <si>
    <t>WACC</t>
  </si>
  <si>
    <t>Terminal Growth Rate</t>
  </si>
  <si>
    <t>GROWTH ASSUMPTIONS</t>
  </si>
  <si>
    <t>FCF Growth Rate</t>
  </si>
  <si>
    <t>Year 1</t>
  </si>
  <si>
    <t>Year 2</t>
  </si>
  <si>
    <t>Year 3</t>
  </si>
  <si>
    <t>Year 4</t>
  </si>
  <si>
    <t>Year 5</t>
  </si>
  <si>
    <t>PROJECTIONS</t>
  </si>
  <si>
    <t>Base</t>
  </si>
  <si>
    <t>Free Cash Flow</t>
  </si>
  <si>
    <t>Discount Factor</t>
  </si>
  <si>
    <t>PV of FCF</t>
  </si>
  <si>
    <t>VALUATION</t>
  </si>
  <si>
    <t>Sum of PV of FCF</t>
  </si>
  <si>
    <t>Terminal FCF (Year 5 * (1+g))</t>
  </si>
  <si>
    <t>Terminal Value</t>
  </si>
  <si>
    <t>PV of Terminal Value</t>
  </si>
  <si>
    <t>Enterprise Value</t>
  </si>
  <si>
    <t>Less: Net Debt</t>
  </si>
  <si>
    <t>Equity Value</t>
  </si>
  <si>
    <t>INTRINSIC VALUE/SHARE</t>
  </si>
  <si>
    <t>ENTRY PRICE (15% CAGR Target)</t>
  </si>
  <si>
    <t>Terminal Value per Share</t>
  </si>
  <si>
    <t>Entry Price (15% CAGR)</t>
  </si>
  <si>
    <t>Upside to IV</t>
  </si>
  <si>
    <t>Upside to Entry Price</t>
  </si>
  <si>
    <t>Sensitivity Analysis</t>
  </si>
  <si>
    <t>Intrinsic Value by WACC &amp; Terminal Growth</t>
  </si>
  <si>
    <t>WACC \ Term G</t>
  </si>
  <si>
    <t>Historical Growth Rates</t>
  </si>
  <si>
    <t>Metric</t>
  </si>
  <si>
    <t>3-Year CAGR</t>
  </si>
  <si>
    <t>5-Year CAGR</t>
  </si>
  <si>
    <t>Revenue</t>
  </si>
  <si>
    <t>EPS</t>
  </si>
  <si>
    <t>Equity</t>
  </si>
  <si>
    <t>FCF</t>
  </si>
  <si>
    <t>Selected Growth Rate:</t>
  </si>
  <si>
    <t>Source:</t>
  </si>
  <si>
    <t>fcf_5yr_cagr</t>
  </si>
  <si>
    <t>Scenario Comparison</t>
  </si>
  <si>
    <t>Base, Bull, and Bear Case Valuations</t>
  </si>
  <si>
    <t>Bear Case</t>
  </si>
  <si>
    <t>Base Case</t>
  </si>
  <si>
    <t>Bull Case</t>
  </si>
  <si>
    <t>Year 1 Growth</t>
  </si>
  <si>
    <t>Year 5 Growth</t>
  </si>
  <si>
    <t>Terminal Growth</t>
  </si>
  <si>
    <t>VALUATION OUTPUTS</t>
  </si>
  <si>
    <t>Intrinsic Value per Share</t>
  </si>
  <si>
    <t>Upside from Current</t>
  </si>
  <si>
    <t>Probability Weighted IV</t>
  </si>
  <si>
    <t>Weights: Bear 25%, Base 50%, Bull 25%</t>
  </si>
</sst>
</file>

<file path=xl/styles.xml><?xml version="1.0" encoding="utf-8"?>
<styleSheet xmlns="http://schemas.openxmlformats.org/spreadsheetml/2006/main">
  <numFmts count="3">
    <numFmt numFmtId="164" formatCode="#,##0.0"/>
    <numFmt numFmtId="165" formatCode="0.0%"/>
    <numFmt numFmtId="166" formatCode="&quot;$&quot;#,##0.00"/>
  </numFmts>
  <fonts count="7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80808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FE6E9"/>
        <bgColor indexed="64"/>
      </patternFill>
    </fill>
    <fill>
      <patternFill patternType="solid">
        <fgColor rgb="FF2D3436"/>
        <bgColor indexed="64"/>
      </patternFill>
    </fill>
    <fill>
      <patternFill patternType="solid">
        <fgColor rgb="FF00B894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164" fontId="0" fillId="2" borderId="2" xfId="0" applyNumberFormat="1" applyFill="1" applyBorder="1"/>
    <xf numFmtId="164" fontId="0" fillId="0" borderId="2" xfId="0" applyNumberFormat="1" applyBorder="1"/>
    <xf numFmtId="165" fontId="0" fillId="2" borderId="2" xfId="0" applyNumberFormat="1" applyFill="1" applyBorder="1"/>
    <xf numFmtId="0" fontId="4" fillId="3" borderId="2" xfId="0" applyFont="1" applyFill="1" applyBorder="1"/>
    <xf numFmtId="0" fontId="5" fillId="0" borderId="0" xfId="0" applyFont="1"/>
    <xf numFmtId="166" fontId="4" fillId="4" borderId="2" xfId="0" applyNumberFormat="1" applyFont="1" applyFill="1" applyBorder="1"/>
    <xf numFmtId="166" fontId="0" fillId="0" borderId="2" xfId="0" applyNumberFormat="1" applyBorder="1"/>
    <xf numFmtId="165" fontId="0" fillId="0" borderId="2" xfId="0" applyNumberFormat="1" applyBorder="1"/>
    <xf numFmtId="165" fontId="4" fillId="3" borderId="0" xfId="0" applyNumberFormat="1" applyFont="1" applyFill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0"/>
  <sheetViews>
    <sheetView tabSelected="1" workbookViewId="0"/>
  </sheetViews>
  <sheetFormatPr defaultRowHeight="15"/>
  <cols>
    <col min="1" max="1" width="30.7109375" customWidth="1"/>
    <col min="2" max="8" width="14.7109375" customWidth="1"/>
  </cols>
  <sheetData>
    <row r="1" spans="1:6">
      <c r="A1" s="1" t="s">
        <v>0</v>
      </c>
    </row>
    <row r="2" spans="1:6">
      <c r="A2" s="2" t="s">
        <v>1</v>
      </c>
    </row>
    <row r="4" spans="1:6">
      <c r="A4" s="3" t="s">
        <v>2</v>
      </c>
    </row>
    <row r="5" spans="1:6">
      <c r="A5" t="s">
        <v>3</v>
      </c>
      <c r="B5" s="4">
        <v>200</v>
      </c>
    </row>
    <row r="6" spans="1:6">
      <c r="A6" t="s">
        <v>4</v>
      </c>
      <c r="B6" s="4">
        <v>6694</v>
      </c>
    </row>
    <row r="7" spans="1:6">
      <c r="A7" t="s">
        <v>5</v>
      </c>
      <c r="B7" s="4">
        <v>110701</v>
      </c>
    </row>
    <row r="8" spans="1:6">
      <c r="A8" t="s">
        <v>6</v>
      </c>
      <c r="B8" s="4">
        <v>0</v>
      </c>
    </row>
    <row r="9" spans="1:6">
      <c r="A9" t="s">
        <v>7</v>
      </c>
      <c r="B9" s="5">
        <f>B8-B7</f>
        <v>0</v>
      </c>
    </row>
    <row r="11" spans="1:6">
      <c r="A11" t="s">
        <v>8</v>
      </c>
      <c r="B11" s="4">
        <v>98400</v>
      </c>
    </row>
    <row r="13" spans="1:6">
      <c r="A13" t="s">
        <v>9</v>
      </c>
      <c r="B13" s="6">
        <v>0.095</v>
      </c>
    </row>
    <row r="14" spans="1:6">
      <c r="A14" t="s">
        <v>10</v>
      </c>
      <c r="B14" s="6">
        <v>0.025</v>
      </c>
    </row>
    <row r="16" spans="1:6">
      <c r="A16" s="3" t="s">
        <v>11</v>
      </c>
      <c r="B16" s="7" t="s">
        <v>13</v>
      </c>
      <c r="C16" s="7" t="s">
        <v>14</v>
      </c>
      <c r="D16" s="7" t="s">
        <v>15</v>
      </c>
      <c r="E16" s="7" t="s">
        <v>16</v>
      </c>
      <c r="F16" s="7" t="s">
        <v>17</v>
      </c>
    </row>
    <row r="17" spans="1:7">
      <c r="A17" t="s">
        <v>12</v>
      </c>
      <c r="B17" s="6">
        <v>0.18</v>
      </c>
      <c r="C17" s="6">
        <v>0.16</v>
      </c>
      <c r="D17" s="6">
        <v>0.14</v>
      </c>
      <c r="E17" s="6">
        <v>0.12</v>
      </c>
      <c r="F17" s="6">
        <v>0.1</v>
      </c>
    </row>
    <row r="19" spans="1:7">
      <c r="A19" s="3" t="s">
        <v>18</v>
      </c>
    </row>
    <row r="20" spans="1:7">
      <c r="A20" s="7"/>
      <c r="B20" s="7" t="s">
        <v>19</v>
      </c>
      <c r="C20" s="7" t="s">
        <v>13</v>
      </c>
      <c r="D20" s="7" t="s">
        <v>14</v>
      </c>
      <c r="E20" s="7" t="s">
        <v>15</v>
      </c>
      <c r="F20" s="7" t="s">
        <v>16</v>
      </c>
      <c r="G20" s="7" t="s">
        <v>17</v>
      </c>
    </row>
    <row r="21" spans="1:7">
      <c r="A21" t="s">
        <v>20</v>
      </c>
      <c r="B21" s="5">
        <f>B11</f>
        <v>0</v>
      </c>
      <c r="C21" s="5">
        <f>B21*(1+B17)</f>
        <v>0</v>
      </c>
      <c r="D21" s="5">
        <f>C21*(1+C17)</f>
        <v>0</v>
      </c>
      <c r="E21" s="5">
        <f>D21*(1+D17)</f>
        <v>0</v>
      </c>
      <c r="F21" s="5">
        <f>E21*(1+E17)</f>
        <v>0</v>
      </c>
      <c r="G21" s="5">
        <f>F21*(1+F17)</f>
        <v>0</v>
      </c>
    </row>
    <row r="22" spans="1:7">
      <c r="A22" t="s">
        <v>21</v>
      </c>
      <c r="C22" s="5">
        <f>1/(1+$B$13)^1</f>
        <v>0</v>
      </c>
      <c r="D22" s="5">
        <f>1/(1+$B$13)^2</f>
        <v>0</v>
      </c>
      <c r="E22" s="5">
        <f>1/(1+$B$13)^3</f>
        <v>0</v>
      </c>
      <c r="F22" s="5">
        <f>1/(1+$B$13)^4</f>
        <v>0</v>
      </c>
      <c r="G22" s="5">
        <f>1/(1+$B$13)^5</f>
        <v>0</v>
      </c>
    </row>
    <row r="23" spans="1:7">
      <c r="A23" t="s">
        <v>22</v>
      </c>
      <c r="C23" s="5">
        <f>C21*C22</f>
        <v>0</v>
      </c>
      <c r="D23" s="5">
        <f>D21*D22</f>
        <v>0</v>
      </c>
      <c r="E23" s="5">
        <f>E21*E22</f>
        <v>0</v>
      </c>
      <c r="F23" s="5">
        <f>F21*F22</f>
        <v>0</v>
      </c>
      <c r="G23" s="5">
        <f>G21*G22</f>
        <v>0</v>
      </c>
    </row>
    <row r="25" spans="1:7">
      <c r="A25" s="3" t="s">
        <v>23</v>
      </c>
    </row>
    <row r="26" spans="1:7">
      <c r="A26" t="s">
        <v>24</v>
      </c>
      <c r="B26" s="5">
        <f>SUM(C23:G23)</f>
        <v>0</v>
      </c>
    </row>
    <row r="27" spans="1:7">
      <c r="A27" t="s">
        <v>25</v>
      </c>
      <c r="B27" s="5">
        <f>G21*(1+$B$14)</f>
        <v>0</v>
      </c>
    </row>
    <row r="28" spans="1:7">
      <c r="A28" t="s">
        <v>26</v>
      </c>
      <c r="B28" s="5">
        <f>B27/($B$13-$B$14)</f>
        <v>0</v>
      </c>
    </row>
    <row r="29" spans="1:7">
      <c r="A29" t="s">
        <v>27</v>
      </c>
      <c r="B29" s="5">
        <f>B28*G22</f>
        <v>0</v>
      </c>
    </row>
    <row r="30" spans="1:7">
      <c r="A30" t="s">
        <v>28</v>
      </c>
      <c r="B30" s="5">
        <f>B26+B29</f>
        <v>0</v>
      </c>
    </row>
    <row r="31" spans="1:7">
      <c r="A31" t="s">
        <v>29</v>
      </c>
      <c r="B31" s="5">
        <f>B9</f>
        <v>0</v>
      </c>
    </row>
    <row r="32" spans="1:7">
      <c r="A32" t="s">
        <v>30</v>
      </c>
      <c r="B32" s="5">
        <f>B30-B31</f>
        <v>0</v>
      </c>
    </row>
    <row r="33" spans="1:2">
      <c r="A33" s="8" t="s">
        <v>31</v>
      </c>
      <c r="B33" s="9">
        <f>B32/B6</f>
        <v>0</v>
      </c>
    </row>
    <row r="35" spans="1:2">
      <c r="A35" s="3" t="s">
        <v>32</v>
      </c>
    </row>
    <row r="36" spans="1:2">
      <c r="A36" t="s">
        <v>33</v>
      </c>
      <c r="B36" s="10">
        <f>B28/B6</f>
        <v>0</v>
      </c>
    </row>
    <row r="37" spans="1:2">
      <c r="A37" t="s">
        <v>34</v>
      </c>
      <c r="B37" s="9">
        <f>B36/(1.15^5)</f>
        <v>0</v>
      </c>
    </row>
    <row r="39" spans="1:2">
      <c r="A39" t="s">
        <v>35</v>
      </c>
      <c r="B39" s="11">
        <f>(B33-B5)/B5</f>
        <v>0</v>
      </c>
    </row>
    <row r="40" spans="1:2">
      <c r="A40" t="s">
        <v>36</v>
      </c>
      <c r="B40" s="11">
        <f>(B37-B5)/B5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cols>
    <col min="1" max="1" width="18.7109375" customWidth="1"/>
    <col min="2" max="7" width="12.7109375" customWidth="1"/>
  </cols>
  <sheetData>
    <row r="1" spans="1:6">
      <c r="A1" s="1" t="s">
        <v>37</v>
      </c>
    </row>
    <row r="2" spans="1:6">
      <c r="A2" t="s">
        <v>38</v>
      </c>
    </row>
    <row r="4" spans="1:6">
      <c r="A4" s="7" t="s">
        <v>39</v>
      </c>
      <c r="B4" s="12">
        <v>0.02</v>
      </c>
      <c r="C4" s="12">
        <v>0.025</v>
      </c>
      <c r="D4" s="12">
        <v>0.03</v>
      </c>
      <c r="E4" s="12">
        <v>0.035</v>
      </c>
      <c r="F4" s="12">
        <v>0.04</v>
      </c>
    </row>
    <row r="5" spans="1:6">
      <c r="A5" s="12">
        <v>0.08</v>
      </c>
      <c r="B5" s="10">
        <f>(('DCF Model'!$B$11*(1+'DCF Model'!$B$17)*(1+'DCF Model'!$C$17)*(1+'DCF Model'!$D$17)*(1+'DCF Model'!$E$17)*(1+'DCF Model'!$F$17))*(1+0.02)/(0.08-0.02))/(1+0.08)^5/'DCF Model'!$B$6</f>
        <v>0</v>
      </c>
      <c r="C5" s="10">
        <f>(('DCF Model'!$B$11*(1+'DCF Model'!$B$17)*(1+'DCF Model'!$C$17)*(1+'DCF Model'!$D$17)*(1+'DCF Model'!$E$17)*(1+'DCF Model'!$F$17))*(1+0.025)/(0.08-0.025))/(1+0.08)^5/'DCF Model'!$B$6</f>
        <v>0</v>
      </c>
      <c r="D5" s="10">
        <f>(('DCF Model'!$B$11*(1+'DCF Model'!$B$17)*(1+'DCF Model'!$C$17)*(1+'DCF Model'!$D$17)*(1+'DCF Model'!$E$17)*(1+'DCF Model'!$F$17))*(1+0.03)/(0.08-0.03))/(1+0.08)^5/'DCF Model'!$B$6</f>
        <v>0</v>
      </c>
      <c r="E5" s="10">
        <f>(('DCF Model'!$B$11*(1+'DCF Model'!$B$17)*(1+'DCF Model'!$C$17)*(1+'DCF Model'!$D$17)*(1+'DCF Model'!$E$17)*(1+'DCF Model'!$F$17))*(1+0.035)/(0.08-0.035))/(1+0.08)^5/'DCF Model'!$B$6</f>
        <v>0</v>
      </c>
      <c r="F5" s="10">
        <f>(('DCF Model'!$B$11*(1+'DCF Model'!$B$17)*(1+'DCF Model'!$C$17)*(1+'DCF Model'!$D$17)*(1+'DCF Model'!$E$17)*(1+'DCF Model'!$F$17))*(1+0.04)/(0.08-0.04))/(1+0.08)^5/'DCF Model'!$B$6</f>
        <v>0</v>
      </c>
    </row>
    <row r="6" spans="1:6">
      <c r="A6" s="12">
        <v>0.09</v>
      </c>
      <c r="B6" s="10">
        <f>(('DCF Model'!$B$11*(1+'DCF Model'!$B$17)*(1+'DCF Model'!$C$17)*(1+'DCF Model'!$D$17)*(1+'DCF Model'!$E$17)*(1+'DCF Model'!$F$17))*(1+0.02)/(0.09-0.02))/(1+0.09)^5/'DCF Model'!$B$6</f>
        <v>0</v>
      </c>
      <c r="C6" s="10">
        <f>(('DCF Model'!$B$11*(1+'DCF Model'!$B$17)*(1+'DCF Model'!$C$17)*(1+'DCF Model'!$D$17)*(1+'DCF Model'!$E$17)*(1+'DCF Model'!$F$17))*(1+0.025)/(0.09-0.025))/(1+0.09)^5/'DCF Model'!$B$6</f>
        <v>0</v>
      </c>
      <c r="D6" s="10">
        <f>(('DCF Model'!$B$11*(1+'DCF Model'!$B$17)*(1+'DCF Model'!$C$17)*(1+'DCF Model'!$D$17)*(1+'DCF Model'!$E$17)*(1+'DCF Model'!$F$17))*(1+0.03)/(0.09-0.03))/(1+0.09)^5/'DCF Model'!$B$6</f>
        <v>0</v>
      </c>
      <c r="E6" s="10">
        <f>(('DCF Model'!$B$11*(1+'DCF Model'!$B$17)*(1+'DCF Model'!$C$17)*(1+'DCF Model'!$D$17)*(1+'DCF Model'!$E$17)*(1+'DCF Model'!$F$17))*(1+0.035)/(0.09-0.035))/(1+0.09)^5/'DCF Model'!$B$6</f>
        <v>0</v>
      </c>
      <c r="F6" s="10">
        <f>(('DCF Model'!$B$11*(1+'DCF Model'!$B$17)*(1+'DCF Model'!$C$17)*(1+'DCF Model'!$D$17)*(1+'DCF Model'!$E$17)*(1+'DCF Model'!$F$17))*(1+0.04)/(0.09-0.04))/(1+0.09)^5/'DCF Model'!$B$6</f>
        <v>0</v>
      </c>
    </row>
    <row r="7" spans="1:6">
      <c r="A7" s="12">
        <v>0.1</v>
      </c>
      <c r="B7" s="10">
        <f>(('DCF Model'!$B$11*(1+'DCF Model'!$B$17)*(1+'DCF Model'!$C$17)*(1+'DCF Model'!$D$17)*(1+'DCF Model'!$E$17)*(1+'DCF Model'!$F$17))*(1+0.02)/(0.1-0.02))/(1+0.1)^5/'DCF Model'!$B$6</f>
        <v>0</v>
      </c>
      <c r="C7" s="10">
        <f>(('DCF Model'!$B$11*(1+'DCF Model'!$B$17)*(1+'DCF Model'!$C$17)*(1+'DCF Model'!$D$17)*(1+'DCF Model'!$E$17)*(1+'DCF Model'!$F$17))*(1+0.025)/(0.1-0.025))/(1+0.1)^5/'DCF Model'!$B$6</f>
        <v>0</v>
      </c>
      <c r="D7" s="10">
        <f>(('DCF Model'!$B$11*(1+'DCF Model'!$B$17)*(1+'DCF Model'!$C$17)*(1+'DCF Model'!$D$17)*(1+'DCF Model'!$E$17)*(1+'DCF Model'!$F$17))*(1+0.03)/(0.1-0.03))/(1+0.1)^5/'DCF Model'!$B$6</f>
        <v>0</v>
      </c>
      <c r="E7" s="10">
        <f>(('DCF Model'!$B$11*(1+'DCF Model'!$B$17)*(1+'DCF Model'!$C$17)*(1+'DCF Model'!$D$17)*(1+'DCF Model'!$E$17)*(1+'DCF Model'!$F$17))*(1+0.035)/(0.1-0.035))/(1+0.1)^5/'DCF Model'!$B$6</f>
        <v>0</v>
      </c>
      <c r="F7" s="10">
        <f>(('DCF Model'!$B$11*(1+'DCF Model'!$B$17)*(1+'DCF Model'!$C$17)*(1+'DCF Model'!$D$17)*(1+'DCF Model'!$E$17)*(1+'DCF Model'!$F$17))*(1+0.04)/(0.1-0.04))/(1+0.1)^5/'DCF Model'!$B$6</f>
        <v>0</v>
      </c>
    </row>
    <row r="8" spans="1:6">
      <c r="A8" s="12">
        <v>0.11</v>
      </c>
      <c r="B8" s="10">
        <f>(('DCF Model'!$B$11*(1+'DCF Model'!$B$17)*(1+'DCF Model'!$C$17)*(1+'DCF Model'!$D$17)*(1+'DCF Model'!$E$17)*(1+'DCF Model'!$F$17))*(1+0.02)/(0.11-0.02))/(1+0.11)^5/'DCF Model'!$B$6</f>
        <v>0</v>
      </c>
      <c r="C8" s="10">
        <f>(('DCF Model'!$B$11*(1+'DCF Model'!$B$17)*(1+'DCF Model'!$C$17)*(1+'DCF Model'!$D$17)*(1+'DCF Model'!$E$17)*(1+'DCF Model'!$F$17))*(1+0.025)/(0.11-0.025))/(1+0.11)^5/'DCF Model'!$B$6</f>
        <v>0</v>
      </c>
      <c r="D8" s="10">
        <f>(('DCF Model'!$B$11*(1+'DCF Model'!$B$17)*(1+'DCF Model'!$C$17)*(1+'DCF Model'!$D$17)*(1+'DCF Model'!$E$17)*(1+'DCF Model'!$F$17))*(1+0.03)/(0.11-0.03))/(1+0.11)^5/'DCF Model'!$B$6</f>
        <v>0</v>
      </c>
      <c r="E8" s="10">
        <f>(('DCF Model'!$B$11*(1+'DCF Model'!$B$17)*(1+'DCF Model'!$C$17)*(1+'DCF Model'!$D$17)*(1+'DCF Model'!$E$17)*(1+'DCF Model'!$F$17))*(1+0.035)/(0.11-0.035))/(1+0.11)^5/'DCF Model'!$B$6</f>
        <v>0</v>
      </c>
      <c r="F8" s="10">
        <f>(('DCF Model'!$B$11*(1+'DCF Model'!$B$17)*(1+'DCF Model'!$C$17)*(1+'DCF Model'!$D$17)*(1+'DCF Model'!$E$17)*(1+'DCF Model'!$F$17))*(1+0.04)/(0.11-0.04))/(1+0.11)^5/'DCF Model'!$B$6</f>
        <v>0</v>
      </c>
    </row>
    <row r="9" spans="1:6">
      <c r="A9" s="12">
        <v>0.12</v>
      </c>
      <c r="B9" s="10">
        <f>(('DCF Model'!$B$11*(1+'DCF Model'!$B$17)*(1+'DCF Model'!$C$17)*(1+'DCF Model'!$D$17)*(1+'DCF Model'!$E$17)*(1+'DCF Model'!$F$17))*(1+0.02)/(0.12-0.02))/(1+0.12)^5/'DCF Model'!$B$6</f>
        <v>0</v>
      </c>
      <c r="C9" s="10">
        <f>(('DCF Model'!$B$11*(1+'DCF Model'!$B$17)*(1+'DCF Model'!$C$17)*(1+'DCF Model'!$D$17)*(1+'DCF Model'!$E$17)*(1+'DCF Model'!$F$17))*(1+0.025)/(0.12-0.025))/(1+0.12)^5/'DCF Model'!$B$6</f>
        <v>0</v>
      </c>
      <c r="D9" s="10">
        <f>(('DCF Model'!$B$11*(1+'DCF Model'!$B$17)*(1+'DCF Model'!$C$17)*(1+'DCF Model'!$D$17)*(1+'DCF Model'!$E$17)*(1+'DCF Model'!$F$17))*(1+0.03)/(0.12-0.03))/(1+0.12)^5/'DCF Model'!$B$6</f>
        <v>0</v>
      </c>
      <c r="E9" s="10">
        <f>(('DCF Model'!$B$11*(1+'DCF Model'!$B$17)*(1+'DCF Model'!$C$17)*(1+'DCF Model'!$D$17)*(1+'DCF Model'!$E$17)*(1+'DCF Model'!$F$17))*(1+0.035)/(0.12-0.035))/(1+0.12)^5/'DCF Model'!$B$6</f>
        <v>0</v>
      </c>
      <c r="F9" s="10">
        <f>(('DCF Model'!$B$11*(1+'DCF Model'!$B$17)*(1+'DCF Model'!$C$17)*(1+'DCF Model'!$D$17)*(1+'DCF Model'!$E$17)*(1+'DCF Model'!$F$17))*(1+0.04)/(0.12-0.04))/(1+0.12)^5/'DCF Model'!$B$6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cols>
    <col min="1" max="1" width="25.7109375" customWidth="1"/>
    <col min="2" max="3" width="15.7109375" customWidth="1"/>
  </cols>
  <sheetData>
    <row r="1" spans="1:3">
      <c r="A1" s="1" t="s">
        <v>40</v>
      </c>
    </row>
    <row r="3" spans="1:3">
      <c r="A3" s="7" t="s">
        <v>41</v>
      </c>
      <c r="B3" s="7" t="s">
        <v>42</v>
      </c>
      <c r="C3" s="7" t="s">
        <v>43</v>
      </c>
    </row>
    <row r="4" spans="1:3">
      <c r="A4" t="s">
        <v>44</v>
      </c>
      <c r="B4" s="11">
        <v>0.1079</v>
      </c>
      <c r="C4" s="11">
        <v>0.177</v>
      </c>
    </row>
    <row r="5" spans="1:3">
      <c r="A5" t="s">
        <v>45</v>
      </c>
      <c r="B5" s="11">
        <v>0.0998</v>
      </c>
      <c r="C5" s="11">
        <v>0.2632</v>
      </c>
    </row>
    <row r="6" spans="1:3">
      <c r="A6" t="s">
        <v>46</v>
      </c>
      <c r="B6" s="11">
        <v>0.078</v>
      </c>
      <c r="C6" s="11">
        <v>0.091</v>
      </c>
    </row>
    <row r="7" spans="1:3">
      <c r="A7" t="s">
        <v>47</v>
      </c>
      <c r="B7" s="11">
        <v>0.1341</v>
      </c>
      <c r="C7" s="11">
        <v>0.2311</v>
      </c>
    </row>
    <row r="9" spans="1:3">
      <c r="A9" s="8" t="s">
        <v>48</v>
      </c>
      <c r="B9" s="11">
        <v>0.2311</v>
      </c>
    </row>
    <row r="10" spans="1:3">
      <c r="A10" t="s">
        <v>49</v>
      </c>
      <c r="B10" t="s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cols>
    <col min="1" max="1" width="25.7109375" customWidth="1"/>
    <col min="2" max="4" width="15.7109375" customWidth="1"/>
  </cols>
  <sheetData>
    <row r="1" spans="1:4">
      <c r="A1" s="1" t="s">
        <v>51</v>
      </c>
    </row>
    <row r="2" spans="1:4">
      <c r="A2" t="s">
        <v>52</v>
      </c>
    </row>
    <row r="4" spans="1:4">
      <c r="A4" s="7"/>
      <c r="B4" s="7" t="s">
        <v>53</v>
      </c>
      <c r="C4" s="7" t="s">
        <v>54</v>
      </c>
      <c r="D4" s="7" t="s">
        <v>55</v>
      </c>
    </row>
    <row r="6" spans="1:4">
      <c r="A6" s="8" t="s">
        <v>56</v>
      </c>
      <c r="B6" s="11">
        <v>0.12</v>
      </c>
      <c r="C6" s="11">
        <v>0.18</v>
      </c>
      <c r="D6" s="11">
        <v>0.24</v>
      </c>
    </row>
    <row r="7" spans="1:4">
      <c r="A7" s="8" t="s">
        <v>57</v>
      </c>
      <c r="B7" s="11">
        <v>0.05</v>
      </c>
      <c r="C7" s="11">
        <v>0.1</v>
      </c>
      <c r="D7" s="11">
        <v>0.15</v>
      </c>
    </row>
    <row r="8" spans="1:4">
      <c r="A8" s="8" t="s">
        <v>9</v>
      </c>
      <c r="B8" s="11">
        <v>0.105</v>
      </c>
      <c r="C8" s="11">
        <v>0.095</v>
      </c>
      <c r="D8" s="11">
        <v>0.09</v>
      </c>
    </row>
    <row r="9" spans="1:4">
      <c r="A9" s="8" t="s">
        <v>58</v>
      </c>
      <c r="B9" s="11">
        <v>0.02</v>
      </c>
      <c r="C9" s="11">
        <v>0.025</v>
      </c>
      <c r="D9" s="11">
        <v>0.03</v>
      </c>
    </row>
    <row r="11" spans="1:4">
      <c r="A11" s="3" t="s">
        <v>59</v>
      </c>
    </row>
    <row r="12" spans="1:4">
      <c r="A12" s="8" t="s">
        <v>60</v>
      </c>
      <c r="B12" s="10">
        <v>246.45</v>
      </c>
      <c r="C12" s="10">
        <v>365.31</v>
      </c>
      <c r="D12" s="10">
        <v>522.45</v>
      </c>
    </row>
    <row r="13" spans="1:4">
      <c r="A13" s="8" t="s">
        <v>61</v>
      </c>
      <c r="B13" s="11">
        <v>0.232</v>
      </c>
      <c r="C13" s="11">
        <v>0.8270000000000001</v>
      </c>
      <c r="D13" s="11">
        <v>1.612</v>
      </c>
    </row>
    <row r="15" spans="1:4">
      <c r="A15" s="8" t="s">
        <v>62</v>
      </c>
      <c r="B15" s="9">
        <v>374.88</v>
      </c>
    </row>
    <row r="16" spans="1:4">
      <c r="A16" s="13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DCF Model</vt:lpstr>
      <vt:lpstr>Sensitivity</vt:lpstr>
      <vt:lpstr>Historical</vt:lpstr>
      <vt:lpstr>Scenarios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2026-01-22T20:28:01Z</dcterms:created>
  <dcterms:modified xsi:type="dcterms:W3CDTF">2026-01-22T20:28:01Z</dcterms:modified>
</cp:coreProperties>
</file>