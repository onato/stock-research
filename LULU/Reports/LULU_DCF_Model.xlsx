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cenario Comparison" sheetId="2" r:id="rId2"/>
    <sheet name="Sensitivity" sheetId="3" r:id="rId3"/>
    <sheet name="Historical Data" sheetId="4" r:id="rId4"/>
  </sheets>
  <calcPr calcId="124519" fullCalcOnLoad="1"/>
</workbook>
</file>

<file path=xl/sharedStrings.xml><?xml version="1.0" encoding="utf-8"?>
<sst xmlns="http://schemas.openxmlformats.org/spreadsheetml/2006/main" count="185" uniqueCount="161">
  <si>
    <t>LULU DCF Valuation Model</t>
  </si>
  <si>
    <t>Valuation Date: 2026-05-26   |   Gray cells are INPUTS — adjust to see valuation update automatically</t>
  </si>
  <si>
    <t>KEY INPUTS</t>
  </si>
  <si>
    <t>Current Stock Price ($)</t>
  </si>
  <si>
    <t>Shares Outstanding (M)</t>
  </si>
  <si>
    <t>Cash &amp; Equivalents ($M)</t>
  </si>
  <si>
    <t>Total Debt ($M)</t>
  </si>
  <si>
    <t>Net Debt ($M) [Debt - Cash]</t>
  </si>
  <si>
    <t>Base Year FCF ($M) — FY2025 Actual</t>
  </si>
  <si>
    <t>WACC</t>
  </si>
  <si>
    <t>Terminal Growth Rate</t>
  </si>
  <si>
    <t>Target CAGR (Entry Price Calc)</t>
  </si>
  <si>
    <t>Projection Years</t>
  </si>
  <si>
    <t>FCF GROWTH RATE ASSUMPTIONS (Base Case)</t>
  </si>
  <si>
    <t>Year 1</t>
  </si>
  <si>
    <t>Year 2</t>
  </si>
  <si>
    <t>Year 3</t>
  </si>
  <si>
    <t>Year 4</t>
  </si>
  <si>
    <t>Year 5</t>
  </si>
  <si>
    <t>Period</t>
  </si>
  <si>
    <t>FCF Growth Rate</t>
  </si>
  <si>
    <t>Note</t>
  </si>
  <si>
    <t>Y1 reflects FY2026 tariff worsening ($380M gross)</t>
  </si>
  <si>
    <t>BASE CASE PROJECTIONS</t>
  </si>
  <si>
    <t>Base FCF</t>
  </si>
  <si>
    <t>Free Cash Flow ($M)</t>
  </si>
  <si>
    <t>Discount Factor</t>
  </si>
  <si>
    <t>PV of FCF ($M)</t>
  </si>
  <si>
    <t>-</t>
  </si>
  <si>
    <t>BASE CASE VALUATION</t>
  </si>
  <si>
    <t>Sum of PV FCF ($M)</t>
  </si>
  <si>
    <t>Terminal Year FCF × (1+g)  ($M)</t>
  </si>
  <si>
    <t>Terminal Value  ($M)</t>
  </si>
  <si>
    <t>PV of Terminal Value  ($M)</t>
  </si>
  <si>
    <t>Enterprise Value  ($M)</t>
  </si>
  <si>
    <t>Less: Net Debt  ($M)  [negative = net cash]</t>
  </si>
  <si>
    <t>Equity Value  ($M)</t>
  </si>
  <si>
    <t>INTRINSIC VALUE PER SHARE</t>
  </si>
  <si>
    <t>Current Price</t>
  </si>
  <si>
    <t>Upside / (Downside)</t>
  </si>
  <si>
    <t>ENTRY PRICE  (Target: 15% CAGR to Terminal Value)</t>
  </si>
  <si>
    <t>Terminal Value per Share  ($)</t>
  </si>
  <si>
    <t>Entry Price for Target CAGR  ($)</t>
  </si>
  <si>
    <t>Current Price vs Entry Price</t>
  </si>
  <si>
    <t>← positive = current price ABOVE entry (premium to 15% target)</t>
  </si>
  <si>
    <t>Margin of Safety to Entry Price</t>
  </si>
  <si>
    <t>← negative = you are paying above the 15% target price</t>
  </si>
  <si>
    <t>LULU Scenario Comparison</t>
  </si>
  <si>
    <t>All values in USD millions except per-share figures. Base FCF: $921.7M (FY2025 tariff-depressed)</t>
  </si>
  <si>
    <t>Metric</t>
  </si>
  <si>
    <t>Bear Case</t>
  </si>
  <si>
    <t>Base Case</t>
  </si>
  <si>
    <t>Bull Case</t>
  </si>
  <si>
    <t>11%</t>
  </si>
  <si>
    <t>10%</t>
  </si>
  <si>
    <t>9%</t>
  </si>
  <si>
    <t>2.0%</t>
  </si>
  <si>
    <t>2.5%</t>
  </si>
  <si>
    <t>3.0%</t>
  </si>
  <si>
    <t>Y1 FCF Growth</t>
  </si>
  <si>
    <t>-15%</t>
  </si>
  <si>
    <t>-10%</t>
  </si>
  <si>
    <t>0%</t>
  </si>
  <si>
    <t>Y2 FCF Growth</t>
  </si>
  <si>
    <t>5%</t>
  </si>
  <si>
    <t>15%</t>
  </si>
  <si>
    <t>30%</t>
  </si>
  <si>
    <t>Y3 FCF Growth</t>
  </si>
  <si>
    <t>8%</t>
  </si>
  <si>
    <t>20%</t>
  </si>
  <si>
    <t>Y4 FCF Growth</t>
  </si>
  <si>
    <t>Y5 FCF Growth</t>
  </si>
  <si>
    <t>7%</t>
  </si>
  <si>
    <t>12%</t>
  </si>
  <si>
    <t>── PROJECTIONS ──</t>
  </si>
  <si>
    <t>Year 1 FCF ($M)</t>
  </si>
  <si>
    <t>Year 2 FCF ($M)</t>
  </si>
  <si>
    <t>Year 3 FCF ($M)</t>
  </si>
  <si>
    <t>Year 4 FCF ($M)</t>
  </si>
  <si>
    <t>Year 5 FCF ($M)</t>
  </si>
  <si>
    <t>── VALUATION SUMMARY ──</t>
  </si>
  <si>
    <t>Sum PV of FCF ($M)</t>
  </si>
  <si>
    <t>Terminal Value ($M)</t>
  </si>
  <si>
    <t>PV of Terminal Value ($M)</t>
  </si>
  <si>
    <t>Enterprise Value ($M)</t>
  </si>
  <si>
    <t>Net Debt ($M)</t>
  </si>
  <si>
    <t>Equity Value ($M)</t>
  </si>
  <si>
    <t>Intrinsic Value / Share</t>
  </si>
  <si>
    <t>Upside / (Downside) %</t>
  </si>
  <si>
    <t>── ENTRY PRICE (15% CAGR) ──</t>
  </si>
  <si>
    <t>TV per Share ($)</t>
  </si>
  <si>
    <t>Entry Price ($)</t>
  </si>
  <si>
    <t>Current Price vs Entry %</t>
  </si>
  <si>
    <t>── PROBABILITY WEIGHTED ──</t>
  </si>
  <si>
    <t>Weights (Bear / Base / Bull)</t>
  </si>
  <si>
    <t>25%</t>
  </si>
  <si>
    <t>50%</t>
  </si>
  <si>
    <t>Probability-Weighted IV ($)</t>
  </si>
  <si>
    <t>Weighted Upside (%)</t>
  </si>
  <si>
    <t>Sensitivity Analysis — Base Case Growth Rates</t>
  </si>
  <si>
    <t>FCF growth: Y1 -10%, Y2 +15%, Y3 +20%, Y4 +15%, Y5 +12% | Base FCF $921.7M</t>
  </si>
  <si>
    <t>Intrinsic Value per Share ($) across WACC (rows) × Terminal Growth Rate (columns)</t>
  </si>
  <si>
    <t>WACC  ↓  /  Term-G  →</t>
  </si>
  <si>
    <t>3.5%</t>
  </si>
  <si>
    <t>4.0%</t>
  </si>
  <si>
    <t>Color key:</t>
  </si>
  <si>
    <t>Green = &gt;10% above current ($127.18)</t>
  </si>
  <si>
    <t>Yellow = within ±10% of current price</t>
  </si>
  <si>
    <t>Red = &gt;10% below current price</t>
  </si>
  <si>
    <t>Current price marker:</t>
  </si>
  <si>
    <t>WACC ~11.5% / TG ~2.5%</t>
  </si>
  <si>
    <t>Interpretation:</t>
  </si>
  <si>
    <t>All cells use base case FCF growth rates [-10%, +15%, +20%, +15%, +12%] starting from FY2025 base FCF of $921.7M. Rows = WACC (8-12%), Columns = Terminal Growth Rate (2.0-4.0%). Values are intrinsic value per share in USD. Current price of $127.18 is bracketed between WACC 11% (TG 2-3% range: $132-144) and WACC 12% (TG 3-4% range: $129-140), suggesting the market is implicitly pricing approximately an 11-12% WACC with 2.5-3% terminal growth — consistent with the current uncertainty premium.</t>
  </si>
  <si>
    <t>Historical Growth Rates — Lululemon Athletica</t>
  </si>
  <si>
    <t>Note: equity CAGR understated by $1.2B+/yr buybacks. FCF CAGRs are endpoint-sensitive.</t>
  </si>
  <si>
    <t>3-Year CAGR
(FY2022→FY2025)</t>
  </si>
  <si>
    <t>5-Year CAGR
(FY2020→FY2025)</t>
  </si>
  <si>
    <t>Revenue</t>
  </si>
  <si>
    <t>EPS</t>
  </si>
  <si>
    <t>Shareholders' Equity</t>
  </si>
  <si>
    <t>Free Cash Flow*</t>
  </si>
  <si>
    <t>* FCF 3yr CAGR inflated: FY2022 base was a trough ($327.8M, capex surge)</t>
  </si>
  <si>
    <t>* FCF 5yr CAGR: FY2025 endpoint is tariff-depressed ($275M gross tariff hit)</t>
  </si>
  <si>
    <t>FCF by Fiscal Year ($M)</t>
  </si>
  <si>
    <t>FY2020</t>
  </si>
  <si>
    <t>FY2021</t>
  </si>
  <si>
    <t>FY2022</t>
  </si>
  <si>
    <t>FY2023</t>
  </si>
  <si>
    <t>FY2024</t>
  </si>
  <si>
    <t>FY2025</t>
  </si>
  <si>
    <t>Sanity Check — Implied Multiples at Each Scenario IV</t>
  </si>
  <si>
    <t>Scenario</t>
  </si>
  <si>
    <t>Intrinsic Value ($)</t>
  </si>
  <si>
    <t>Trailing P/E (FY2025 EPS $13.26)</t>
  </si>
  <si>
    <t>Forward P/E (FY2026E EPS $12.20)</t>
  </si>
  <si>
    <t>P/B (BV/share $41.66)</t>
  </si>
  <si>
    <t>Bear</t>
  </si>
  <si>
    <t>7.6x</t>
  </si>
  <si>
    <t>8.2x</t>
  </si>
  <si>
    <t>2.4x</t>
  </si>
  <si>
    <t>Base</t>
  </si>
  <si>
    <t>11.7x</t>
  </si>
  <si>
    <t>12.8x</t>
  </si>
  <si>
    <t>3.7x</t>
  </si>
  <si>
    <t>Bull</t>
  </si>
  <si>
    <t>20.0x</t>
  </si>
  <si>
    <t>21.7x</t>
  </si>
  <si>
    <t>6.4x</t>
  </si>
  <si>
    <t>Weighted</t>
  </si>
  <si>
    <t>13.9x</t>
  </si>
  <si>
    <t>4.1x</t>
  </si>
  <si>
    <t>Current</t>
  </si>
  <si>
    <t>9.6x</t>
  </si>
  <si>
    <t>10.4x</t>
  </si>
  <si>
    <t>3.1x</t>
  </si>
  <si>
    <t>Historical LULU P/E range (premium): 25–45x</t>
  </si>
  <si>
    <t>Historical LULU P/E trough range: 12–15x</t>
  </si>
  <si>
    <t>Historical LULU P/B range: 8–15x (inflated by asset-light model + high ROE)</t>
  </si>
  <si>
    <t>P/B understated here because buybacks ($1.2B/yr) have mechanically reduced book value</t>
  </si>
  <si>
    <t>Sanity check verdict: PASS. Base/weighted IV implies trough-level multiples, consistent</t>
  </si>
  <si>
    <t>with the business genuinely being at an operational and FCF trough.</t>
  </si>
</sst>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&quot;$&quot;#,##0.00"/>
  </numFmts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636E72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636E72"/>
        <bgColor indexed="64"/>
      </patternFill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984E3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D63031"/>
        <bgColor indexed="64"/>
      </patternFill>
    </fill>
    <fill>
      <patternFill patternType="solid">
        <fgColor rgb="FFFDCB6E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164" fontId="0" fillId="3" borderId="2" xfId="0" applyNumberFormat="1" applyFill="1" applyBorder="1"/>
    <xf numFmtId="164" fontId="0" fillId="0" borderId="2" xfId="0" applyNumberFormat="1" applyBorder="1"/>
    <xf numFmtId="165" fontId="0" fillId="3" borderId="2" xfId="0" applyNumberFormat="1" applyFill="1" applyBorder="1"/>
    <xf numFmtId="0" fontId="4" fillId="4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5" fillId="0" borderId="0" xfId="0" applyFont="1"/>
    <xf numFmtId="0" fontId="0" fillId="0" borderId="2" xfId="0" applyBorder="1" applyAlignment="1">
      <alignment horizontal="center"/>
    </xf>
    <xf numFmtId="166" fontId="4" fillId="6" borderId="2" xfId="0" applyNumberFormat="1" applyFont="1" applyFill="1" applyBorder="1"/>
    <xf numFmtId="166" fontId="0" fillId="0" borderId="2" xfId="0" applyNumberFormat="1" applyBorder="1"/>
    <xf numFmtId="165" fontId="4" fillId="6" borderId="2" xfId="0" applyNumberFormat="1" applyFont="1" applyFill="1" applyBorder="1"/>
    <xf numFmtId="165" fontId="0" fillId="0" borderId="2" xfId="0" applyNumberFormat="1" applyBorder="1"/>
    <xf numFmtId="0" fontId="4" fillId="7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166" fontId="4" fillId="7" borderId="2" xfId="0" applyNumberFormat="1" applyFont="1" applyFill="1" applyBorder="1"/>
    <xf numFmtId="166" fontId="5" fillId="8" borderId="2" xfId="0" applyNumberFormat="1" applyFont="1" applyFill="1" applyBorder="1"/>
    <xf numFmtId="0" fontId="6" fillId="6" borderId="0" xfId="0" applyFont="1" applyFill="1"/>
    <xf numFmtId="0" fontId="0" fillId="8" borderId="0" xfId="0" applyFill="1"/>
    <xf numFmtId="0" fontId="6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tabSelected="1" workbookViewId="0"/>
  </sheetViews>
  <sheetFormatPr defaultRowHeight="15"/>
  <cols>
    <col min="1" max="1" width="28.7109375" customWidth="1"/>
    <col min="2" max="7" width="14.7109375" customWidth="1"/>
  </cols>
  <sheetData>
    <row r="1" spans="1:7">
      <c r="A1" s="1" t="s">
        <v>0</v>
      </c>
    </row>
    <row r="2" spans="1:7">
      <c r="A2" s="2" t="s">
        <v>1</v>
      </c>
    </row>
    <row r="4" spans="1:7">
      <c r="A4" s="3" t="s">
        <v>2</v>
      </c>
      <c r="B4" s="3"/>
      <c r="C4" s="3"/>
      <c r="D4" s="3"/>
      <c r="E4" s="3"/>
      <c r="F4" s="3"/>
      <c r="G4" s="3"/>
    </row>
    <row r="5" spans="1:7">
      <c r="A5" t="s">
        <v>3</v>
      </c>
      <c r="B5" s="4">
        <v>127.18</v>
      </c>
    </row>
    <row r="6" spans="1:7">
      <c r="A6" t="s">
        <v>4</v>
      </c>
      <c r="B6" s="4">
        <v>119.1</v>
      </c>
    </row>
    <row r="7" spans="1:7">
      <c r="A7" t="s">
        <v>5</v>
      </c>
      <c r="B7" s="4">
        <v>1807.2</v>
      </c>
    </row>
    <row r="8" spans="1:7">
      <c r="A8" t="s">
        <v>6</v>
      </c>
      <c r="B8" s="4">
        <v>0</v>
      </c>
    </row>
    <row r="9" spans="1:7">
      <c r="A9" t="s">
        <v>7</v>
      </c>
      <c r="B9" s="5">
        <f>B8-B7</f>
        <v>0</v>
      </c>
    </row>
    <row r="10" spans="1:7">
      <c r="A10" t="s">
        <v>8</v>
      </c>
      <c r="B10" s="4">
        <v>921.7</v>
      </c>
    </row>
    <row r="11" spans="1:7">
      <c r="A11" t="s">
        <v>9</v>
      </c>
      <c r="B11" s="6">
        <v>0.1</v>
      </c>
    </row>
    <row r="12" spans="1:7">
      <c r="A12" t="s">
        <v>10</v>
      </c>
      <c r="B12" s="6">
        <v>0.025</v>
      </c>
    </row>
    <row r="13" spans="1:7">
      <c r="A13" t="s">
        <v>11</v>
      </c>
      <c r="B13" s="6">
        <v>0.15</v>
      </c>
    </row>
    <row r="14" spans="1:7">
      <c r="A14" t="s">
        <v>12</v>
      </c>
      <c r="B14" s="4">
        <v>5</v>
      </c>
    </row>
    <row r="16" spans="1:7">
      <c r="A16" s="3" t="s">
        <v>13</v>
      </c>
      <c r="B16" s="3"/>
      <c r="C16" s="3"/>
      <c r="D16" s="3"/>
      <c r="E16" s="3"/>
      <c r="F16" s="3"/>
      <c r="G16" s="3"/>
    </row>
    <row r="17" spans="1:7">
      <c r="A17" s="7" t="s">
        <v>19</v>
      </c>
      <c r="B17" s="8" t="s">
        <v>14</v>
      </c>
      <c r="C17" s="8" t="s">
        <v>15</v>
      </c>
      <c r="D17" s="8" t="s">
        <v>16</v>
      </c>
      <c r="E17" s="8" t="s">
        <v>17</v>
      </c>
      <c r="F17" s="8" t="s">
        <v>18</v>
      </c>
      <c r="G17" s="7" t="s">
        <v>21</v>
      </c>
    </row>
    <row r="18" spans="1:7">
      <c r="A18" s="9" t="s">
        <v>20</v>
      </c>
      <c r="B18" s="6">
        <v>-0.1</v>
      </c>
      <c r="C18" s="6">
        <v>0.15</v>
      </c>
      <c r="D18" s="6">
        <v>0.2</v>
      </c>
      <c r="E18" s="6">
        <v>0.15</v>
      </c>
      <c r="F18" s="6">
        <v>0.12</v>
      </c>
      <c r="G18" s="2" t="s">
        <v>22</v>
      </c>
    </row>
    <row r="20" spans="1:7">
      <c r="A20" s="3" t="s">
        <v>23</v>
      </c>
      <c r="B20" s="3"/>
      <c r="C20" s="3"/>
      <c r="D20" s="3"/>
      <c r="E20" s="3"/>
      <c r="F20" s="3"/>
      <c r="G20" s="3"/>
    </row>
    <row r="21" spans="1:7">
      <c r="A21" s="7"/>
      <c r="B21" s="8" t="s">
        <v>24</v>
      </c>
      <c r="C21" s="8" t="s">
        <v>14</v>
      </c>
      <c r="D21" s="8" t="s">
        <v>15</v>
      </c>
      <c r="E21" s="8" t="s">
        <v>16</v>
      </c>
      <c r="F21" s="8" t="s">
        <v>17</v>
      </c>
      <c r="G21" s="8" t="s">
        <v>18</v>
      </c>
    </row>
    <row r="22" spans="1:7">
      <c r="A22" t="s">
        <v>25</v>
      </c>
      <c r="B22" s="5">
        <f>B10</f>
        <v>0</v>
      </c>
      <c r="C22" s="5">
        <f>B22*(1+B18)</f>
        <v>0</v>
      </c>
      <c r="D22" s="5">
        <f>C22*(1+C18)</f>
        <v>0</v>
      </c>
      <c r="E22" s="5">
        <f>D22*(1+D18)</f>
        <v>0</v>
      </c>
      <c r="F22" s="5">
        <f>E22*(1+E18)</f>
        <v>0</v>
      </c>
      <c r="G22" s="5">
        <f>F22*(1+F18)</f>
        <v>0</v>
      </c>
    </row>
    <row r="23" spans="1:7">
      <c r="A23" t="s">
        <v>26</v>
      </c>
      <c r="B23" s="5">
        <v>1</v>
      </c>
      <c r="C23" s="5">
        <f>1/(1+$B$11)^1</f>
        <v>0</v>
      </c>
      <c r="D23" s="5">
        <f>1/(1+$B$11)^2</f>
        <v>0</v>
      </c>
      <c r="E23" s="5">
        <f>1/(1+$B$11)^3</f>
        <v>0</v>
      </c>
      <c r="F23" s="5">
        <f>1/(1+$B$11)^4</f>
        <v>0</v>
      </c>
      <c r="G23" s="5">
        <f>1/(1+$B$11)^5</f>
        <v>0</v>
      </c>
    </row>
    <row r="24" spans="1:7">
      <c r="A24" t="s">
        <v>27</v>
      </c>
      <c r="B24" s="10" t="s">
        <v>28</v>
      </c>
      <c r="C24" s="5">
        <f>C22*C23</f>
        <v>0</v>
      </c>
      <c r="D24" s="5">
        <f>D22*D23</f>
        <v>0</v>
      </c>
      <c r="E24" s="5">
        <f>E22*E23</f>
        <v>0</v>
      </c>
      <c r="F24" s="5">
        <f>F22*F23</f>
        <v>0</v>
      </c>
      <c r="G24" s="5">
        <f>G22*G23</f>
        <v>0</v>
      </c>
    </row>
    <row r="26" spans="1:7">
      <c r="A26" s="3" t="s">
        <v>29</v>
      </c>
      <c r="B26" s="3"/>
      <c r="C26" s="3"/>
      <c r="D26" s="3"/>
      <c r="E26" s="3"/>
      <c r="F26" s="3"/>
      <c r="G26" s="3"/>
    </row>
    <row r="27" spans="1:7">
      <c r="A27" t="s">
        <v>30</v>
      </c>
      <c r="B27" s="5">
        <f>SUM(C24:G24)</f>
        <v>0</v>
      </c>
    </row>
    <row r="28" spans="1:7">
      <c r="A28" t="s">
        <v>31</v>
      </c>
      <c r="B28" s="5">
        <f>G22*(1+$B$12)</f>
        <v>0</v>
      </c>
    </row>
    <row r="29" spans="1:7">
      <c r="A29" t="s">
        <v>32</v>
      </c>
      <c r="B29" s="5">
        <f>B28/($B$11-$B$12)</f>
        <v>0</v>
      </c>
    </row>
    <row r="30" spans="1:7">
      <c r="A30" t="s">
        <v>33</v>
      </c>
      <c r="B30" s="5">
        <f>B29*G23</f>
        <v>0</v>
      </c>
    </row>
    <row r="31" spans="1:7">
      <c r="A31" t="s">
        <v>34</v>
      </c>
      <c r="B31" s="5">
        <f>B27+B30</f>
        <v>0</v>
      </c>
    </row>
    <row r="32" spans="1:7">
      <c r="A32" t="s">
        <v>35</v>
      </c>
      <c r="B32" s="5">
        <f>B9</f>
        <v>0</v>
      </c>
    </row>
    <row r="33" spans="1:7">
      <c r="A33" t="s">
        <v>36</v>
      </c>
      <c r="B33" s="5">
        <f>B31-B32</f>
        <v>0</v>
      </c>
    </row>
    <row r="34" spans="1:7">
      <c r="A34" s="9" t="s">
        <v>37</v>
      </c>
      <c r="B34" s="11">
        <f>B33/B6</f>
        <v>0</v>
      </c>
    </row>
    <row r="35" spans="1:7">
      <c r="A35" t="s">
        <v>38</v>
      </c>
      <c r="B35" s="12">
        <f>B5</f>
        <v>0</v>
      </c>
    </row>
    <row r="36" spans="1:7">
      <c r="A36" t="s">
        <v>39</v>
      </c>
      <c r="B36" s="13">
        <f>(B34-B5)/B5</f>
        <v>0</v>
      </c>
    </row>
    <row r="38" spans="1:7">
      <c r="A38" s="3" t="s">
        <v>40</v>
      </c>
      <c r="B38" s="3"/>
      <c r="C38" s="3"/>
      <c r="D38" s="3"/>
      <c r="E38" s="3"/>
      <c r="F38" s="3"/>
      <c r="G38" s="3"/>
    </row>
    <row r="39" spans="1:7">
      <c r="A39" t="s">
        <v>41</v>
      </c>
      <c r="B39" s="12">
        <f>B29/B6</f>
        <v>0</v>
      </c>
    </row>
    <row r="40" spans="1:7">
      <c r="A40" t="s">
        <v>42</v>
      </c>
      <c r="B40" s="11">
        <f>B39/(1+$B$13)^$B$14</f>
        <v>0</v>
      </c>
    </row>
    <row r="41" spans="1:7">
      <c r="A41" t="s">
        <v>43</v>
      </c>
      <c r="B41" s="13">
        <f>(B5-B40)/B5</f>
        <v>0</v>
      </c>
      <c r="C41" s="2" t="s">
        <v>44</v>
      </c>
    </row>
    <row r="42" spans="1:7">
      <c r="A42" t="s">
        <v>45</v>
      </c>
      <c r="B42" s="14">
        <f>(B40-B5)/B5</f>
        <v>0</v>
      </c>
      <c r="C42" s="2" t="s">
        <v>46</v>
      </c>
    </row>
  </sheetData>
  <mergeCells count="5">
    <mergeCell ref="A4:G4"/>
    <mergeCell ref="A16:G16"/>
    <mergeCell ref="A20:G20"/>
    <mergeCell ref="A26:G26"/>
    <mergeCell ref="A38:G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cols>
    <col min="1" max="1" width="32.7109375" customWidth="1"/>
    <col min="2" max="4" width="16.7109375" customWidth="1"/>
  </cols>
  <sheetData>
    <row r="1" spans="1:4">
      <c r="A1" s="1" t="s">
        <v>47</v>
      </c>
    </row>
    <row r="2" spans="1:4">
      <c r="A2" s="2" t="s">
        <v>48</v>
      </c>
    </row>
    <row r="4" spans="1:4">
      <c r="A4" s="7" t="s">
        <v>49</v>
      </c>
      <c r="B4" s="15" t="s">
        <v>50</v>
      </c>
      <c r="C4" s="8" t="s">
        <v>51</v>
      </c>
      <c r="D4" s="16" t="s">
        <v>52</v>
      </c>
    </row>
    <row r="5" spans="1:4">
      <c r="A5" t="s">
        <v>9</v>
      </c>
      <c r="B5" t="s">
        <v>53</v>
      </c>
      <c r="C5" t="s">
        <v>54</v>
      </c>
      <c r="D5" t="s">
        <v>55</v>
      </c>
    </row>
    <row r="6" spans="1:4">
      <c r="A6" t="s">
        <v>10</v>
      </c>
      <c r="B6" t="s">
        <v>56</v>
      </c>
      <c r="C6" t="s">
        <v>57</v>
      </c>
      <c r="D6" t="s">
        <v>58</v>
      </c>
    </row>
    <row r="7" spans="1:4">
      <c r="A7" t="s">
        <v>59</v>
      </c>
      <c r="B7" t="s">
        <v>60</v>
      </c>
      <c r="C7" t="s">
        <v>61</v>
      </c>
      <c r="D7" t="s">
        <v>62</v>
      </c>
    </row>
    <row r="8" spans="1:4">
      <c r="A8" t="s">
        <v>63</v>
      </c>
      <c r="B8" t="s">
        <v>64</v>
      </c>
      <c r="C8" t="s">
        <v>65</v>
      </c>
      <c r="D8" t="s">
        <v>66</v>
      </c>
    </row>
    <row r="9" spans="1:4">
      <c r="A9" t="s">
        <v>67</v>
      </c>
      <c r="B9" t="s">
        <v>68</v>
      </c>
      <c r="C9" t="s">
        <v>69</v>
      </c>
      <c r="D9" t="s">
        <v>66</v>
      </c>
    </row>
    <row r="10" spans="1:4">
      <c r="A10" t="s">
        <v>70</v>
      </c>
      <c r="B10" t="s">
        <v>68</v>
      </c>
      <c r="C10" t="s">
        <v>65</v>
      </c>
      <c r="D10" t="s">
        <v>69</v>
      </c>
    </row>
    <row r="11" spans="1:4">
      <c r="A11" t="s">
        <v>71</v>
      </c>
      <c r="B11" t="s">
        <v>72</v>
      </c>
      <c r="C11" t="s">
        <v>73</v>
      </c>
      <c r="D11" t="s">
        <v>65</v>
      </c>
    </row>
    <row r="13" spans="1:4">
      <c r="A13" s="3" t="s">
        <v>74</v>
      </c>
      <c r="B13" s="3"/>
      <c r="C13" s="3"/>
      <c r="D13" s="3"/>
    </row>
    <row r="14" spans="1:4">
      <c r="A14" t="s">
        <v>75</v>
      </c>
      <c r="B14" s="5">
        <v>783.4</v>
      </c>
      <c r="C14" s="5">
        <v>829.5</v>
      </c>
      <c r="D14" s="5">
        <v>921.7</v>
      </c>
    </row>
    <row r="15" spans="1:4">
      <c r="A15" t="s">
        <v>76</v>
      </c>
      <c r="B15" s="5">
        <v>822.6</v>
      </c>
      <c r="C15" s="5">
        <v>954</v>
      </c>
      <c r="D15" s="5">
        <v>1198.2</v>
      </c>
    </row>
    <row r="16" spans="1:4">
      <c r="A16" t="s">
        <v>77</v>
      </c>
      <c r="B16" s="5">
        <v>888.4</v>
      </c>
      <c r="C16" s="5">
        <v>1144.8</v>
      </c>
      <c r="D16" s="5">
        <v>1557.7</v>
      </c>
    </row>
    <row r="17" spans="1:4">
      <c r="A17" t="s">
        <v>78</v>
      </c>
      <c r="B17" s="5">
        <v>959.5</v>
      </c>
      <c r="C17" s="5">
        <v>1316.5</v>
      </c>
      <c r="D17" s="5">
        <v>1869.2</v>
      </c>
    </row>
    <row r="18" spans="1:4">
      <c r="A18" t="s">
        <v>79</v>
      </c>
      <c r="B18" s="5">
        <v>1026.7</v>
      </c>
      <c r="C18" s="5">
        <v>1474.4</v>
      </c>
      <c r="D18" s="5">
        <v>2149.6</v>
      </c>
    </row>
    <row r="20" spans="1:4">
      <c r="A20" s="3" t="s">
        <v>80</v>
      </c>
      <c r="B20" s="3"/>
      <c r="C20" s="3"/>
      <c r="D20" s="3"/>
    </row>
    <row r="21" spans="1:4">
      <c r="A21" t="s">
        <v>81</v>
      </c>
      <c r="B21" s="5">
        <v>3264.3</v>
      </c>
      <c r="C21" s="5">
        <v>4217.3</v>
      </c>
      <c r="D21" s="5">
        <v>5778.1</v>
      </c>
    </row>
    <row r="22" spans="1:4">
      <c r="A22" t="s">
        <v>82</v>
      </c>
      <c r="B22" s="5">
        <v>11635.6</v>
      </c>
      <c r="C22" s="5">
        <v>20150.7</v>
      </c>
      <c r="D22" s="5">
        <v>36901.7</v>
      </c>
    </row>
    <row r="23" spans="1:4">
      <c r="A23" t="s">
        <v>83</v>
      </c>
      <c r="B23" s="5">
        <v>6905.7</v>
      </c>
      <c r="C23" s="5">
        <v>12511.6</v>
      </c>
      <c r="D23" s="5">
        <v>23982.4</v>
      </c>
    </row>
    <row r="24" spans="1:4">
      <c r="A24" t="s">
        <v>84</v>
      </c>
      <c r="B24" s="5">
        <v>10170</v>
      </c>
      <c r="C24" s="5">
        <v>16728.9</v>
      </c>
      <c r="D24" s="5">
        <v>29760.5</v>
      </c>
    </row>
    <row r="25" spans="1:4">
      <c r="A25" t="s">
        <v>85</v>
      </c>
      <c r="B25" s="5">
        <v>-1807.2</v>
      </c>
      <c r="C25" s="5">
        <v>-1807.2</v>
      </c>
      <c r="D25" s="5">
        <v>-1807.2</v>
      </c>
    </row>
    <row r="26" spans="1:4">
      <c r="A26" t="s">
        <v>86</v>
      </c>
      <c r="B26" s="5">
        <v>11977.2</v>
      </c>
      <c r="C26" s="5">
        <v>18536.1</v>
      </c>
      <c r="D26" s="5">
        <v>31567.7</v>
      </c>
    </row>
    <row r="27" spans="1:4">
      <c r="A27" s="9" t="s">
        <v>87</v>
      </c>
      <c r="B27" s="17">
        <v>100.56</v>
      </c>
      <c r="C27" s="18">
        <v>155.63</v>
      </c>
      <c r="D27" s="11">
        <v>265.05</v>
      </c>
    </row>
    <row r="28" spans="1:4">
      <c r="A28" t="s">
        <v>38</v>
      </c>
      <c r="B28" s="12">
        <v>127.18</v>
      </c>
      <c r="C28" s="12">
        <v>127.18</v>
      </c>
      <c r="D28" s="12">
        <v>127.18</v>
      </c>
    </row>
    <row r="29" spans="1:4">
      <c r="A29" t="s">
        <v>88</v>
      </c>
      <c r="B29" s="14">
        <v>-0.209</v>
      </c>
      <c r="C29" s="14">
        <v>0.224</v>
      </c>
      <c r="D29" s="14">
        <v>1.084</v>
      </c>
    </row>
    <row r="31" spans="1:4">
      <c r="A31" s="3" t="s">
        <v>89</v>
      </c>
      <c r="B31" s="3"/>
      <c r="C31" s="3"/>
      <c r="D31" s="3"/>
    </row>
    <row r="32" spans="1:4">
      <c r="A32" t="s">
        <v>90</v>
      </c>
      <c r="B32" s="12">
        <v>97.7</v>
      </c>
      <c r="C32" s="12">
        <v>169.19</v>
      </c>
      <c r="D32" s="12">
        <v>309.84</v>
      </c>
    </row>
    <row r="33" spans="1:4">
      <c r="A33" t="s">
        <v>91</v>
      </c>
      <c r="B33" s="12">
        <v>48.57</v>
      </c>
      <c r="C33" s="12">
        <v>84.12</v>
      </c>
      <c r="D33" s="12">
        <v>154.05</v>
      </c>
    </row>
    <row r="34" spans="1:4">
      <c r="A34" t="s">
        <v>92</v>
      </c>
      <c r="B34" s="14">
        <v>0.618</v>
      </c>
      <c r="C34" s="14">
        <v>0.338</v>
      </c>
      <c r="D34" s="14">
        <v>-0.211</v>
      </c>
    </row>
    <row r="36" spans="1:4">
      <c r="A36" s="3" t="s">
        <v>93</v>
      </c>
      <c r="B36" s="3"/>
      <c r="C36" s="3"/>
      <c r="D36" s="3"/>
    </row>
    <row r="37" spans="1:4">
      <c r="A37" t="s">
        <v>94</v>
      </c>
      <c r="B37" t="s">
        <v>95</v>
      </c>
      <c r="C37" t="s">
        <v>96</v>
      </c>
      <c r="D37" t="s">
        <v>95</v>
      </c>
    </row>
    <row r="38" spans="1:4">
      <c r="A38" s="9" t="s">
        <v>97</v>
      </c>
      <c r="B38" s="18">
        <v>169.22</v>
      </c>
      <c r="C38" s="18"/>
      <c r="D38" s="18"/>
    </row>
    <row r="39" spans="1:4">
      <c r="A39" t="s">
        <v>98</v>
      </c>
      <c r="B39" s="14">
        <v>0.331</v>
      </c>
      <c r="C39" s="14"/>
      <c r="D39" s="14"/>
    </row>
  </sheetData>
  <mergeCells count="6">
    <mergeCell ref="B13:D13"/>
    <mergeCell ref="B20:D20"/>
    <mergeCell ref="B31:D31"/>
    <mergeCell ref="B36:D36"/>
    <mergeCell ref="B38:D38"/>
    <mergeCell ref="B39:D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>
      <c r="A1" s="1" t="s">
        <v>99</v>
      </c>
    </row>
    <row r="2" spans="1:6">
      <c r="A2" s="2" t="s">
        <v>100</v>
      </c>
    </row>
    <row r="3" spans="1:6">
      <c r="A3" s="2" t="s">
        <v>101</v>
      </c>
    </row>
    <row r="5" spans="1:6">
      <c r="A5" s="7" t="s">
        <v>102</v>
      </c>
      <c r="B5" s="7" t="s">
        <v>56</v>
      </c>
      <c r="C5" s="7" t="s">
        <v>57</v>
      </c>
      <c r="D5" s="7" t="s">
        <v>58</v>
      </c>
      <c r="E5" s="7" t="s">
        <v>103</v>
      </c>
      <c r="F5" s="7" t="s">
        <v>104</v>
      </c>
    </row>
    <row r="6" spans="1:6">
      <c r="A6" s="7" t="s">
        <v>68</v>
      </c>
      <c r="B6" s="11">
        <v>195.9</v>
      </c>
      <c r="C6" s="11">
        <v>209.69</v>
      </c>
      <c r="D6" s="11">
        <v>226.24</v>
      </c>
      <c r="E6" s="11">
        <v>246.46</v>
      </c>
      <c r="F6" s="11">
        <v>271.73</v>
      </c>
    </row>
    <row r="7" spans="1:6">
      <c r="A7" s="7" t="s">
        <v>55</v>
      </c>
      <c r="B7" s="11">
        <v>168.85</v>
      </c>
      <c r="C7" s="11">
        <v>178.48</v>
      </c>
      <c r="D7" s="11">
        <v>189.73</v>
      </c>
      <c r="E7" s="11">
        <v>203.02</v>
      </c>
      <c r="F7" s="11">
        <v>218.96</v>
      </c>
    </row>
    <row r="8" spans="1:6">
      <c r="A8" s="7" t="s">
        <v>54</v>
      </c>
      <c r="B8" s="11">
        <v>148.59</v>
      </c>
      <c r="C8" s="11">
        <v>155.64</v>
      </c>
      <c r="D8" s="11">
        <v>163.69</v>
      </c>
      <c r="E8" s="11">
        <v>172.98</v>
      </c>
      <c r="F8" s="11">
        <v>183.82</v>
      </c>
    </row>
    <row r="9" spans="1:6">
      <c r="A9" s="7" t="s">
        <v>53</v>
      </c>
      <c r="B9" s="18">
        <v>132.87</v>
      </c>
      <c r="C9" s="18">
        <v>138.2</v>
      </c>
      <c r="D9" s="11">
        <v>144.2</v>
      </c>
      <c r="E9" s="11">
        <v>150.99</v>
      </c>
      <c r="F9" s="11">
        <v>158.76</v>
      </c>
    </row>
    <row r="10" spans="1:6">
      <c r="A10" s="7" t="s">
        <v>73</v>
      </c>
      <c r="B10" s="18">
        <v>120.32</v>
      </c>
      <c r="C10" s="18">
        <v>124.46</v>
      </c>
      <c r="D10" s="18">
        <v>129.06</v>
      </c>
      <c r="E10" s="18">
        <v>134.2</v>
      </c>
      <c r="F10" s="11">
        <v>139.99</v>
      </c>
    </row>
    <row r="12" spans="1:6">
      <c r="A12" s="9" t="s">
        <v>105</v>
      </c>
      <c r="B12" s="19" t="s">
        <v>106</v>
      </c>
      <c r="C12" s="20" t="s">
        <v>107</v>
      </c>
      <c r="D12" s="21" t="s">
        <v>108</v>
      </c>
    </row>
    <row r="14" spans="1:6">
      <c r="A14" s="9" t="s">
        <v>109</v>
      </c>
      <c r="B14" t="s">
        <v>110</v>
      </c>
    </row>
    <row r="15" spans="1:6" ht="60" customHeight="1">
      <c r="A15" t="s">
        <v>111</v>
      </c>
      <c r="B15" s="2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cols>
    <col min="1" max="1" width="28.7109375" customWidth="1"/>
    <col min="2" max="2" width="16.7109375" customWidth="1"/>
    <col min="3" max="5" width="20.7109375" customWidth="1"/>
  </cols>
  <sheetData>
    <row r="1" spans="1:6">
      <c r="A1" s="1" t="s">
        <v>113</v>
      </c>
    </row>
    <row r="2" spans="1:6">
      <c r="A2" s="2" t="s">
        <v>114</v>
      </c>
    </row>
    <row r="4" spans="1:6">
      <c r="A4" s="7" t="s">
        <v>49</v>
      </c>
      <c r="B4" s="7" t="s">
        <v>115</v>
      </c>
      <c r="C4" s="7" t="s">
        <v>116</v>
      </c>
    </row>
    <row r="5" spans="1:6">
      <c r="A5" t="s">
        <v>117</v>
      </c>
      <c r="B5" s="14">
        <v>0.11</v>
      </c>
      <c r="C5" s="14">
        <v>0.203</v>
      </c>
    </row>
    <row r="6" spans="1:6">
      <c r="A6" t="s">
        <v>118</v>
      </c>
      <c r="B6" s="14">
        <v>0.257</v>
      </c>
      <c r="C6" s="14">
        <v>0.241</v>
      </c>
    </row>
    <row r="7" spans="1:6">
      <c r="A7" t="s">
        <v>119</v>
      </c>
      <c r="B7" s="14">
        <v>0.164</v>
      </c>
      <c r="C7" s="14">
        <v>0.142</v>
      </c>
    </row>
    <row r="8" spans="1:6">
      <c r="A8" t="s">
        <v>120</v>
      </c>
      <c r="B8" s="14">
        <v>0.411</v>
      </c>
      <c r="C8" s="14">
        <v>0.099</v>
      </c>
    </row>
    <row r="9" spans="1:6">
      <c r="A9" s="2" t="s">
        <v>121</v>
      </c>
    </row>
    <row r="10" spans="1:6">
      <c r="A10" s="2" t="s">
        <v>122</v>
      </c>
    </row>
    <row r="12" spans="1:6">
      <c r="A12" s="9" t="s">
        <v>123</v>
      </c>
    </row>
    <row r="13" spans="1:6">
      <c r="A13" s="7" t="s">
        <v>124</v>
      </c>
      <c r="B13" s="7" t="s">
        <v>125</v>
      </c>
      <c r="C13" s="7" t="s">
        <v>126</v>
      </c>
      <c r="D13" s="7" t="s">
        <v>127</v>
      </c>
      <c r="E13" s="7" t="s">
        <v>128</v>
      </c>
      <c r="F13" s="7" t="s">
        <v>129</v>
      </c>
    </row>
    <row r="14" spans="1:6">
      <c r="A14" s="5">
        <v>574.1</v>
      </c>
      <c r="B14" s="5">
        <v>994.6</v>
      </c>
      <c r="C14" s="5">
        <v>327.8</v>
      </c>
      <c r="D14" s="5">
        <v>1644.3</v>
      </c>
      <c r="E14" s="5">
        <v>1583.5</v>
      </c>
      <c r="F14" s="5">
        <v>921.7</v>
      </c>
    </row>
    <row r="15" spans="1:6">
      <c r="A15" s="9" t="s">
        <v>130</v>
      </c>
    </row>
    <row r="16" spans="1:6">
      <c r="A16" s="7" t="s">
        <v>131</v>
      </c>
      <c r="B16" s="7" t="s">
        <v>132</v>
      </c>
      <c r="C16" s="7" t="s">
        <v>133</v>
      </c>
      <c r="D16" s="7" t="s">
        <v>134</v>
      </c>
      <c r="E16" s="7" t="s">
        <v>135</v>
      </c>
    </row>
    <row r="17" spans="1:5">
      <c r="A17" t="s">
        <v>136</v>
      </c>
      <c r="B17" s="12">
        <v>100.56</v>
      </c>
      <c r="C17" t="s">
        <v>137</v>
      </c>
      <c r="D17" t="s">
        <v>138</v>
      </c>
      <c r="E17" t="s">
        <v>139</v>
      </c>
    </row>
    <row r="18" spans="1:5">
      <c r="A18" t="s">
        <v>140</v>
      </c>
      <c r="B18" s="12">
        <v>155.63</v>
      </c>
      <c r="C18" t="s">
        <v>141</v>
      </c>
      <c r="D18" t="s">
        <v>142</v>
      </c>
      <c r="E18" t="s">
        <v>143</v>
      </c>
    </row>
    <row r="19" spans="1:5">
      <c r="A19" t="s">
        <v>144</v>
      </c>
      <c r="B19" s="12">
        <v>265.05</v>
      </c>
      <c r="C19" t="s">
        <v>145</v>
      </c>
      <c r="D19" t="s">
        <v>146</v>
      </c>
      <c r="E19" t="s">
        <v>147</v>
      </c>
    </row>
    <row r="20" spans="1:5">
      <c r="A20" t="s">
        <v>148</v>
      </c>
      <c r="B20" s="12">
        <v>169.22</v>
      </c>
      <c r="C20" t="s">
        <v>142</v>
      </c>
      <c r="D20" t="s">
        <v>149</v>
      </c>
      <c r="E20" t="s">
        <v>150</v>
      </c>
    </row>
    <row r="21" spans="1:5">
      <c r="A21" t="s">
        <v>151</v>
      </c>
      <c r="B21" s="12">
        <v>127.18</v>
      </c>
      <c r="C21" t="s">
        <v>152</v>
      </c>
      <c r="D21" t="s">
        <v>153</v>
      </c>
      <c r="E21" t="s">
        <v>154</v>
      </c>
    </row>
    <row r="23" spans="1:5">
      <c r="A23" s="2" t="s">
        <v>155</v>
      </c>
    </row>
    <row r="24" spans="1:5">
      <c r="A24" s="2" t="s">
        <v>156</v>
      </c>
    </row>
    <row r="25" spans="1:5">
      <c r="A25" s="2" t="s">
        <v>157</v>
      </c>
    </row>
    <row r="26" spans="1:5">
      <c r="A26" s="2" t="s">
        <v>158</v>
      </c>
    </row>
    <row r="27" spans="1:5">
      <c r="A27" s="2" t="s">
        <v>159</v>
      </c>
    </row>
    <row r="28" spans="1:5">
      <c r="A28" s="2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DCF Model</vt:lpstr>
      <vt:lpstr>Scenario Comparison</vt:lpstr>
      <vt:lpstr>Sensitivity</vt:lpstr>
      <vt:lpstr>Historical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2026-05-26T03:20:54Z</dcterms:created>
  <dcterms:modified xsi:type="dcterms:W3CDTF">2026-05-26T03:20:54Z</dcterms:modified>
</cp:coreProperties>
</file>