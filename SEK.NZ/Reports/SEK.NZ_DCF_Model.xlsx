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<sst xmlns="http://schemas.openxmlformats.org/spreadsheetml/2006/main" count="268" uniqueCount="179">
  <si>
    <t>Seeka Limited (SEK.NZ) — DCF Valuation Model</t>
  </si>
  <si>
    <t>NZD thousands | FY2025 base year | Gray cells are inputs — adjust to update model</t>
  </si>
  <si>
    <t>Valuation Date: 2026-03-09   |   Current Price: NZ$5.23   |   Shares: 42.08m</t>
  </si>
  <si>
    <t>KEY INPUTS</t>
  </si>
  <si>
    <t>Current Stock Price (NZ$)</t>
  </si>
  <si>
    <t>Shares Outstanding (000s)</t>
  </si>
  <si>
    <t>Cash &amp; Equivalents (NZ$000s)</t>
  </si>
  <si>
    <t>Total Debt (NZ$000s)</t>
  </si>
  <si>
    <t>Net Debt (NZ$000s)</t>
  </si>
  <si>
    <t>Base Year FCF (NZ$000s) — FY2025</t>
  </si>
  <si>
    <t>FY2025 Revenue (NZ$000s)</t>
  </si>
  <si>
    <t>WACC (Base Case)</t>
  </si>
  <si>
    <t>Terminal Growth Rate (Base Case)</t>
  </si>
  <si>
    <t>Probability Weight — Bull</t>
  </si>
  <si>
    <t>Probability Weight — Bear</t>
  </si>
  <si>
    <t>GROWTH RATE ASSUMPTIONS (FCF % YoY)</t>
  </si>
  <si>
    <t>Base</t>
  </si>
  <si>
    <t>Bull</t>
  </si>
  <si>
    <t>Bear</t>
  </si>
  <si>
    <t>Y1 (FY2026)</t>
  </si>
  <si>
    <t>Y2 (FY2027)</t>
  </si>
  <si>
    <t>Y3 (FY2028)</t>
  </si>
  <si>
    <t>Y4 (FY2029)</t>
  </si>
  <si>
    <t>Y5 (FY2030)</t>
  </si>
  <si>
    <t>WACC</t>
  </si>
  <si>
    <t>Terminal Growth</t>
  </si>
  <si>
    <t>FREE CASH FLOW PROJECTIONS (NZ$000s)</t>
  </si>
  <si>
    <t>Year</t>
  </si>
  <si>
    <t>Base FCF</t>
  </si>
  <si>
    <t>Bull FCF</t>
  </si>
  <si>
    <t>Bear FCF</t>
  </si>
  <si>
    <t>Base PV(FCF)</t>
  </si>
  <si>
    <t>Bull PV(FCF)</t>
  </si>
  <si>
    <t>Bear PV(FCF)</t>
  </si>
  <si>
    <t>VALUATION SUMMARY (NZ$000s)</t>
  </si>
  <si>
    <t>Sum of PV(FCF)</t>
  </si>
  <si>
    <t>Terminal FCF (Y5 x (1+g))</t>
  </si>
  <si>
    <t>Terminal Value</t>
  </si>
  <si>
    <t>PV of Terminal Value</t>
  </si>
  <si>
    <t>Enterprise Value</t>
  </si>
  <si>
    <t>Less: Net Debt</t>
  </si>
  <si>
    <t>Equity Value</t>
  </si>
  <si>
    <t>Intrinsic Value per Share</t>
  </si>
  <si>
    <t>Upside / (Downside) to IV</t>
  </si>
  <si>
    <t>Terminal Value % of EV</t>
  </si>
  <si>
    <t>ENTRY PRICE ANALYSIS (15% CAGR Target)</t>
  </si>
  <si>
    <t>Terminal Value per Share (NZ$)</t>
  </si>
  <si>
    <t>Entry Price for 15% CAGR (NZ$)</t>
  </si>
  <si>
    <t>Entry Price vs Current Price</t>
  </si>
  <si>
    <t>PROBABILITY-WEIGHTED VALUATION</t>
  </si>
  <si>
    <t>Bull Weight</t>
  </si>
  <si>
    <t>Base Weight</t>
  </si>
  <si>
    <t>Bear Weight</t>
  </si>
  <si>
    <t>Probability-Weighted IV (NZ$/share)</t>
  </si>
  <si>
    <t>Upside to Weighted IV</t>
  </si>
  <si>
    <t>MARKET METRICS (FY2025)</t>
  </si>
  <si>
    <t>Market Cap (NZ$m)</t>
  </si>
  <si>
    <t>Enterprise Value (NZ$m)</t>
  </si>
  <si>
    <t>EV / EBITDA (FY2025)</t>
  </si>
  <si>
    <t>EV / Revenue (FY2025)</t>
  </si>
  <si>
    <t>P/E Ratio (EPS $0.76)</t>
  </si>
  <si>
    <t>Price / Book</t>
  </si>
  <si>
    <t>FCF Yield</t>
  </si>
  <si>
    <t>Net Debt / EBITDA</t>
  </si>
  <si>
    <t>Forward Div Yield ($0.25)</t>
  </si>
  <si>
    <t>Seeka (SEK.NZ) — Sensitivity Analysis</t>
  </si>
  <si>
    <t>Intrinsic Value per Share (NZ$) — Base Case FCF projections, varying WACC and Terminal Growth</t>
  </si>
  <si>
    <t>Green = above current price $5.23 | Blue = significantly above | Yellow = moderate upside</t>
  </si>
  <si>
    <t>WACC  \  Terminal Growth</t>
  </si>
  <si>
    <t>1.5%</t>
  </si>
  <si>
    <t>2.0%</t>
  </si>
  <si>
    <t>2.5%</t>
  </si>
  <si>
    <t>3.0%</t>
  </si>
  <si>
    <t>3.5%</t>
  </si>
  <si>
    <t>9.0%</t>
  </si>
  <si>
    <t>10.0%</t>
  </si>
  <si>
    <t>11.0%</t>
  </si>
  <si>
    <t>12.0%</t>
  </si>
  <si>
    <t>13.0%</t>
  </si>
  <si>
    <t>Current Price:</t>
  </si>
  <si>
    <t>All cells = green (above current price in all scenarios)</t>
  </si>
  <si>
    <t>Upside / Downside vs Current Price ($5.23)</t>
  </si>
  <si>
    <t>Seeka (SEK.NZ) — Scenario Detail</t>
  </si>
  <si>
    <t>All figures NZ$000s unless noted</t>
  </si>
  <si>
    <t>BASE CASE</t>
  </si>
  <si>
    <t>Metric</t>
  </si>
  <si>
    <t>Growth Rate</t>
  </si>
  <si>
    <t>5%</t>
  </si>
  <si>
    <t>7%</t>
  </si>
  <si>
    <t>6%</t>
  </si>
  <si>
    <t>FCF Projection</t>
  </si>
  <si>
    <t>Discount Factor</t>
  </si>
  <si>
    <t>PV of FCF</t>
  </si>
  <si>
    <t>Sum PV FCF</t>
  </si>
  <si>
    <t>NZ$327.8m</t>
  </si>
  <si>
    <t>NZ$1,210.1m</t>
  </si>
  <si>
    <t>PV Terminal Value</t>
  </si>
  <si>
    <t>NZ$718.2m</t>
  </si>
  <si>
    <t>NZ$1,046.0m</t>
  </si>
  <si>
    <t>NZ$945.7m</t>
  </si>
  <si>
    <t>Intrinsic Value/Share</t>
  </si>
  <si>
    <t>NZ$22.47</t>
  </si>
  <si>
    <t>Upside from $5.23</t>
  </si>
  <si>
    <t>329.6%</t>
  </si>
  <si>
    <t>Entry Price (15% CAGR)</t>
  </si>
  <si>
    <t>NZ$14.30</t>
  </si>
  <si>
    <t>BULL CASE</t>
  </si>
  <si>
    <t>10%</t>
  </si>
  <si>
    <t>9%</t>
  </si>
  <si>
    <t>8%</t>
  </si>
  <si>
    <t>9.5%</t>
  </si>
  <si>
    <t>NZ$373.3m</t>
  </si>
  <si>
    <t>NZ$1,811.4m</t>
  </si>
  <si>
    <t>NZ$1,150.6m</t>
  </si>
  <si>
    <t>NZ$1,523.9m</t>
  </si>
  <si>
    <t>NZ$1,423.6m</t>
  </si>
  <si>
    <t>NZ$33.83</t>
  </si>
  <si>
    <t>546.8%</t>
  </si>
  <si>
    <t>NZ$21.40</t>
  </si>
  <si>
    <t>BEAR CASE</t>
  </si>
  <si>
    <t>-25%</t>
  </si>
  <si>
    <t>4%</t>
  </si>
  <si>
    <t>12.5%</t>
  </si>
  <si>
    <t>NZ$217.7m</t>
  </si>
  <si>
    <t>NZ$651.6m</t>
  </si>
  <si>
    <t>NZ$361.6m</t>
  </si>
  <si>
    <t>NZ$579.3m</t>
  </si>
  <si>
    <t>NZ$479.0m</t>
  </si>
  <si>
    <t>NZ$11.38</t>
  </si>
  <si>
    <t>117.6%</t>
  </si>
  <si>
    <t>NZ$7.70</t>
  </si>
  <si>
    <t>Seeka Limited — Historical Financial Data</t>
  </si>
  <si>
    <t>NZ$000s | Source: NZX announcements and annual reports</t>
  </si>
  <si>
    <t>Period</t>
  </si>
  <si>
    <t>Revenue</t>
  </si>
  <si>
    <t>EBITDA</t>
  </si>
  <si>
    <t>NPBT</t>
  </si>
  <si>
    <t>NPAT</t>
  </si>
  <si>
    <t>EPS ($)</t>
  </si>
  <si>
    <t>OCF</t>
  </si>
  <si>
    <t>Equity</t>
  </si>
  <si>
    <t>Net Debt</t>
  </si>
  <si>
    <t>Shares (m)</t>
  </si>
  <si>
    <t>Trays (m)</t>
  </si>
  <si>
    <t>DPS ($)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</si>
  <si>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</si>
  <si>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</si>
  <si>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</si>
  <si>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</si>
  <si>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</si>
  <si>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</si>
  <si>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</si>
  <si>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</si>
  <si>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</si>
  <si>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</si>
  <si>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</si>
  <si>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* FY2025 EBITDA, NPBT, NPAT confirmed actuals. OCF ~$75m estimated. Equity ~$290m estimated Dec 2025.</t>
  </si>
  <si>
    <t>HISTORICAL GROWTH RATES (CAGR)</t>
  </si>
  <si>
    <t>3yr CAGR</t>
  </si>
  <si>
    <t>5yr CAGR</t>
  </si>
  <si>
    <t>Notes</t>
  </si>
  <si>
    <t>8.1%</t>
  </si>
  <si>
    <t>11.8%</t>
  </si>
  <si>
    <t>FY2022-FY2025 (3yr) / FY2020-FY2025 (5yr)</t>
  </si>
  <si>
    <t>EPS</t>
  </si>
  <si>
    <t>68.1%</t>
  </si>
  <si>
    <t>7.9%</t>
  </si>
  <si>
    <t>3yr distorted by FY2022 low base; 5yr (FY2020-FY2025) more meaningful</t>
  </si>
  <si>
    <t>Equity (Book Value)</t>
  </si>
  <si>
    <t>2.3%</t>
  </si>
  <si>
    <t>10.5%</t>
  </si>
  <si>
    <t>5yr CAGR is selected growth rate (conservative baseline)</t>
  </si>
  <si>
    <t>FCF (OCF proxy)</t>
  </si>
  <si>
    <t>83.6%</t>
  </si>
  <si>
    <t>23.3%</t>
  </si>
  <si>
    <t>3yr distorted by FY2022 low OCF; 5yr elevated by cyclical recovery</t>
  </si>
  <si>
    <t>SELECTED RATE</t>
  </si>
  <si>
    <t>—</t>
  </si>
  <si>
    <t>Equity 5yr CAGR (conservative value investing approach)</t>
  </si>
</sst>
</file>

<file path=xl/styles.xml><?xml version="1.0" encoding="utf-8"?>
<styleSheet xmlns="http://schemas.openxmlformats.org/spreadsheetml/2006/main">
  <numFmts count="10">
    <numFmt numFmtId="164" formatCode="#,##0.00"/>
    <numFmt numFmtId="165" formatCode="#,##0.0"/>
    <numFmt numFmtId="166" formatCode="#,##0"/>
    <numFmt numFmtId="167" formatCode="0.0&quot;x&quot;"/>
    <numFmt numFmtId="168" formatCode="0.00&quot;x&quot;"/>
    <numFmt numFmtId="169" formatCode="0.0%"/>
    <numFmt numFmtId="170" formatCode="&quot;$&quot;#,##0.00"/>
    <numFmt numFmtId="171" formatCode="0%"/>
    <numFmt numFmtId="172" formatCode="@"/>
    <numFmt numFmtId="173" formatCode="0.0000"/>
  </numFmts>
  <fonts count="10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D3436"/>
      <name val="Calibri"/>
      <family val="2"/>
      <scheme val="minor"/>
    </font>
    <font>
      <sz val="11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36E7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D6303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 applyAlignment="1">
      <alignment horizontal="right"/>
    </xf>
    <xf numFmtId="0" fontId="4" fillId="0" borderId="0" xfId="0" applyFont="1"/>
    <xf numFmtId="165" fontId="0" fillId="0" borderId="2" xfId="0" applyNumberFormat="1" applyBorder="1" applyAlignment="1">
      <alignment horizontal="right"/>
    </xf>
    <xf numFmtId="166" fontId="0" fillId="3" borderId="2" xfId="0" applyNumberFormat="1" applyFill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9" fontId="0" fillId="0" borderId="2" xfId="0" applyNumberFormat="1" applyBorder="1" applyAlignment="1">
      <alignment horizontal="right"/>
    </xf>
    <xf numFmtId="169" fontId="0" fillId="3" borderId="2" xfId="0" applyNumberForma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70" fontId="3" fillId="5" borderId="3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70" fontId="3" fillId="5" borderId="2" xfId="0" applyNumberFormat="1" applyFont="1" applyFill="1" applyBorder="1" applyAlignment="1">
      <alignment horizontal="right"/>
    </xf>
    <xf numFmtId="170" fontId="5" fillId="8" borderId="2" xfId="0" applyNumberFormat="1" applyFont="1" applyFill="1" applyBorder="1" applyAlignment="1">
      <alignment horizontal="right"/>
    </xf>
    <xf numFmtId="170" fontId="5" fillId="9" borderId="2" xfId="0" applyNumberFormat="1" applyFont="1" applyFill="1" applyBorder="1" applyAlignment="1">
      <alignment horizontal="right"/>
    </xf>
    <xf numFmtId="170" fontId="6" fillId="0" borderId="2" xfId="0" applyNumberFormat="1" applyFont="1" applyBorder="1"/>
    <xf numFmtId="171" fontId="3" fillId="5" borderId="2" xfId="0" applyNumberFormat="1" applyFont="1" applyFill="1" applyBorder="1" applyAlignment="1">
      <alignment horizontal="right"/>
    </xf>
    <xf numFmtId="171" fontId="3" fillId="9" borderId="2" xfId="0" applyNumberFormat="1" applyFont="1" applyFill="1" applyBorder="1" applyAlignment="1">
      <alignment horizontal="right"/>
    </xf>
    <xf numFmtId="172" fontId="7" fillId="10" borderId="2" xfId="0" applyNumberFormat="1" applyFont="1" applyFill="1" applyBorder="1"/>
    <xf numFmtId="173" fontId="0" fillId="0" borderId="2" xfId="0" applyNumberFormat="1" applyBorder="1" applyAlignment="1">
      <alignment horizontal="right"/>
    </xf>
    <xf numFmtId="0" fontId="8" fillId="11" borderId="2" xfId="0" applyFont="1" applyFill="1" applyBorder="1"/>
    <xf numFmtId="165" fontId="0" fillId="11" borderId="2" xfId="0" applyNumberFormat="1" applyFill="1" applyBorder="1" applyAlignment="1">
      <alignment horizontal="right"/>
    </xf>
    <xf numFmtId="166" fontId="9" fillId="0" borderId="2" xfId="0" applyNumberFormat="1" applyFont="1" applyBorder="1" applyAlignment="1">
      <alignment horizontal="right"/>
    </xf>
    <xf numFmtId="0" fontId="6" fillId="3" borderId="2" xfId="0" applyFont="1" applyFill="1" applyBorder="1"/>
    <xf numFmtId="165" fontId="0" fillId="3" borderId="2" xfId="0" applyNumberFormat="1" applyFill="1" applyBorder="1" applyAlignment="1">
      <alignment horizontal="right"/>
    </xf>
    <xf numFmtId="0" fontId="8" fillId="11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0.7109375" customWidth="1"/>
    <col min="2" max="2" width="16.7109375" customWidth="1"/>
    <col min="3" max="8" width="15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5" spans="1:7">
      <c r="A5" s="3" t="s">
        <v>3</v>
      </c>
      <c r="B5" s="3"/>
      <c r="F5" s="3" t="s">
        <v>55</v>
      </c>
      <c r="G5" s="3"/>
    </row>
    <row r="6" spans="1:7">
      <c r="A6" t="s">
        <v>4</v>
      </c>
      <c r="B6" s="4">
        <v>5.23</v>
      </c>
      <c r="F6" s="5" t="s">
        <v>56</v>
      </c>
      <c r="G6" s="6">
        <f>($B$6*$B$7)/1000</f>
        <v>0</v>
      </c>
    </row>
    <row r="7" spans="1:7">
      <c r="A7" t="s">
        <v>5</v>
      </c>
      <c r="B7" s="7">
        <v>42080</v>
      </c>
      <c r="F7" s="5" t="s">
        <v>57</v>
      </c>
      <c r="G7" s="6">
        <f>($B$6*$B$7+$B$10)/1000</f>
        <v>0</v>
      </c>
    </row>
    <row r="8" spans="1:7">
      <c r="A8" t="s">
        <v>6</v>
      </c>
      <c r="B8" s="7">
        <v>5785</v>
      </c>
      <c r="F8" s="5" t="s">
        <v>58</v>
      </c>
      <c r="G8" s="8">
        <f>($B$6*$B$7+$B$10)/96000</f>
        <v>0</v>
      </c>
    </row>
    <row r="9" spans="1:7">
      <c r="A9" t="s">
        <v>7</v>
      </c>
      <c r="B9" s="7">
        <v>106085</v>
      </c>
      <c r="F9" s="5" t="s">
        <v>59</v>
      </c>
      <c r="G9" s="9">
        <f>($B$6*$B$7+$B$10)/440000</f>
        <v>0</v>
      </c>
    </row>
    <row r="10" spans="1:7">
      <c r="A10" t="s">
        <v>8</v>
      </c>
      <c r="B10" s="10">
        <f>B9-B8</f>
        <v>0</v>
      </c>
      <c r="F10" s="5" t="s">
        <v>60</v>
      </c>
      <c r="G10" s="8">
        <f>$B$6/0.76</f>
        <v>0</v>
      </c>
    </row>
    <row r="11" spans="1:7">
      <c r="A11" t="s">
        <v>9</v>
      </c>
      <c r="B11" s="7">
        <v>75000</v>
      </c>
      <c r="F11" s="5" t="s">
        <v>61</v>
      </c>
      <c r="G11" s="9">
        <f>($B$6*$B$7)/290000</f>
        <v>0</v>
      </c>
    </row>
    <row r="12" spans="1:7">
      <c r="A12" t="s">
        <v>10</v>
      </c>
      <c r="B12" s="7">
        <v>440000</v>
      </c>
      <c r="F12" s="5" t="s">
        <v>62</v>
      </c>
      <c r="G12" s="11">
        <f>75000/($B$6*$B$7)</f>
        <v>0</v>
      </c>
    </row>
    <row r="13" spans="1:7">
      <c r="F13" s="5" t="s">
        <v>63</v>
      </c>
      <c r="G13" s="9">
        <f>$B$10/96000</f>
        <v>0</v>
      </c>
    </row>
    <row r="14" spans="1:7">
      <c r="A14" t="s">
        <v>11</v>
      </c>
      <c r="B14" s="12">
        <v>0.11</v>
      </c>
      <c r="F14" s="5" t="s">
        <v>64</v>
      </c>
      <c r="G14" s="11">
        <f>0.25/$B$6</f>
        <v>0</v>
      </c>
    </row>
    <row r="15" spans="1:7">
      <c r="A15" t="s">
        <v>12</v>
      </c>
      <c r="B15" s="12">
        <v>0.025</v>
      </c>
    </row>
    <row r="16" spans="1:7">
      <c r="A16" t="s">
        <v>13</v>
      </c>
      <c r="B16" s="12">
        <v>0.25</v>
      </c>
    </row>
    <row r="17" spans="1:6">
      <c r="A17" t="s">
        <v>14</v>
      </c>
      <c r="B17" s="12">
        <v>0.25</v>
      </c>
    </row>
    <row r="18" spans="1:6">
      <c r="A18">
        <f>""</f>
        <v>0</v>
      </c>
    </row>
    <row r="20" spans="1:6">
      <c r="A20" s="3" t="s">
        <v>15</v>
      </c>
      <c r="C20" s="13" t="s">
        <v>16</v>
      </c>
      <c r="D20" s="14" t="s">
        <v>17</v>
      </c>
      <c r="E20" s="15" t="s">
        <v>18</v>
      </c>
    </row>
    <row r="21" spans="1:6">
      <c r="A21" s="5" t="s">
        <v>19</v>
      </c>
      <c r="B21" s="12">
        <v>0.05</v>
      </c>
      <c r="C21" s="12">
        <v>0.1</v>
      </c>
      <c r="D21" s="12">
        <v>-0.25</v>
      </c>
    </row>
    <row r="22" spans="1:6">
      <c r="A22" s="5" t="s">
        <v>20</v>
      </c>
      <c r="B22" s="12">
        <v>0.07000000000000001</v>
      </c>
      <c r="C22" s="12">
        <v>0.1</v>
      </c>
      <c r="D22" s="12">
        <v>0.05</v>
      </c>
    </row>
    <row r="23" spans="1:6">
      <c r="A23" s="5" t="s">
        <v>21</v>
      </c>
      <c r="B23" s="12">
        <v>0.07000000000000001</v>
      </c>
      <c r="C23" s="12">
        <v>0.09</v>
      </c>
      <c r="D23" s="12">
        <v>0.05</v>
      </c>
    </row>
    <row r="24" spans="1:6">
      <c r="A24" s="5" t="s">
        <v>22</v>
      </c>
      <c r="B24" s="12">
        <v>0.06</v>
      </c>
      <c r="C24" s="12">
        <v>0.08</v>
      </c>
      <c r="D24" s="12">
        <v>0.04</v>
      </c>
    </row>
    <row r="25" spans="1:6">
      <c r="A25" s="5" t="s">
        <v>23</v>
      </c>
      <c r="B25" s="12">
        <v>0.05</v>
      </c>
      <c r="C25" s="12">
        <v>0.07000000000000001</v>
      </c>
      <c r="D25" s="12">
        <v>0.04</v>
      </c>
    </row>
    <row r="27" spans="1:6">
      <c r="A27" s="5" t="s">
        <v>24</v>
      </c>
      <c r="B27" s="12">
        <v>0.11</v>
      </c>
      <c r="C27" s="12">
        <v>0.095</v>
      </c>
      <c r="D27" s="12">
        <v>0.125</v>
      </c>
    </row>
    <row r="28" spans="1:6">
      <c r="A28" s="5" t="s">
        <v>25</v>
      </c>
      <c r="B28" s="12">
        <v>0.025</v>
      </c>
      <c r="C28" s="12">
        <v>0.03</v>
      </c>
      <c r="D28" s="12">
        <v>0.02</v>
      </c>
    </row>
    <row r="30" spans="1:6">
      <c r="A30" s="3" t="s">
        <v>26</v>
      </c>
      <c r="B30" s="13" t="s">
        <v>16</v>
      </c>
      <c r="C30" s="14" t="s">
        <v>17</v>
      </c>
      <c r="D30" s="15" t="s">
        <v>18</v>
      </c>
    </row>
    <row r="31" spans="1:6">
      <c r="A31" s="16" t="s">
        <v>27</v>
      </c>
      <c r="B31" s="16" t="s">
        <v>19</v>
      </c>
      <c r="C31" s="16" t="s">
        <v>20</v>
      </c>
      <c r="D31" s="16" t="s">
        <v>21</v>
      </c>
      <c r="E31" s="16" t="s">
        <v>22</v>
      </c>
      <c r="F31" s="16" t="s">
        <v>23</v>
      </c>
    </row>
    <row r="32" spans="1:6">
      <c r="A32" s="5" t="s">
        <v>28</v>
      </c>
      <c r="B32" s="10">
        <f>$B$11*(1+B21)</f>
        <v>0</v>
      </c>
      <c r="C32" s="10">
        <f>B32*(1+B22)</f>
        <v>0</v>
      </c>
      <c r="D32" s="10">
        <f>C32*(1+B23)</f>
        <v>0</v>
      </c>
      <c r="E32" s="10">
        <f>D32*(1+B24)</f>
        <v>0</v>
      </c>
      <c r="F32" s="10">
        <f>E32*(1+B25)</f>
        <v>0</v>
      </c>
    </row>
    <row r="33" spans="1:6">
      <c r="A33" s="5" t="s">
        <v>29</v>
      </c>
      <c r="B33" s="10">
        <f>$B$11*(1+C21)</f>
        <v>0</v>
      </c>
      <c r="C33" s="10">
        <f>B33*(1+C22)</f>
        <v>0</v>
      </c>
      <c r="D33" s="10">
        <f>C33*(1+C23)</f>
        <v>0</v>
      </c>
      <c r="E33" s="10">
        <f>D33*(1+C24)</f>
        <v>0</v>
      </c>
      <c r="F33" s="10">
        <f>E33*(1+C25)</f>
        <v>0</v>
      </c>
    </row>
    <row r="34" spans="1:6">
      <c r="A34" s="5" t="s">
        <v>30</v>
      </c>
      <c r="B34" s="10">
        <f>$B$11*(1+D21)</f>
        <v>0</v>
      </c>
      <c r="C34" s="10">
        <f>B34*(1+D22)</f>
        <v>0</v>
      </c>
      <c r="D34" s="10">
        <f>C34*(1+D23)</f>
        <v>0</v>
      </c>
      <c r="E34" s="10">
        <f>D34*(1+D24)</f>
        <v>0</v>
      </c>
      <c r="F34" s="10">
        <f>E34*(1+D25)</f>
        <v>0</v>
      </c>
    </row>
    <row r="35" spans="1:6">
      <c r="A35" s="5" t="s">
        <v>31</v>
      </c>
      <c r="B35" s="10">
        <f>B32*(=1/(1+B27)^1)</f>
        <v>0</v>
      </c>
      <c r="C35" s="10">
        <f>C32*(=1/(1+B27)^2)</f>
        <v>0</v>
      </c>
      <c r="D35" s="10">
        <f>D32*(=1/(1+B27)^3)</f>
        <v>0</v>
      </c>
      <c r="E35" s="10">
        <f>E32*(=1/(1+B27)^4)</f>
        <v>0</v>
      </c>
      <c r="F35" s="10">
        <f>F32*(=1/(1+B27)^5)</f>
        <v>0</v>
      </c>
    </row>
    <row r="36" spans="1:6">
      <c r="A36" s="5" t="s">
        <v>32</v>
      </c>
      <c r="B36" s="10">
        <f>B33*(=1/(1+C27)^1)</f>
        <v>0</v>
      </c>
      <c r="C36" s="10">
        <f>C33*(=1/(1+C27)^2)</f>
        <v>0</v>
      </c>
      <c r="D36" s="10">
        <f>D33*(=1/(1+C27)^3)</f>
        <v>0</v>
      </c>
      <c r="E36" s="10">
        <f>E33*(=1/(1+C27)^4)</f>
        <v>0</v>
      </c>
      <c r="F36" s="10">
        <f>F33*(=1/(1+C27)^5)</f>
        <v>0</v>
      </c>
    </row>
    <row r="37" spans="1:6">
      <c r="A37" s="5" t="s">
        <v>33</v>
      </c>
      <c r="B37" s="10">
        <f>B34*(=1/(1+D27)^1)</f>
        <v>0</v>
      </c>
      <c r="C37" s="10">
        <f>C34*(=1/(1+D27)^2)</f>
        <v>0</v>
      </c>
      <c r="D37" s="10">
        <f>D34*(=1/(1+D27)^3)</f>
        <v>0</v>
      </c>
      <c r="E37" s="10">
        <f>E34*(=1/(1+D27)^4)</f>
        <v>0</v>
      </c>
      <c r="F37" s="10">
        <f>F34*(=1/(1+D27)^5)</f>
        <v>0</v>
      </c>
    </row>
    <row r="40" spans="1:6">
      <c r="A40" s="3" t="s">
        <v>34</v>
      </c>
      <c r="B40" s="13" t="s">
        <v>16</v>
      </c>
      <c r="C40" s="14" t="s">
        <v>17</v>
      </c>
      <c r="D40" s="15" t="s">
        <v>18</v>
      </c>
    </row>
    <row r="41" spans="1:6">
      <c r="A41" s="5" t="s">
        <v>35</v>
      </c>
      <c r="B41" s="10">
        <f>SUM(B35:F35)</f>
        <v>0</v>
      </c>
      <c r="C41" s="10">
        <f>SUM(B36:F36)</f>
        <v>0</v>
      </c>
      <c r="D41" s="10">
        <f>SUM(B37:F37)</f>
        <v>0</v>
      </c>
    </row>
    <row r="42" spans="1:6">
      <c r="A42" s="5" t="s">
        <v>36</v>
      </c>
      <c r="B42" s="10">
        <f>F32*(1+B28)</f>
        <v>0</v>
      </c>
      <c r="C42" s="10">
        <f>F33*(1+C28)</f>
        <v>0</v>
      </c>
      <c r="D42" s="10">
        <f>F34*(1+D28)</f>
        <v>0</v>
      </c>
    </row>
    <row r="43" spans="1:6">
      <c r="A43" s="5" t="s">
        <v>37</v>
      </c>
      <c r="B43" s="10">
        <f>B42/(B27-B28)</f>
        <v>0</v>
      </c>
      <c r="C43" s="10">
        <f>C42/(C27-C28)</f>
        <v>0</v>
      </c>
      <c r="D43" s="10">
        <f>D42/(D27-D28)</f>
        <v>0</v>
      </c>
    </row>
    <row r="44" spans="1:6">
      <c r="A44" s="5" t="s">
        <v>38</v>
      </c>
      <c r="B44" s="10">
        <f>B43/(1+B27)^5</f>
        <v>0</v>
      </c>
      <c r="C44" s="10">
        <f>C43/(1+C27)^5</f>
        <v>0</v>
      </c>
      <c r="D44" s="10">
        <f>D43/(1+D27)^5</f>
        <v>0</v>
      </c>
    </row>
    <row r="45" spans="1:6">
      <c r="A45" s="5" t="s">
        <v>39</v>
      </c>
      <c r="B45" s="10">
        <f>B41+B44</f>
        <v>0</v>
      </c>
      <c r="C45" s="10">
        <f>C41+C44</f>
        <v>0</v>
      </c>
      <c r="D45" s="10">
        <f>D41+D44</f>
        <v>0</v>
      </c>
    </row>
    <row r="46" spans="1:6">
      <c r="A46" s="5" t="s">
        <v>40</v>
      </c>
      <c r="B46" s="10">
        <f>$B$10</f>
        <v>0</v>
      </c>
      <c r="C46" s="10">
        <f>$B$10</f>
        <v>0</v>
      </c>
      <c r="D46" s="10">
        <f>$B$10</f>
        <v>0</v>
      </c>
    </row>
    <row r="47" spans="1:6">
      <c r="A47" s="5" t="s">
        <v>41</v>
      </c>
      <c r="B47" s="10">
        <f>B45-B46</f>
        <v>0</v>
      </c>
      <c r="C47" s="10">
        <f>C45-C46</f>
        <v>0</v>
      </c>
      <c r="D47" s="10">
        <f>D45-D46</f>
        <v>0</v>
      </c>
    </row>
    <row r="48" spans="1:6">
      <c r="A48" s="5" t="s">
        <v>42</v>
      </c>
      <c r="B48" s="17">
        <f>B47/$B$7</f>
        <v>0</v>
      </c>
      <c r="C48" s="17">
        <f>C47/$B$7</f>
        <v>0</v>
      </c>
      <c r="D48" s="17">
        <f>D47/$B$7</f>
        <v>0</v>
      </c>
    </row>
    <row r="49" spans="1:4">
      <c r="A49" s="5" t="s">
        <v>43</v>
      </c>
      <c r="B49" s="18">
        <f>(B48-$B$6)/$B$6</f>
        <v>0</v>
      </c>
      <c r="C49" s="18">
        <f>(C48-$B$6)/$B$6</f>
        <v>0</v>
      </c>
      <c r="D49" s="18">
        <f>(D48-$B$6)/$B$6</f>
        <v>0</v>
      </c>
    </row>
    <row r="50" spans="1:4">
      <c r="A50" s="5" t="s">
        <v>44</v>
      </c>
      <c r="B50" s="11">
        <f>B44/B45</f>
        <v>0</v>
      </c>
      <c r="C50" s="11">
        <f>C44/C45</f>
        <v>0</v>
      </c>
      <c r="D50" s="11">
        <f>D44/D45</f>
        <v>0</v>
      </c>
    </row>
    <row r="51" spans="1:4">
      <c r="A51" s="3" t="s">
        <v>45</v>
      </c>
      <c r="B51" s="13" t="s">
        <v>16</v>
      </c>
      <c r="C51" s="14" t="s">
        <v>17</v>
      </c>
      <c r="D51" s="15" t="s">
        <v>18</v>
      </c>
    </row>
    <row r="52" spans="1:4">
      <c r="A52" s="5" t="s">
        <v>46</v>
      </c>
      <c r="B52" s="19">
        <f>B43/$B$7</f>
        <v>0</v>
      </c>
      <c r="C52" s="19">
        <f>C43/$B$7</f>
        <v>0</v>
      </c>
      <c r="D52" s="19">
        <f>D43/$B$7</f>
        <v>0</v>
      </c>
    </row>
    <row r="53" spans="1:4">
      <c r="A53" s="5" t="s">
        <v>47</v>
      </c>
      <c r="B53" s="17">
        <f>B52/(1.15^5)</f>
        <v>0</v>
      </c>
      <c r="C53" s="17">
        <f>C52/(1.15^5)</f>
        <v>0</v>
      </c>
      <c r="D53" s="17">
        <f>D52/(1.15^5)</f>
        <v>0</v>
      </c>
    </row>
    <row r="54" spans="1:4">
      <c r="A54" s="5" t="s">
        <v>48</v>
      </c>
      <c r="B54" s="18">
        <f>(B53-$B$6)/$B$6</f>
        <v>0</v>
      </c>
      <c r="C54" s="18">
        <f>(C53-$B$6)/$B$6</f>
        <v>0</v>
      </c>
      <c r="D54" s="18">
        <f>(D53-$B$6)/$B$6</f>
        <v>0</v>
      </c>
    </row>
    <row r="56" spans="1:4">
      <c r="A56" s="3" t="s">
        <v>49</v>
      </c>
      <c r="B56" s="3"/>
    </row>
    <row r="57" spans="1:4">
      <c r="A57" t="s">
        <v>50</v>
      </c>
      <c r="B57" s="11">
        <f>$B$16</f>
        <v>0</v>
      </c>
    </row>
    <row r="58" spans="1:4">
      <c r="A58" t="s">
        <v>51</v>
      </c>
      <c r="B58" s="11">
        <f>1-$B$16-$B$17</f>
        <v>0</v>
      </c>
    </row>
    <row r="59" spans="1:4">
      <c r="A59" t="s">
        <v>52</v>
      </c>
      <c r="B59" s="11">
        <f>$B$17</f>
        <v>0</v>
      </c>
    </row>
    <row r="60" spans="1:4">
      <c r="A60" s="5" t="s">
        <v>53</v>
      </c>
      <c r="B60" s="17">
        <f>$B$16*C48+(1-$B$16-$B$17)*B48+$B$17*D48</f>
        <v>0</v>
      </c>
    </row>
    <row r="61" spans="1:4">
      <c r="A61" s="5" t="s">
        <v>54</v>
      </c>
      <c r="B61" s="18">
        <f>(B60-$B$6)/$B$6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zoomScale="95" zoomScaleNormal="95" workbookViewId="0"/>
  </sheetViews>
  <sheetFormatPr defaultRowHeight="15"/>
  <cols>
    <col min="1" max="1" width="22.7109375" customWidth="1"/>
    <col min="2" max="7" width="13.7109375" customWidth="1"/>
  </cols>
  <sheetData>
    <row r="1" spans="1:6">
      <c r="A1" s="1" t="s">
        <v>65</v>
      </c>
    </row>
    <row r="2" spans="1:6">
      <c r="A2" s="2" t="s">
        <v>66</v>
      </c>
    </row>
    <row r="3" spans="1:6">
      <c r="A3" s="2" t="s">
        <v>67</v>
      </c>
    </row>
    <row r="5" spans="1:6">
      <c r="A5" s="16" t="s">
        <v>68</v>
      </c>
      <c r="B5" s="16" t="s">
        <v>69</v>
      </c>
      <c r="C5" s="16" t="s">
        <v>70</v>
      </c>
      <c r="D5" s="16" t="s">
        <v>71</v>
      </c>
      <c r="E5" s="16" t="s">
        <v>72</v>
      </c>
      <c r="F5" s="16" t="s">
        <v>73</v>
      </c>
    </row>
    <row r="6" spans="1:6">
      <c r="A6" s="16" t="s">
        <v>74</v>
      </c>
      <c r="B6" s="20">
        <v>26.81</v>
      </c>
      <c r="C6" s="20">
        <v>28.42</v>
      </c>
      <c r="D6" s="20">
        <v>30.27</v>
      </c>
      <c r="E6" s="20">
        <v>32.44</v>
      </c>
      <c r="F6" s="20">
        <v>35</v>
      </c>
    </row>
    <row r="7" spans="1:6">
      <c r="A7" s="16" t="s">
        <v>75</v>
      </c>
      <c r="B7" s="21">
        <v>23.3</v>
      </c>
      <c r="C7" s="21">
        <v>24.49</v>
      </c>
      <c r="D7" s="21">
        <v>25.85</v>
      </c>
      <c r="E7" s="20">
        <v>27.4</v>
      </c>
      <c r="F7" s="20">
        <v>29.19</v>
      </c>
    </row>
    <row r="8" spans="1:6">
      <c r="A8" s="16" t="s">
        <v>76</v>
      </c>
      <c r="B8" s="22">
        <v>20.53</v>
      </c>
      <c r="C8" s="21">
        <v>21.44</v>
      </c>
      <c r="D8" s="21">
        <v>22.47</v>
      </c>
      <c r="E8" s="21">
        <v>23.63</v>
      </c>
      <c r="F8" s="21">
        <v>24.94</v>
      </c>
    </row>
    <row r="9" spans="1:6">
      <c r="A9" s="16" t="s">
        <v>77</v>
      </c>
      <c r="B9" s="22">
        <v>18.29</v>
      </c>
      <c r="C9" s="22">
        <v>19.01</v>
      </c>
      <c r="D9" s="22">
        <v>19.81</v>
      </c>
      <c r="E9" s="22">
        <v>20.69</v>
      </c>
      <c r="F9" s="21">
        <v>21.68</v>
      </c>
    </row>
    <row r="10" spans="1:6">
      <c r="A10" s="16" t="s">
        <v>78</v>
      </c>
      <c r="B10" s="22">
        <v>16.44</v>
      </c>
      <c r="C10" s="22">
        <v>17.01</v>
      </c>
      <c r="D10" s="22">
        <v>17.65</v>
      </c>
      <c r="E10" s="22">
        <v>18.34</v>
      </c>
      <c r="F10" s="22">
        <v>19.11</v>
      </c>
    </row>
    <row r="12" spans="1:6">
      <c r="A12" s="5" t="s">
        <v>79</v>
      </c>
      <c r="B12" s="23">
        <v>5.23</v>
      </c>
    </row>
    <row r="13" spans="1:6">
      <c r="A13" s="2" t="s">
        <v>80</v>
      </c>
    </row>
    <row r="15" spans="1:6">
      <c r="A15" s="3" t="s">
        <v>81</v>
      </c>
    </row>
    <row r="16" spans="1:6">
      <c r="A16" s="16" t="s">
        <v>68</v>
      </c>
      <c r="B16" s="16" t="s">
        <v>69</v>
      </c>
      <c r="C16" s="16" t="s">
        <v>70</v>
      </c>
      <c r="D16" s="16" t="s">
        <v>71</v>
      </c>
      <c r="E16" s="16" t="s">
        <v>72</v>
      </c>
      <c r="F16" s="16" t="s">
        <v>73</v>
      </c>
    </row>
    <row r="17" spans="1:6">
      <c r="A17" s="16" t="s">
        <v>74</v>
      </c>
      <c r="B17" s="24">
        <v>4.126195028680688</v>
      </c>
      <c r="C17" s="24">
        <v>4.434034416826004</v>
      </c>
      <c r="D17" s="24">
        <v>4.787762906309751</v>
      </c>
      <c r="E17" s="24">
        <v>5.202676864244741</v>
      </c>
      <c r="F17" s="24">
        <v>5.692160611854684</v>
      </c>
    </row>
    <row r="18" spans="1:6">
      <c r="A18" s="16" t="s">
        <v>75</v>
      </c>
      <c r="B18" s="24">
        <v>3.455066921606119</v>
      </c>
      <c r="C18" s="24">
        <v>3.682600382409177</v>
      </c>
      <c r="D18" s="24">
        <v>3.94263862332696</v>
      </c>
      <c r="E18" s="24">
        <v>4.239005736137667</v>
      </c>
      <c r="F18" s="24">
        <v>4.581261950286807</v>
      </c>
    </row>
    <row r="19" spans="1:6">
      <c r="A19" s="16" t="s">
        <v>76</v>
      </c>
      <c r="B19" s="25">
        <v>2.925430210325048</v>
      </c>
      <c r="C19" s="24">
        <v>3.09942638623327</v>
      </c>
      <c r="D19" s="24">
        <v>3.296367112810707</v>
      </c>
      <c r="E19" s="24">
        <v>3.518164435946462</v>
      </c>
      <c r="F19" s="24">
        <v>3.768642447418738</v>
      </c>
    </row>
    <row r="20" spans="1:6">
      <c r="A20" s="16" t="s">
        <v>77</v>
      </c>
      <c r="B20" s="25">
        <v>2.497131931166348</v>
      </c>
      <c r="C20" s="25">
        <v>2.634799235181644</v>
      </c>
      <c r="D20" s="25">
        <v>2.787762906309751</v>
      </c>
      <c r="E20" s="25">
        <v>2.956022944550669</v>
      </c>
      <c r="F20" s="24">
        <v>3.145315487571701</v>
      </c>
    </row>
    <row r="21" spans="1:6">
      <c r="A21" s="16" t="s">
        <v>78</v>
      </c>
      <c r="B21" s="25">
        <v>2.1434034416826</v>
      </c>
      <c r="C21" s="25">
        <v>2.252390057361377</v>
      </c>
      <c r="D21" s="25">
        <v>2.374760994263862</v>
      </c>
      <c r="E21" s="25">
        <v>2.506692160611854</v>
      </c>
      <c r="F21" s="25">
        <v>2.653919694072657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zoomScale="90" zoomScaleNormal="90" workbookViewId="0"/>
  </sheetViews>
  <sheetFormatPr defaultRowHeight="15"/>
  <cols>
    <col min="1" max="1" width="24.7109375" customWidth="1"/>
    <col min="2" max="8" width="16.7109375" customWidth="1"/>
  </cols>
  <sheetData>
    <row r="1" spans="1:6">
      <c r="A1" s="1" t="s">
        <v>82</v>
      </c>
    </row>
    <row r="2" spans="1:6">
      <c r="A2" s="2" t="s">
        <v>83</v>
      </c>
    </row>
    <row r="4" spans="1:6">
      <c r="A4" s="13" t="s">
        <v>84</v>
      </c>
    </row>
    <row r="5" spans="1:6">
      <c r="A5" s="16" t="s">
        <v>85</v>
      </c>
      <c r="B5" s="16" t="s">
        <v>19</v>
      </c>
      <c r="C5" s="16" t="s">
        <v>20</v>
      </c>
      <c r="D5" s="16" t="s">
        <v>21</v>
      </c>
      <c r="E5" s="16" t="s">
        <v>22</v>
      </c>
      <c r="F5" s="16" t="s">
        <v>23</v>
      </c>
    </row>
    <row r="6" spans="1:6">
      <c r="A6" s="5" t="s">
        <v>86</v>
      </c>
      <c r="B6" s="26" t="s">
        <v>87</v>
      </c>
      <c r="C6" s="26" t="s">
        <v>88</v>
      </c>
      <c r="D6" s="26" t="s">
        <v>88</v>
      </c>
      <c r="E6" s="26" t="s">
        <v>89</v>
      </c>
      <c r="F6" s="26" t="s">
        <v>87</v>
      </c>
    </row>
    <row r="7" spans="1:6">
      <c r="A7" s="5" t="s">
        <v>90</v>
      </c>
      <c r="B7" s="10">
        <v>78750</v>
      </c>
      <c r="C7" s="10">
        <v>84262</v>
      </c>
      <c r="D7" s="10">
        <v>90161</v>
      </c>
      <c r="E7" s="10">
        <v>95570</v>
      </c>
      <c r="F7" s="10">
        <v>100349</v>
      </c>
    </row>
    <row r="8" spans="1:6">
      <c r="A8" s="5" t="s">
        <v>91</v>
      </c>
      <c r="B8" s="27">
        <v>0.9009</v>
      </c>
      <c r="C8" s="27">
        <v>0.8116</v>
      </c>
      <c r="D8" s="27">
        <v>0.7312</v>
      </c>
      <c r="E8" s="27">
        <v>0.6587</v>
      </c>
      <c r="F8" s="27">
        <v>0.5935</v>
      </c>
    </row>
    <row r="9" spans="1:6">
      <c r="A9" s="5" t="s">
        <v>92</v>
      </c>
      <c r="B9" s="10">
        <v>70946</v>
      </c>
      <c r="C9" s="10">
        <v>68387</v>
      </c>
      <c r="D9" s="10">
        <v>65926</v>
      </c>
      <c r="E9" s="10">
        <v>62952</v>
      </c>
      <c r="F9" s="10">
        <v>59557</v>
      </c>
    </row>
    <row r="11" spans="1:6">
      <c r="A11" s="5" t="s">
        <v>24</v>
      </c>
      <c r="B11" s="26" t="s">
        <v>76</v>
      </c>
    </row>
    <row r="12" spans="1:6">
      <c r="A12" s="5" t="s">
        <v>25</v>
      </c>
      <c r="B12" s="26" t="s">
        <v>71</v>
      </c>
    </row>
    <row r="13" spans="1:6">
      <c r="A13" s="5" t="s">
        <v>93</v>
      </c>
      <c r="B13" s="26" t="s">
        <v>94</v>
      </c>
    </row>
    <row r="14" spans="1:6">
      <c r="A14" s="5" t="s">
        <v>37</v>
      </c>
      <c r="B14" s="26" t="s">
        <v>95</v>
      </c>
    </row>
    <row r="15" spans="1:6">
      <c r="A15" s="5" t="s">
        <v>96</v>
      </c>
      <c r="B15" s="26" t="s">
        <v>97</v>
      </c>
    </row>
    <row r="16" spans="1:6">
      <c r="A16" s="5" t="s">
        <v>39</v>
      </c>
      <c r="B16" s="26" t="s">
        <v>98</v>
      </c>
    </row>
    <row r="17" spans="1:6">
      <c r="A17" s="5" t="s">
        <v>41</v>
      </c>
      <c r="B17" s="26" t="s">
        <v>99</v>
      </c>
    </row>
    <row r="18" spans="1:6">
      <c r="A18" s="5" t="s">
        <v>100</v>
      </c>
      <c r="B18" s="17" t="s">
        <v>101</v>
      </c>
    </row>
    <row r="19" spans="1:6">
      <c r="A19" s="5" t="s">
        <v>102</v>
      </c>
      <c r="B19" s="26" t="s">
        <v>103</v>
      </c>
    </row>
    <row r="20" spans="1:6">
      <c r="A20" s="5" t="s">
        <v>104</v>
      </c>
      <c r="B20" s="17" t="s">
        <v>105</v>
      </c>
    </row>
    <row r="22" spans="1:6">
      <c r="A22" s="14" t="s">
        <v>106</v>
      </c>
    </row>
    <row r="23" spans="1:6">
      <c r="A23" s="16" t="s">
        <v>85</v>
      </c>
      <c r="B23" s="16" t="s">
        <v>19</v>
      </c>
      <c r="C23" s="16" t="s">
        <v>20</v>
      </c>
      <c r="D23" s="16" t="s">
        <v>21</v>
      </c>
      <c r="E23" s="16" t="s">
        <v>22</v>
      </c>
      <c r="F23" s="16" t="s">
        <v>23</v>
      </c>
    </row>
    <row r="24" spans="1:6">
      <c r="A24" s="5" t="s">
        <v>86</v>
      </c>
      <c r="B24" s="26" t="s">
        <v>107</v>
      </c>
      <c r="C24" s="26" t="s">
        <v>107</v>
      </c>
      <c r="D24" s="26" t="s">
        <v>108</v>
      </c>
      <c r="E24" s="26" t="s">
        <v>109</v>
      </c>
      <c r="F24" s="26" t="s">
        <v>88</v>
      </c>
    </row>
    <row r="25" spans="1:6">
      <c r="A25" s="5" t="s">
        <v>90</v>
      </c>
      <c r="B25" s="10">
        <v>82500</v>
      </c>
      <c r="C25" s="10">
        <v>90750</v>
      </c>
      <c r="D25" s="10">
        <v>98918</v>
      </c>
      <c r="E25" s="10">
        <v>106831</v>
      </c>
      <c r="F25" s="10">
        <v>114309</v>
      </c>
    </row>
    <row r="26" spans="1:6">
      <c r="A26" s="5" t="s">
        <v>91</v>
      </c>
      <c r="B26" s="27">
        <v>0.9132</v>
      </c>
      <c r="C26" s="27">
        <v>0.834</v>
      </c>
      <c r="D26" s="27">
        <v>0.7617</v>
      </c>
      <c r="E26" s="27">
        <v>0.6956</v>
      </c>
      <c r="F26" s="27">
        <v>0.6352</v>
      </c>
    </row>
    <row r="27" spans="1:6">
      <c r="A27" s="5" t="s">
        <v>92</v>
      </c>
      <c r="B27" s="10">
        <v>75339</v>
      </c>
      <c r="C27" s="10">
        <v>75686</v>
      </c>
      <c r="D27" s="10">
        <v>75346</v>
      </c>
      <c r="E27" s="10">
        <v>74312</v>
      </c>
      <c r="F27" s="10">
        <v>72609</v>
      </c>
    </row>
    <row r="29" spans="1:6">
      <c r="A29" s="5" t="s">
        <v>24</v>
      </c>
      <c r="B29" s="26" t="s">
        <v>110</v>
      </c>
    </row>
    <row r="30" spans="1:6">
      <c r="A30" s="5" t="s">
        <v>25</v>
      </c>
      <c r="B30" s="26" t="s">
        <v>72</v>
      </c>
    </row>
    <row r="31" spans="1:6">
      <c r="A31" s="5" t="s">
        <v>93</v>
      </c>
      <c r="B31" s="26" t="s">
        <v>111</v>
      </c>
    </row>
    <row r="32" spans="1:6">
      <c r="A32" s="5" t="s">
        <v>37</v>
      </c>
      <c r="B32" s="26" t="s">
        <v>112</v>
      </c>
    </row>
    <row r="33" spans="1:6">
      <c r="A33" s="5" t="s">
        <v>96</v>
      </c>
      <c r="B33" s="26" t="s">
        <v>113</v>
      </c>
    </row>
    <row r="34" spans="1:6">
      <c r="A34" s="5" t="s">
        <v>39</v>
      </c>
      <c r="B34" s="26" t="s">
        <v>114</v>
      </c>
    </row>
    <row r="35" spans="1:6">
      <c r="A35" s="5" t="s">
        <v>41</v>
      </c>
      <c r="B35" s="26" t="s">
        <v>115</v>
      </c>
    </row>
    <row r="36" spans="1:6">
      <c r="A36" s="5" t="s">
        <v>100</v>
      </c>
      <c r="B36" s="17" t="s">
        <v>116</v>
      </c>
    </row>
    <row r="37" spans="1:6">
      <c r="A37" s="5" t="s">
        <v>102</v>
      </c>
      <c r="B37" s="26" t="s">
        <v>117</v>
      </c>
    </row>
    <row r="38" spans="1:6">
      <c r="A38" s="5" t="s">
        <v>104</v>
      </c>
      <c r="B38" s="17" t="s">
        <v>118</v>
      </c>
    </row>
    <row r="40" spans="1:6">
      <c r="A40" s="15" t="s">
        <v>119</v>
      </c>
    </row>
    <row r="41" spans="1:6">
      <c r="A41" s="16" t="s">
        <v>85</v>
      </c>
      <c r="B41" s="16" t="s">
        <v>19</v>
      </c>
      <c r="C41" s="16" t="s">
        <v>20</v>
      </c>
      <c r="D41" s="16" t="s">
        <v>21</v>
      </c>
      <c r="E41" s="16" t="s">
        <v>22</v>
      </c>
      <c r="F41" s="16" t="s">
        <v>23</v>
      </c>
    </row>
    <row r="42" spans="1:6">
      <c r="A42" s="5" t="s">
        <v>86</v>
      </c>
      <c r="B42" s="26" t="s">
        <v>120</v>
      </c>
      <c r="C42" s="26" t="s">
        <v>87</v>
      </c>
      <c r="D42" s="26" t="s">
        <v>87</v>
      </c>
      <c r="E42" s="26" t="s">
        <v>121</v>
      </c>
      <c r="F42" s="26" t="s">
        <v>121</v>
      </c>
    </row>
    <row r="43" spans="1:6">
      <c r="A43" s="5" t="s">
        <v>90</v>
      </c>
      <c r="B43" s="10">
        <v>56250</v>
      </c>
      <c r="C43" s="10">
        <v>59062</v>
      </c>
      <c r="D43" s="10">
        <v>62016</v>
      </c>
      <c r="E43" s="10">
        <v>64496</v>
      </c>
      <c r="F43" s="10">
        <v>67076</v>
      </c>
    </row>
    <row r="44" spans="1:6">
      <c r="A44" s="5" t="s">
        <v>91</v>
      </c>
      <c r="B44" s="27">
        <v>0.8889</v>
      </c>
      <c r="C44" s="27">
        <v>0.7901</v>
      </c>
      <c r="D44" s="27">
        <v>0.7023</v>
      </c>
      <c r="E44" s="27">
        <v>0.6243</v>
      </c>
      <c r="F44" s="27">
        <v>0.5548999999999999</v>
      </c>
    </row>
    <row r="45" spans="1:6">
      <c r="A45" s="5" t="s">
        <v>92</v>
      </c>
      <c r="B45" s="10">
        <v>50001</v>
      </c>
      <c r="C45" s="10">
        <v>46665</v>
      </c>
      <c r="D45" s="10">
        <v>43554</v>
      </c>
      <c r="E45" s="10">
        <v>40265</v>
      </c>
      <c r="F45" s="10">
        <v>37220</v>
      </c>
    </row>
    <row r="47" spans="1:6">
      <c r="A47" s="5" t="s">
        <v>24</v>
      </c>
      <c r="B47" s="26" t="s">
        <v>122</v>
      </c>
    </row>
    <row r="48" spans="1:6">
      <c r="A48" s="5" t="s">
        <v>25</v>
      </c>
      <c r="B48" s="26" t="s">
        <v>70</v>
      </c>
    </row>
    <row r="49" spans="1:2">
      <c r="A49" s="5" t="s">
        <v>93</v>
      </c>
      <c r="B49" s="26" t="s">
        <v>123</v>
      </c>
    </row>
    <row r="50" spans="1:2">
      <c r="A50" s="5" t="s">
        <v>37</v>
      </c>
      <c r="B50" s="26" t="s">
        <v>124</v>
      </c>
    </row>
    <row r="51" spans="1:2">
      <c r="A51" s="5" t="s">
        <v>96</v>
      </c>
      <c r="B51" s="26" t="s">
        <v>125</v>
      </c>
    </row>
    <row r="52" spans="1:2">
      <c r="A52" s="5" t="s">
        <v>39</v>
      </c>
      <c r="B52" s="26" t="s">
        <v>126</v>
      </c>
    </row>
    <row r="53" spans="1:2">
      <c r="A53" s="5" t="s">
        <v>41</v>
      </c>
      <c r="B53" s="26" t="s">
        <v>127</v>
      </c>
    </row>
    <row r="54" spans="1:2">
      <c r="A54" s="5" t="s">
        <v>100</v>
      </c>
      <c r="B54" s="17" t="s">
        <v>128</v>
      </c>
    </row>
    <row r="55" spans="1:2">
      <c r="A55" s="5" t="s">
        <v>102</v>
      </c>
      <c r="B55" s="26" t="s">
        <v>129</v>
      </c>
    </row>
    <row r="56" spans="1:2">
      <c r="A56" s="5" t="s">
        <v>104</v>
      </c>
      <c r="B56" s="17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Views>
    <sheetView zoomScale="90" zoomScaleNormal="90" workbookViewId="0"/>
  </sheetViews>
  <sheetFormatPr defaultRowHeight="15"/>
  <cols>
    <col min="1" max="1" width="22.7109375" customWidth="1"/>
    <col min="2" max="13" width="14.7109375" customWidth="1"/>
  </cols>
  <sheetData>
    <row r="1" spans="1:12">
      <c r="A1" s="1" t="s">
        <v>131</v>
      </c>
    </row>
    <row r="2" spans="1:12">
      <c r="A2" s="2" t="s">
        <v>132</v>
      </c>
    </row>
    <row r="4" spans="1:12">
      <c r="A4" s="16" t="s">
        <v>133</v>
      </c>
      <c r="B4" s="16" t="s">
        <v>134</v>
      </c>
      <c r="C4" s="16" t="s">
        <v>135</v>
      </c>
      <c r="D4" s="16" t="s">
        <v>136</v>
      </c>
      <c r="E4" s="16" t="s">
        <v>137</v>
      </c>
      <c r="F4" s="16" t="s">
        <v>138</v>
      </c>
      <c r="G4" s="16" t="s">
        <v>139</v>
      </c>
      <c r="H4" s="16" t="s">
        <v>140</v>
      </c>
      <c r="I4" s="16" t="s">
        <v>141</v>
      </c>
      <c r="J4" s="16" t="s">
        <v>142</v>
      </c>
      <c r="K4" s="16" t="s">
        <v>143</v>
      </c>
      <c r="L4" s="16" t="s">
        <v>144</v>
      </c>
    </row>
    <row r="5" spans="1:12">
      <c r="A5" s="28" t="s">
        <v>145</v>
      </c>
      <c r="B5" s="10">
        <v>142112</v>
      </c>
      <c r="C5" s="10">
        <v>13925</v>
      </c>
      <c r="D5" s="10">
        <v>5246</v>
      </c>
      <c r="E5" s="10">
        <v>4272</v>
      </c>
      <c r="F5" s="19">
        <v>0.29</v>
      </c>
      <c r="G5" s="10">
        <v>1804</v>
      </c>
      <c r="H5" s="10">
        <v>70819</v>
      </c>
      <c r="I5" s="10">
        <v>52960</v>
      </c>
      <c r="J5" s="29">
        <v>14.97</v>
      </c>
      <c r="K5" s="29">
        <v>27.8</v>
      </c>
      <c r="L5" s="19">
        <v>0.17</v>
      </c>
    </row>
    <row r="6" spans="1:12">
      <c r="A6" s="28" t="s">
        <v>146</v>
      </c>
      <c r="B6" s="10">
        <v>191317</v>
      </c>
      <c r="C6" s="10">
        <v>24764</v>
      </c>
      <c r="D6" s="10">
        <v>13612</v>
      </c>
      <c r="E6" s="10">
        <v>10385</v>
      </c>
      <c r="F6" s="19">
        <v>0.65</v>
      </c>
      <c r="G6" s="10">
        <v>21252</v>
      </c>
      <c r="H6" s="10">
        <v>85311</v>
      </c>
      <c r="I6" s="10">
        <v>72757</v>
      </c>
      <c r="J6" s="29">
        <v>16.07</v>
      </c>
      <c r="K6" s="29">
        <v>32.3</v>
      </c>
      <c r="L6" s="19">
        <v>0.2</v>
      </c>
    </row>
    <row r="7" spans="1:12">
      <c r="A7" s="28" t="s">
        <v>147</v>
      </c>
      <c r="B7" s="10">
        <v>186814</v>
      </c>
      <c r="C7" s="10">
        <v>23128</v>
      </c>
      <c r="D7" s="10">
        <v>9908</v>
      </c>
      <c r="E7" s="10">
        <v>5833</v>
      </c>
      <c r="F7" s="19">
        <v>0.35</v>
      </c>
      <c r="G7" s="10">
        <v>14058</v>
      </c>
      <c r="H7" s="10">
        <v>98625</v>
      </c>
      <c r="I7" s="10">
        <v>83121</v>
      </c>
      <c r="J7" s="29">
        <v>16.58</v>
      </c>
      <c r="K7" s="29">
        <v>25.7</v>
      </c>
      <c r="L7" s="19">
        <v>0.22</v>
      </c>
    </row>
    <row r="8" spans="1:12">
      <c r="A8" s="28" t="s">
        <v>148</v>
      </c>
      <c r="B8" s="10">
        <v>203713</v>
      </c>
      <c r="C8" s="10">
        <v>26217</v>
      </c>
      <c r="D8" s="10">
        <v>10638</v>
      </c>
      <c r="E8" s="10">
        <v>7418</v>
      </c>
      <c r="F8" s="19">
        <v>0.37</v>
      </c>
      <c r="G8" s="10">
        <v>12174</v>
      </c>
      <c r="H8" s="10">
        <v>153376</v>
      </c>
      <c r="I8" s="10">
        <v>79060</v>
      </c>
      <c r="J8" s="29">
        <v>19.9</v>
      </c>
      <c r="K8" s="29">
        <v>31.4</v>
      </c>
      <c r="L8" s="19">
        <v>0.24</v>
      </c>
    </row>
    <row r="9" spans="1:12">
      <c r="A9" s="28" t="s">
        <v>149</v>
      </c>
      <c r="B9" s="10">
        <v>236868</v>
      </c>
      <c r="C9" s="10">
        <v>34519</v>
      </c>
      <c r="D9" s="10">
        <v>9863</v>
      </c>
      <c r="E9" s="10">
        <v>6884</v>
      </c>
      <c r="F9" s="19">
        <v>0.22</v>
      </c>
      <c r="G9" s="10">
        <v>18588</v>
      </c>
      <c r="H9" s="10">
        <v>154944</v>
      </c>
      <c r="I9" s="10">
        <v>116783</v>
      </c>
      <c r="J9" s="29">
        <v>31.33</v>
      </c>
      <c r="K9" s="29">
        <v>33.5</v>
      </c>
      <c r="L9" s="19">
        <v>0.24</v>
      </c>
    </row>
    <row r="10" spans="1:12">
      <c r="A10" s="28" t="s">
        <v>150</v>
      </c>
      <c r="B10" s="10">
        <v>251457</v>
      </c>
      <c r="C10" s="10">
        <v>42946</v>
      </c>
      <c r="D10" s="10">
        <v>16278</v>
      </c>
      <c r="E10" s="10">
        <v>15151</v>
      </c>
      <c r="F10" s="19">
        <v>0.52</v>
      </c>
      <c r="G10" s="10">
        <v>26353</v>
      </c>
      <c r="H10" s="10">
        <v>176293</v>
      </c>
      <c r="I10" s="10">
        <v>77855</v>
      </c>
      <c r="J10" s="29">
        <v>29.42</v>
      </c>
      <c r="K10" s="29">
        <v>33.4</v>
      </c>
      <c r="L10" s="19">
        <v>0.22</v>
      </c>
    </row>
    <row r="11" spans="1:12">
      <c r="A11" s="28" t="s">
        <v>151</v>
      </c>
      <c r="B11" s="10">
        <v>309569</v>
      </c>
      <c r="C11" s="10">
        <v>56790</v>
      </c>
      <c r="D11" s="10">
        <v>23488</v>
      </c>
      <c r="E11" s="10">
        <v>14860</v>
      </c>
      <c r="F11" s="19">
        <v>0.43</v>
      </c>
      <c r="G11" s="10">
        <v>41584</v>
      </c>
      <c r="H11" s="10">
        <v>246491</v>
      </c>
      <c r="I11" s="10">
        <v>100642</v>
      </c>
      <c r="J11" s="29">
        <v>34.83</v>
      </c>
      <c r="K11" s="29">
        <v>40.7</v>
      </c>
      <c r="L11" s="19">
        <v>0.25</v>
      </c>
    </row>
    <row r="12" spans="1:12">
      <c r="A12" s="28" t="s">
        <v>152</v>
      </c>
      <c r="B12" s="10">
        <v>348387</v>
      </c>
      <c r="C12" s="10">
        <v>46079</v>
      </c>
      <c r="D12" s="10">
        <v>7593</v>
      </c>
      <c r="E12" s="10">
        <v>6504</v>
      </c>
      <c r="F12" s="19">
        <v>0.16</v>
      </c>
      <c r="G12" s="10">
        <v>12128</v>
      </c>
      <c r="H12" s="10">
        <v>270943</v>
      </c>
      <c r="I12" s="10">
        <v>147388</v>
      </c>
      <c r="J12" s="29">
        <v>41.29</v>
      </c>
      <c r="K12" s="29">
        <v>42</v>
      </c>
      <c r="L12" s="19">
        <v>0.13</v>
      </c>
    </row>
    <row r="13" spans="1:12">
      <c r="A13" s="28" t="s">
        <v>153</v>
      </c>
      <c r="B13" s="10">
        <v>300920</v>
      </c>
      <c r="C13" s="10">
        <v>25988</v>
      </c>
      <c r="D13" s="30">
        <v>-20988</v>
      </c>
      <c r="E13" s="30">
        <v>-14466</v>
      </c>
      <c r="F13" s="30">
        <v>-0.34</v>
      </c>
      <c r="G13" s="10">
        <v>2671</v>
      </c>
      <c r="H13" s="10">
        <v>259949</v>
      </c>
      <c r="I13" s="10">
        <v>172376</v>
      </c>
      <c r="J13" s="29">
        <v>41.99</v>
      </c>
      <c r="K13" s="29">
        <v>29.8</v>
      </c>
      <c r="L13" s="19">
        <v>0</v>
      </c>
    </row>
    <row r="14" spans="1:12">
      <c r="A14" s="28" t="s">
        <v>154</v>
      </c>
      <c r="B14" s="10">
        <v>411412</v>
      </c>
      <c r="C14" s="10">
        <v>76121</v>
      </c>
      <c r="D14" s="10">
        <v>29713</v>
      </c>
      <c r="E14" s="10">
        <v>8751</v>
      </c>
      <c r="F14" s="19">
        <v>0.21</v>
      </c>
      <c r="G14" s="10">
        <v>66037</v>
      </c>
      <c r="H14" s="10">
        <v>266403</v>
      </c>
      <c r="I14" s="10">
        <v>137307</v>
      </c>
      <c r="J14" s="29">
        <v>41.6</v>
      </c>
      <c r="K14" s="29">
        <v>43</v>
      </c>
      <c r="L14" s="19">
        <v>0.15</v>
      </c>
    </row>
    <row r="15" spans="1:12">
      <c r="A15" s="31" t="s">
        <v>155</v>
      </c>
      <c r="B15" s="7">
        <v>440000</v>
      </c>
      <c r="C15" s="7">
        <v>96000</v>
      </c>
      <c r="D15" s="7">
        <v>48000</v>
      </c>
      <c r="E15" s="7">
        <v>32000</v>
      </c>
      <c r="F15" s="4">
        <v>0.76</v>
      </c>
      <c r="G15" s="7">
        <v>75000</v>
      </c>
      <c r="H15" s="7">
        <v>290000</v>
      </c>
      <c r="I15" s="7">
        <v>100300</v>
      </c>
      <c r="J15" s="32">
        <v>42.08</v>
      </c>
      <c r="K15" s="32">
        <v>47.1</v>
      </c>
      <c r="L15" s="4">
        <v>0.4</v>
      </c>
    </row>
    <row r="17" spans="1:4">
      <c r="A17" s="2" t="s">
        <v>156</v>
      </c>
    </row>
    <row r="19" spans="1:4">
      <c r="A19" s="3" t="s">
        <v>157</v>
      </c>
    </row>
    <row r="20" spans="1:4">
      <c r="A20" s="16" t="s">
        <v>85</v>
      </c>
      <c r="B20" s="16" t="s">
        <v>158</v>
      </c>
      <c r="C20" s="16" t="s">
        <v>159</v>
      </c>
      <c r="D20" s="16" t="s">
        <v>160</v>
      </c>
    </row>
    <row r="21" spans="1:4">
      <c r="A21" s="33" t="s">
        <v>134</v>
      </c>
      <c r="B21" s="34" t="s">
        <v>161</v>
      </c>
      <c r="C21" s="34" t="s">
        <v>162</v>
      </c>
      <c r="D21" s="33" t="s">
        <v>163</v>
      </c>
    </row>
    <row r="22" spans="1:4">
      <c r="A22" s="33" t="s">
        <v>164</v>
      </c>
      <c r="B22" s="34" t="s">
        <v>165</v>
      </c>
      <c r="C22" s="34" t="s">
        <v>166</v>
      </c>
      <c r="D22" s="33" t="s">
        <v>167</v>
      </c>
    </row>
    <row r="23" spans="1:4">
      <c r="A23" s="33" t="s">
        <v>168</v>
      </c>
      <c r="B23" s="34" t="s">
        <v>169</v>
      </c>
      <c r="C23" s="34" t="s">
        <v>170</v>
      </c>
      <c r="D23" s="33" t="s">
        <v>171</v>
      </c>
    </row>
    <row r="24" spans="1:4">
      <c r="A24" s="33" t="s">
        <v>172</v>
      </c>
      <c r="B24" s="34" t="s">
        <v>173</v>
      </c>
      <c r="C24" s="34" t="s">
        <v>174</v>
      </c>
      <c r="D24" s="33" t="s">
        <v>175</v>
      </c>
    </row>
    <row r="25" spans="1:4">
      <c r="A25" s="35" t="s">
        <v>176</v>
      </c>
      <c r="B25" s="36" t="s">
        <v>177</v>
      </c>
      <c r="C25" s="36" t="s">
        <v>170</v>
      </c>
      <c r="D25" s="3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Scenarios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2026-03-08T23:36:05Z</dcterms:created>
  <dcterms:modified xsi:type="dcterms:W3CDTF">2026-03-08T23:36:05Z</dcterms:modified>
</cp:coreProperties>
</file>