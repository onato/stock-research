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DCF Model" sheetId="1" r:id="rId1"/>
    <sheet name="Sensitivity" sheetId="2" r:id="rId2"/>
    <sheet name="Historical" sheetId="3" r:id="rId3"/>
  </sheets>
  <calcPr calcId="124519" fullCalcOnLoad="1"/>
</workbook>
</file>

<file path=xl/sharedStrings.xml><?xml version="1.0" encoding="utf-8"?>
<sst xmlns="http://schemas.openxmlformats.org/spreadsheetml/2006/main" count="65" uniqueCount="60">
  <si>
    <t>Seeka Limited (SEK.NZ) DCF Valuation Model</t>
  </si>
  <si>
    <t>Gray cells are INPUTS - adjust to see valuation change instantly</t>
  </si>
  <si>
    <t>Currency: NZD | Units: millions | Date: 2026-01-21</t>
  </si>
  <si>
    <t>KEY INPUTS</t>
  </si>
  <si>
    <t>Current Stock Price (NZD)</t>
  </si>
  <si>
    <t>Shares Outstanding (M)</t>
  </si>
  <si>
    <t>Cash &amp; Equivalents (M)</t>
  </si>
  <si>
    <t>Total Debt (M)</t>
  </si>
  <si>
    <t>Net Debt (M)</t>
  </si>
  <si>
    <t>Base Year FCF (M)</t>
  </si>
  <si>
    <t>WACC</t>
  </si>
  <si>
    <t>Terminal Growth Rate</t>
  </si>
  <si>
    <t>GROWTH ASSUMPTIONS</t>
  </si>
  <si>
    <t>FCF Growth Rate</t>
  </si>
  <si>
    <t>Year 1</t>
  </si>
  <si>
    <t>Year 2</t>
  </si>
  <si>
    <t>Year 3</t>
  </si>
  <si>
    <t>Year 4</t>
  </si>
  <si>
    <t>Year 5</t>
  </si>
  <si>
    <t>PROJECTIONS</t>
  </si>
  <si>
    <t>Base</t>
  </si>
  <si>
    <t>Free Cash Flow (M)</t>
  </si>
  <si>
    <t>Discount Factor</t>
  </si>
  <si>
    <t>PV of FCF (M)</t>
  </si>
  <si>
    <t>VALUATION</t>
  </si>
  <si>
    <t>Sum of PV of FCF</t>
  </si>
  <si>
    <t>Terminal FCF (Y5 * (1+g))</t>
  </si>
  <si>
    <t>Terminal Value</t>
  </si>
  <si>
    <t>PV of Terminal Value</t>
  </si>
  <si>
    <t>Enterprise Value</t>
  </si>
  <si>
    <t>Less: Net Debt</t>
  </si>
  <si>
    <t>Equity Value</t>
  </si>
  <si>
    <t>INTRINSIC VALUE/SHARE</t>
  </si>
  <si>
    <t>UPSIDE TO INTRINSIC VALUE</t>
  </si>
  <si>
    <t>ENTRY PRICE (15% CAGR Target)</t>
  </si>
  <si>
    <t>Terminal Value per Share</t>
  </si>
  <si>
    <t>Entry Price (15% CAGR)</t>
  </si>
  <si>
    <t>Current Price vs Entry</t>
  </si>
  <si>
    <t>SCENARIO COMPARISON</t>
  </si>
  <si>
    <t>Base Case</t>
  </si>
  <si>
    <t>Bull Case</t>
  </si>
  <si>
    <t>Bear Case</t>
  </si>
  <si>
    <t>Intrinsic Value/Share</t>
  </si>
  <si>
    <t>Upside %</t>
  </si>
  <si>
    <t>Probability Weighted IV</t>
  </si>
  <si>
    <t>Sensitivity Analysis - Intrinsic Value per Share</t>
  </si>
  <si>
    <t>WACC vs Terminal Growth Rate</t>
  </si>
  <si>
    <t>WACC \ Term G</t>
  </si>
  <si>
    <t>Current Price: NZD $4.65</t>
  </si>
  <si>
    <t>Historical Growth Rates</t>
  </si>
  <si>
    <t>Metric</t>
  </si>
  <si>
    <t>3-Year CAGR</t>
  </si>
  <si>
    <t>5-Year CAGR</t>
  </si>
  <si>
    <t>Revenue</t>
  </si>
  <si>
    <t>EPS</t>
  </si>
  <si>
    <t>Equity</t>
  </si>
  <si>
    <t>FCF</t>
  </si>
  <si>
    <t>Selected Growth Rate:</t>
  </si>
  <si>
    <t>Source:</t>
  </si>
  <si>
    <t>equity_5yr_cagr</t>
  </si>
</sst>
</file>

<file path=xl/styles.xml><?xml version="1.0" encoding="utf-8"?>
<styleSheet xmlns="http://schemas.openxmlformats.org/spreadsheetml/2006/main">
  <numFmts count="3">
    <numFmt numFmtId="164" formatCode="#,##0.0"/>
    <numFmt numFmtId="165" formatCode="0.0%"/>
    <numFmt numFmtId="166" formatCode="&quot;NZD $&quot;#,##0.00"/>
  </numFmts>
  <fonts count="8">
    <font>
      <sz val="11"/>
      <color theme="1"/>
      <name val="Calibri"/>
      <family val="2"/>
      <scheme val="minor"/>
    </font>
    <font>
      <b/>
      <sz val="16"/>
      <color rgb="FF2D3436"/>
      <name val="Calibri"/>
      <family val="2"/>
      <scheme val="minor"/>
    </font>
    <font>
      <i/>
      <sz val="11"/>
      <color rgb="FF636E72"/>
      <name val="Calibri"/>
      <family val="2"/>
      <scheme val="minor"/>
    </font>
    <font>
      <b/>
      <sz val="12"/>
      <color rgb="FF0984E3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2D3436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rgb="FFD63031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DFE6E9"/>
        <bgColor indexed="64"/>
      </patternFill>
    </fill>
    <fill>
      <patternFill patternType="solid">
        <fgColor rgb="FF2D3436"/>
        <bgColor indexed="64"/>
      </patternFill>
    </fill>
    <fill>
      <patternFill patternType="solid">
        <fgColor rgb="FF00B894"/>
        <bgColor indexed="64"/>
      </patternFill>
    </fill>
  </fills>
  <borders count="3">
    <border>
      <left/>
      <right/>
      <top/>
      <bottom/>
      <diagonal/>
    </border>
    <border>
      <left/>
      <right/>
      <top/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15">
    <xf numFmtId="0" fontId="0" fillId="0" borderId="0" xfId="0"/>
    <xf numFmtId="0" fontId="1" fillId="0" borderId="0" xfId="0" applyFont="1"/>
    <xf numFmtId="0" fontId="2" fillId="0" borderId="0" xfId="0" applyFont="1" applyAlignment="1">
      <alignment wrapText="1"/>
    </xf>
    <xf numFmtId="0" fontId="3" fillId="0" borderId="1" xfId="0" applyFont="1" applyBorder="1"/>
    <xf numFmtId="164" fontId="0" fillId="2" borderId="2" xfId="0" applyNumberFormat="1" applyFill="1" applyBorder="1"/>
    <xf numFmtId="164" fontId="0" fillId="0" borderId="2" xfId="0" applyNumberFormat="1" applyBorder="1"/>
    <xf numFmtId="165" fontId="0" fillId="2" borderId="2" xfId="0" applyNumberFormat="1" applyFill="1" applyBorder="1"/>
    <xf numFmtId="0" fontId="4" fillId="3" borderId="2" xfId="0" applyFont="1" applyFill="1" applyBorder="1" applyAlignment="1">
      <alignment horizontal="center"/>
    </xf>
    <xf numFmtId="0" fontId="5" fillId="0" borderId="0" xfId="0" applyFont="1"/>
    <xf numFmtId="166" fontId="4" fillId="4" borderId="2" xfId="0" applyNumberFormat="1" applyFont="1" applyFill="1" applyBorder="1"/>
    <xf numFmtId="165" fontId="6" fillId="0" borderId="2" xfId="0" applyNumberFormat="1" applyFont="1" applyBorder="1"/>
    <xf numFmtId="166" fontId="0" fillId="0" borderId="2" xfId="0" applyNumberFormat="1" applyBorder="1"/>
    <xf numFmtId="165" fontId="0" fillId="0" borderId="2" xfId="0" applyNumberFormat="1" applyBorder="1"/>
    <xf numFmtId="165" fontId="4" fillId="3" borderId="2" xfId="0" applyNumberFormat="1" applyFont="1" applyFill="1" applyBorder="1"/>
    <xf numFmtId="0" fontId="7" fillId="0" borderId="0" xfId="0" applyFont="1"/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theme" Target="theme/theme1.xml"/><Relationship Id="rId5" Type="http://schemas.openxmlformats.org/officeDocument/2006/relationships/styles" Target="styles.xml"/><Relationship Id="rId6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G48"/>
  <sheetViews>
    <sheetView tabSelected="1" workbookViewId="0"/>
  </sheetViews>
  <sheetFormatPr defaultRowHeight="15"/>
  <cols>
    <col min="1" max="1" width="28.7109375" customWidth="1"/>
    <col min="2" max="8" width="14.7109375" customWidth="1"/>
  </cols>
  <sheetData>
    <row r="1" spans="1:2">
      <c r="A1" s="1" t="s">
        <v>0</v>
      </c>
    </row>
    <row r="2" spans="1:2">
      <c r="A2" s="2" t="s">
        <v>1</v>
      </c>
    </row>
    <row r="3" spans="1:2">
      <c r="A3" s="2" t="s">
        <v>2</v>
      </c>
    </row>
    <row r="5" spans="1:2">
      <c r="A5" s="3" t="s">
        <v>3</v>
      </c>
    </row>
    <row r="6" spans="1:2">
      <c r="A6" t="s">
        <v>4</v>
      </c>
      <c r="B6" s="4">
        <v>4.65</v>
      </c>
    </row>
    <row r="7" spans="1:2">
      <c r="A7" t="s">
        <v>5</v>
      </c>
      <c r="B7" s="4">
        <v>41.6</v>
      </c>
    </row>
    <row r="8" spans="1:2">
      <c r="A8" t="s">
        <v>6</v>
      </c>
      <c r="B8" s="4">
        <v>3</v>
      </c>
    </row>
    <row r="9" spans="1:2">
      <c r="A9" t="s">
        <v>7</v>
      </c>
      <c r="B9" s="4">
        <v>139.9</v>
      </c>
    </row>
    <row r="10" spans="1:2">
      <c r="A10" t="s">
        <v>8</v>
      </c>
      <c r="B10" s="5">
        <f>B9-B8</f>
        <v>0</v>
      </c>
    </row>
    <row r="12" spans="1:2">
      <c r="A12" t="s">
        <v>9</v>
      </c>
      <c r="B12" s="4">
        <v>66</v>
      </c>
    </row>
    <row r="14" spans="1:2">
      <c r="A14" t="s">
        <v>10</v>
      </c>
      <c r="B14" s="6">
        <v>0.11</v>
      </c>
    </row>
    <row r="15" spans="1:2">
      <c r="A15" t="s">
        <v>11</v>
      </c>
      <c r="B15" s="6">
        <v>0.025</v>
      </c>
    </row>
    <row r="17" spans="1:7">
      <c r="A17" s="3" t="s">
        <v>12</v>
      </c>
      <c r="B17" s="7" t="s">
        <v>14</v>
      </c>
      <c r="C17" s="7" t="s">
        <v>15</v>
      </c>
      <c r="D17" s="7" t="s">
        <v>16</v>
      </c>
      <c r="E17" s="7" t="s">
        <v>17</v>
      </c>
      <c r="F17" s="7" t="s">
        <v>18</v>
      </c>
    </row>
    <row r="18" spans="1:7">
      <c r="A18" t="s">
        <v>13</v>
      </c>
      <c r="B18" s="6">
        <v>0.12</v>
      </c>
      <c r="C18" s="6">
        <v>0.1</v>
      </c>
      <c r="D18" s="6">
        <v>0.08</v>
      </c>
      <c r="E18" s="6">
        <v>0.06</v>
      </c>
      <c r="F18" s="6">
        <v>0.04</v>
      </c>
    </row>
    <row r="20" spans="1:7">
      <c r="A20" s="3" t="s">
        <v>19</v>
      </c>
    </row>
    <row r="21" spans="1:7">
      <c r="A21" s="7"/>
      <c r="B21" s="7" t="s">
        <v>20</v>
      </c>
      <c r="C21" s="7" t="s">
        <v>14</v>
      </c>
      <c r="D21" s="7" t="s">
        <v>15</v>
      </c>
      <c r="E21" s="7" t="s">
        <v>16</v>
      </c>
      <c r="F21" s="7" t="s">
        <v>17</v>
      </c>
      <c r="G21" s="7" t="s">
        <v>18</v>
      </c>
    </row>
    <row r="22" spans="1:7">
      <c r="A22" t="s">
        <v>21</v>
      </c>
      <c r="B22" s="5">
        <f>B12</f>
        <v>0</v>
      </c>
      <c r="C22" s="5">
        <f>B22*(1+B18)</f>
        <v>0</v>
      </c>
      <c r="D22" s="5">
        <f>C22*(1+C18)</f>
        <v>0</v>
      </c>
      <c r="E22" s="5">
        <f>D22*(1+D18)</f>
        <v>0</v>
      </c>
      <c r="F22" s="5">
        <f>E22*(1+E18)</f>
        <v>0</v>
      </c>
      <c r="G22" s="5">
        <f>F22*(1+F18)</f>
        <v>0</v>
      </c>
    </row>
    <row r="23" spans="1:7">
      <c r="A23" t="s">
        <v>22</v>
      </c>
      <c r="B23" s="5"/>
      <c r="C23" s="5">
        <f>1/(1+$B$14)^1</f>
        <v>0</v>
      </c>
      <c r="D23" s="5">
        <f>1/(1+$B$14)^2</f>
        <v>0</v>
      </c>
      <c r="E23" s="5">
        <f>1/(1+$B$14)^3</f>
        <v>0</v>
      </c>
      <c r="F23" s="5">
        <f>1/(1+$B$14)^4</f>
        <v>0</v>
      </c>
      <c r="G23" s="5">
        <f>1/(1+$B$14)^5</f>
        <v>0</v>
      </c>
    </row>
    <row r="24" spans="1:7">
      <c r="A24" t="s">
        <v>23</v>
      </c>
      <c r="B24" s="5"/>
      <c r="C24" s="5">
        <f>C22*C23</f>
        <v>0</v>
      </c>
      <c r="D24" s="5">
        <f>D22*D23</f>
        <v>0</v>
      </c>
      <c r="E24" s="5">
        <f>E22*E23</f>
        <v>0</v>
      </c>
      <c r="F24" s="5">
        <f>F22*F23</f>
        <v>0</v>
      </c>
      <c r="G24" s="5">
        <f>G22*G23</f>
        <v>0</v>
      </c>
    </row>
    <row r="26" spans="1:7">
      <c r="A26" s="3" t="s">
        <v>24</v>
      </c>
    </row>
    <row r="27" spans="1:7">
      <c r="A27" t="s">
        <v>25</v>
      </c>
      <c r="B27" s="5">
        <f>SUM(C24:G24)</f>
        <v>0</v>
      </c>
    </row>
    <row r="28" spans="1:7">
      <c r="A28" t="s">
        <v>26</v>
      </c>
      <c r="B28" s="5">
        <f>G22*(1+$B$15)</f>
        <v>0</v>
      </c>
    </row>
    <row r="29" spans="1:7">
      <c r="A29" t="s">
        <v>27</v>
      </c>
      <c r="B29" s="5">
        <f>B28/($B$14-$B$15)</f>
        <v>0</v>
      </c>
    </row>
    <row r="30" spans="1:7">
      <c r="A30" t="s">
        <v>28</v>
      </c>
      <c r="B30" s="5">
        <f>B29*G23</f>
        <v>0</v>
      </c>
    </row>
    <row r="31" spans="1:7">
      <c r="A31" t="s">
        <v>29</v>
      </c>
      <c r="B31" s="5">
        <f>B27+B30</f>
        <v>0</v>
      </c>
    </row>
    <row r="32" spans="1:7">
      <c r="A32" t="s">
        <v>30</v>
      </c>
      <c r="B32" s="5">
        <f>B10</f>
        <v>0</v>
      </c>
    </row>
    <row r="33" spans="1:4">
      <c r="A33" t="s">
        <v>31</v>
      </c>
      <c r="B33" s="5">
        <f>B31-B32</f>
        <v>0</v>
      </c>
    </row>
    <row r="35" spans="1:4">
      <c r="A35" s="8" t="s">
        <v>32</v>
      </c>
      <c r="B35" s="9">
        <f>B33/B7</f>
        <v>0</v>
      </c>
    </row>
    <row r="36" spans="1:4">
      <c r="A36" s="8" t="s">
        <v>33</v>
      </c>
      <c r="B36" s="10">
        <f>(B35-B6)/B6</f>
        <v>0</v>
      </c>
    </row>
    <row r="38" spans="1:4">
      <c r="A38" s="3" t="s">
        <v>34</v>
      </c>
    </row>
    <row r="39" spans="1:4">
      <c r="A39" t="s">
        <v>35</v>
      </c>
      <c r="B39" s="11">
        <f>B29/B7</f>
        <v>0</v>
      </c>
    </row>
    <row r="40" spans="1:4">
      <c r="A40" t="s">
        <v>36</v>
      </c>
      <c r="B40" s="9">
        <f>B39/(1.15^5)</f>
        <v>0</v>
      </c>
    </row>
    <row r="41" spans="1:4">
      <c r="A41" t="s">
        <v>37</v>
      </c>
      <c r="B41" s="10">
        <f>(B6-B40)/B40</f>
        <v>0</v>
      </c>
    </row>
    <row r="43" spans="1:4">
      <c r="A43" s="3" t="s">
        <v>38</v>
      </c>
    </row>
    <row r="44" spans="1:4">
      <c r="A44" s="7"/>
      <c r="B44" s="7" t="s">
        <v>39</v>
      </c>
      <c r="C44" s="7" t="s">
        <v>40</v>
      </c>
      <c r="D44" s="7" t="s">
        <v>41</v>
      </c>
    </row>
    <row r="45" spans="1:4">
      <c r="A45" t="s">
        <v>42</v>
      </c>
      <c r="B45" s="11">
        <v>20.88</v>
      </c>
      <c r="C45" s="11">
        <v>36.07</v>
      </c>
      <c r="D45" s="11">
        <v>9.779999999999999</v>
      </c>
    </row>
    <row r="46" spans="1:4">
      <c r="A46" t="s">
        <v>43</v>
      </c>
      <c r="B46" s="12">
        <v>3.489</v>
      </c>
      <c r="C46" s="12">
        <v>6.757000000000001</v>
      </c>
      <c r="D46" s="12">
        <v>1.103</v>
      </c>
    </row>
    <row r="48" spans="1:4">
      <c r="A48" t="s">
        <v>44</v>
      </c>
      <c r="B48" s="9">
        <v>21.91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F11"/>
  <sheetViews>
    <sheetView workbookViewId="0"/>
  </sheetViews>
  <sheetFormatPr defaultRowHeight="15"/>
  <cols>
    <col min="1" max="1" width="18.7109375" customWidth="1"/>
    <col min="2" max="7" width="12.7109375" customWidth="1"/>
  </cols>
  <sheetData>
    <row r="1" spans="1:6">
      <c r="A1" s="1" t="s">
        <v>45</v>
      </c>
    </row>
    <row r="2" spans="1:6">
      <c r="A2" s="2" t="s">
        <v>46</v>
      </c>
    </row>
    <row r="4" spans="1:6">
      <c r="A4" s="7" t="s">
        <v>47</v>
      </c>
      <c r="B4" s="13">
        <v>0.015</v>
      </c>
      <c r="C4" s="13">
        <v>0.02</v>
      </c>
      <c r="D4" s="13">
        <v>0.025</v>
      </c>
      <c r="E4" s="13">
        <v>0.03</v>
      </c>
      <c r="F4" s="13">
        <v>0.035</v>
      </c>
    </row>
    <row r="5" spans="1:6">
      <c r="A5" s="13">
        <v>0.09</v>
      </c>
      <c r="B5" s="11">
        <v>30</v>
      </c>
      <c r="C5" s="11">
        <v>33</v>
      </c>
      <c r="D5" s="11">
        <v>36</v>
      </c>
      <c r="E5" s="11">
        <v>40</v>
      </c>
      <c r="F5" s="11">
        <v>45</v>
      </c>
    </row>
    <row r="6" spans="1:6">
      <c r="A6" s="13">
        <v>0.1</v>
      </c>
      <c r="B6" s="11">
        <v>25</v>
      </c>
      <c r="C6" s="11">
        <v>27</v>
      </c>
      <c r="D6" s="11">
        <v>30</v>
      </c>
      <c r="E6" s="11">
        <v>32</v>
      </c>
      <c r="F6" s="11">
        <v>36</v>
      </c>
    </row>
    <row r="7" spans="1:6">
      <c r="A7" s="13">
        <v>0.11</v>
      </c>
      <c r="B7" s="11">
        <v>21</v>
      </c>
      <c r="C7" s="11">
        <v>23</v>
      </c>
      <c r="D7" s="11">
        <v>25</v>
      </c>
      <c r="E7" s="11">
        <v>27</v>
      </c>
      <c r="F7" s="11">
        <v>29</v>
      </c>
    </row>
    <row r="8" spans="1:6">
      <c r="A8" s="13">
        <v>0.12</v>
      </c>
      <c r="B8" s="11">
        <v>19</v>
      </c>
      <c r="C8" s="11">
        <v>20</v>
      </c>
      <c r="D8" s="11">
        <v>21</v>
      </c>
      <c r="E8" s="11">
        <v>23</v>
      </c>
      <c r="F8" s="11">
        <v>25</v>
      </c>
    </row>
    <row r="9" spans="1:6">
      <c r="A9" s="13">
        <v>0.13</v>
      </c>
      <c r="B9" s="11">
        <v>16</v>
      </c>
      <c r="C9" s="11">
        <v>17</v>
      </c>
      <c r="D9" s="11">
        <v>18</v>
      </c>
      <c r="E9" s="11">
        <v>20</v>
      </c>
      <c r="F9" s="11">
        <v>21</v>
      </c>
    </row>
    <row r="11" spans="1:6">
      <c r="A11" s="14" t="s">
        <v>48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C10"/>
  <sheetViews>
    <sheetView workbookViewId="0"/>
  </sheetViews>
  <sheetFormatPr defaultRowHeight="15"/>
  <cols>
    <col min="1" max="1" width="25.7109375" customWidth="1"/>
    <col min="2" max="4" width="15.7109375" customWidth="1"/>
  </cols>
  <sheetData>
    <row r="1" spans="1:3">
      <c r="A1" s="1" t="s">
        <v>49</v>
      </c>
    </row>
    <row r="3" spans="1:3">
      <c r="A3" s="7" t="s">
        <v>50</v>
      </c>
      <c r="B3" s="7" t="s">
        <v>51</v>
      </c>
      <c r="C3" s="7" t="s">
        <v>52</v>
      </c>
    </row>
    <row r="4" spans="1:3">
      <c r="A4" t="s">
        <v>53</v>
      </c>
      <c r="B4" s="12">
        <v>0.178</v>
      </c>
      <c r="C4" s="12">
        <v>0.131</v>
      </c>
    </row>
    <row r="5" spans="1:3">
      <c r="A5" t="s">
        <v>54</v>
      </c>
      <c r="B5" s="12">
        <v>-0.152</v>
      </c>
      <c r="C5" s="12">
        <v>-0.164</v>
      </c>
    </row>
    <row r="6" spans="1:3">
      <c r="A6" t="s">
        <v>55</v>
      </c>
      <c r="B6" s="12">
        <v>0.05599999999999999</v>
      </c>
      <c r="C6" s="12">
        <v>0.08599999999999999</v>
      </c>
    </row>
    <row r="7" spans="1:3">
      <c r="A7" t="s">
        <v>56</v>
      </c>
      <c r="B7" s="12">
        <v>0.165</v>
      </c>
      <c r="C7" s="12">
        <v>0.202</v>
      </c>
    </row>
    <row r="9" spans="1:3">
      <c r="A9" s="8" t="s">
        <v>57</v>
      </c>
      <c r="B9" s="12">
        <v>0.08599999999999999</v>
      </c>
    </row>
    <row r="10" spans="1:3">
      <c r="A10" t="s">
        <v>58</v>
      </c>
      <c r="B10" t="s">
        <v>59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DCF Model</vt:lpstr>
      <vt:lpstr>Sensitivity</vt:lpstr>
      <vt:lpstr>Historical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2026-02-03T00:25:53Z</dcterms:created>
  <dcterms:modified xsi:type="dcterms:W3CDTF">2026-02-03T00:25:53Z</dcterms:modified>
</cp:coreProperties>
</file>