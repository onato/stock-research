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 Model" sheetId="1" state="visible" r:id="rId3"/>
    <sheet name="Company Overview" sheetId="2" state="visible" r:id="rId4"/>
    <sheet name="Investment The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<sst xmlns="http://schemas.openxmlformats.org/spreadsheetml/2006/main" count="232" uniqueCount="215">
  <si>
    <t xml:space="preserve">ASML Holding N.V. - Discounted Cash Flow (DCF) Valuation Model</t>
  </si>
  <si>
    <t xml:space="preserve">All figures in EUR millions unless otherwise noted</t>
  </si>
  <si>
    <t xml:space="preserve">Model Date: January 06, 2026</t>
  </si>
  <si>
    <t xml:space="preserve">KEY ASSUMPTIONS</t>
  </si>
  <si>
    <t xml:space="preserve">Revenue Growth Rate - Year 1 (2025)</t>
  </si>
  <si>
    <t xml:space="preserve">Source: ASML guidance (15% growth for 2025)</t>
  </si>
  <si>
    <t xml:space="preserve">Revenue Growth Rate - Year 2 (2026)</t>
  </si>
  <si>
    <t xml:space="preserve">Source: Analyst consensus ~5%</t>
  </si>
  <si>
    <t xml:space="preserve">Revenue Growth Rate - Year 3 (2027)</t>
  </si>
  <si>
    <t xml:space="preserve">Source: Analyst estimates</t>
  </si>
  <si>
    <t xml:space="preserve">Revenue Growth Rate - Year 4 (2028)</t>
  </si>
  <si>
    <t xml:space="preserve">Revenue Growth Rate - Year 5 (2029)</t>
  </si>
  <si>
    <t xml:space="preserve">Terminal Growth Rate</t>
  </si>
  <si>
    <t xml:space="preserve">Long-term GDP growth proxy</t>
  </si>
  <si>
    <t xml:space="preserve">WACC (Discount Rate)</t>
  </si>
  <si>
    <t xml:space="preserve">Source: ValueInvesting.io</t>
  </si>
  <si>
    <t xml:space="preserve">EBIT Margin (Projected)</t>
  </si>
  <si>
    <t xml:space="preserve">Historical average ~32%</t>
  </si>
  <si>
    <t xml:space="preserve">Tax Rate</t>
  </si>
  <si>
    <t xml:space="preserve">Effective tax rate 2024</t>
  </si>
  <si>
    <t xml:space="preserve">D&amp;A as % of Revenue</t>
  </si>
  <si>
    <t xml:space="preserve">Historical average ~3%</t>
  </si>
  <si>
    <t xml:space="preserve">CapEx as % of Revenue</t>
  </si>
  <si>
    <t xml:space="preserve">Historical average ~7%</t>
  </si>
  <si>
    <t xml:space="preserve">NWC Change as % of Revenue Change</t>
  </si>
  <si>
    <t xml:space="preserve">Working capital investment</t>
  </si>
  <si>
    <t xml:space="preserve">HISTORICAL FINANCIALS (€ millions)</t>
  </si>
  <si>
    <t xml:space="preserve">FY 2020</t>
  </si>
  <si>
    <t xml:space="preserve">FY 2021</t>
  </si>
  <si>
    <t xml:space="preserve">FY 2022</t>
  </si>
  <si>
    <t xml:space="preserve">FY 2023</t>
  </si>
  <si>
    <t xml:space="preserve">FY 2024</t>
  </si>
  <si>
    <t xml:space="preserve">Revenue</t>
  </si>
  <si>
    <t xml:space="preserve">Revenue Growth %</t>
  </si>
  <si>
    <t xml:space="preserve">Gross Profit</t>
  </si>
  <si>
    <t xml:space="preserve">Gross Margin %</t>
  </si>
  <si>
    <t xml:space="preserve">Operating Income (EBIT)</t>
  </si>
  <si>
    <t xml:space="preserve">EBIT Margin %</t>
  </si>
  <si>
    <t xml:space="preserve">Net Income</t>
  </si>
  <si>
    <t xml:space="preserve">D&amp;A</t>
  </si>
  <si>
    <t xml:space="preserve">EBITDA</t>
  </si>
  <si>
    <t xml:space="preserve">CapEx</t>
  </si>
  <si>
    <t xml:space="preserve">Free Cash Flow</t>
  </si>
  <si>
    <t xml:space="preserve">Operating Cash Flow</t>
  </si>
  <si>
    <t xml:space="preserve">DCF PROJECTIONS (€ millions)</t>
  </si>
  <si>
    <t xml:space="preserve">Base 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</si>
  <si>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</si>
  <si>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</si>
  <si>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</si>
  <si>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</si>
  <si>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</si>
  <si>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</si>
  <si>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</si>
  <si>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</si>
  <si>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</si>
  <si>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</si>
  <si>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</si>
  <si>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</si>
  <si>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TV</t>
  </si>
  <si>
    <t xml:space="preserve">$B$7</t>
  </si>
  <si>
    <t xml:space="preserve">$B$8</t>
  </si>
  <si>
    <t xml:space="preserve">$B$9</t>
  </si>
  <si>
    <t xml:space="preserve">$B$10</t>
  </si>
  <si>
    <t xml:space="preserve">$B$11</t>
  </si>
  <si>
    <t xml:space="preserve">$B$12</t>
  </si>
  <si>
    <t xml:space="preserve">EBIT</t>
  </si>
  <si>
    <t xml:space="preserve">$B$14</t>
  </si>
  <si>
    <t xml:space="preserve">Less: Taxes</t>
  </si>
  <si>
    <t xml:space="preserve">NOPAT (EBIT × (1-Tax))</t>
  </si>
  <si>
    <t xml:space="preserve">Plus: D&amp;A</t>
  </si>
  <si>
    <t xml:space="preserve">Less: CapEx</t>
  </si>
  <si>
    <t xml:space="preserve">Less: Change in NWC</t>
  </si>
  <si>
    <t xml:space="preserve">Unlevered Free Cash Flow (UFCF)</t>
  </si>
  <si>
    <t xml:space="preserve">Discount Period</t>
  </si>
  <si>
    <t xml:space="preserve">Discount Factor</t>
  </si>
  <si>
    <t xml:space="preserve">Present Value of UFCF</t>
  </si>
  <si>
    <t xml:space="preserve">TERMINAL VALUE CALCULATION</t>
  </si>
  <si>
    <t xml:space="preserve">Terminal Year UFCF (Year 5)</t>
  </si>
  <si>
    <t xml:space="preserve">WACC</t>
  </si>
  <si>
    <t xml:space="preserve">Terminal Value (Gordon Growth)</t>
  </si>
  <si>
    <t xml:space="preserve">Discount Factor (Year 5)</t>
  </si>
  <si>
    <t xml:space="preserve">PV of Terminal Value</t>
  </si>
  <si>
    <t xml:space="preserve">VALUATION SUMMARY</t>
  </si>
  <si>
    <t xml:space="preserve">Sum of PV of Projected UFCF</t>
  </si>
  <si>
    <t xml:space="preserve">Enterprise Value</t>
  </si>
  <si>
    <t xml:space="preserve">Less: Net Debt (Debt - Cash)</t>
  </si>
  <si>
    <t xml:space="preserve">Equity Value</t>
  </si>
  <si>
    <t xml:space="preserve">Shares Outstanding (millions)</t>
  </si>
  <si>
    <t xml:space="preserve">Implied Share Price (EUR)</t>
  </si>
  <si>
    <t xml:space="preserve">Current Stock Price (EUR)</t>
  </si>
  <si>
    <t xml:space="preserve">Upside / (Downside)</t>
  </si>
  <si>
    <t xml:space="preserve">SENSITIVITY ANALYSIS - IMPLIED SHARE PRICE (EUR)</t>
  </si>
  <si>
    <t xml:space="preserve">ASML Holding N.V. - Company Deep Dive</t>
  </si>
  <si>
    <t xml:space="preserve">COMPANY PROFILE</t>
  </si>
  <si>
    <t xml:space="preserve">Headquarters</t>
  </si>
  <si>
    <t xml:space="preserve">Veldhoven, Netherlands</t>
  </si>
  <si>
    <t xml:space="preserve">Founded</t>
  </si>
  <si>
    <t xml:space="preserve">1984 (as joint venture between Philips and ASM International)</t>
  </si>
  <si>
    <t xml:space="preserve">Stock Exchange</t>
  </si>
  <si>
    <t xml:space="preserve">NASDAQ: ASML / Euronext Amsterdam: ASML</t>
  </si>
  <si>
    <t xml:space="preserve">Market Cap</t>
  </si>
  <si>
    <t xml:space="preserve">~€408 billion (Jan 2026)</t>
  </si>
  <si>
    <t xml:space="preserve">Employees</t>
  </si>
  <si>
    <t xml:space="preserve">~43,461 (2025)</t>
  </si>
  <si>
    <t xml:space="preserve">CEO</t>
  </si>
  <si>
    <t xml:space="preserve">Christophe Fouquet</t>
  </si>
  <si>
    <t xml:space="preserve">CFO</t>
  </si>
  <si>
    <t xml:space="preserve">Roger Dassen</t>
  </si>
  <si>
    <t xml:space="preserve">BUSINESS DESCRIPTION</t>
  </si>
  <si>
    <t xml:space="preserve">Core Business</t>
  </si>
  <si>
    <t xml:space="preserve">World's leading supplier of photolithography systems for semiconductor manufacturing</t>
  </si>
  <si>
    <t xml:space="preserve">Key Products</t>
  </si>
  <si>
    <t xml:space="preserve">EUV lithography machines, DUV lithography machines, metrology &amp; inspection systems</t>
  </si>
  <si>
    <t xml:space="preserve">EUV Price</t>
  </si>
  <si>
    <t xml:space="preserve">€200-400 million per machine</t>
  </si>
  <si>
    <t xml:space="preserve">EUV Market Share</t>
  </si>
  <si>
    <t xml:space="preserve">100% monopoly (no competitors)</t>
  </si>
  <si>
    <t xml:space="preserve">Overall Litho Share</t>
  </si>
  <si>
    <t xml:space="preserve">~90% market share</t>
  </si>
  <si>
    <t xml:space="preserve">KEY CUSTOMERS</t>
  </si>
  <si>
    <t xml:space="preserve">Logic</t>
  </si>
  <si>
    <t xml:space="preserve">TSMC, Samsung Foundry, Intel Foundry</t>
  </si>
  <si>
    <t xml:space="preserve">Memory</t>
  </si>
  <si>
    <t xml:space="preserve">Samsung Memory, SK Hynix, Micron</t>
  </si>
  <si>
    <t xml:space="preserve">COMPETITIVE MOAT</t>
  </si>
  <si>
    <t xml:space="preserve">Moat Type</t>
  </si>
  <si>
    <t xml:space="preserve">Technological monopoly / Insurmountable barriers to entry</t>
  </si>
  <si>
    <t xml:space="preserve">R&amp;D Investment</t>
  </si>
  <si>
    <t xml:space="preserve">€4.3 billion (2024), ~15% of revenue</t>
  </si>
  <si>
    <t xml:space="preserve">Years to Develop EUV</t>
  </si>
  <si>
    <t xml:space="preserve">30+ years of continuous R&amp;D</t>
  </si>
  <si>
    <t xml:space="preserve">Key Components</t>
  </si>
  <si>
    <t xml:space="preserve">800+ specialized suppliers globally</t>
  </si>
  <si>
    <t xml:space="preserve">Patent Portfolio</t>
  </si>
  <si>
    <t xml:space="preserve">Extensive IP protection around EUV technology</t>
  </si>
  <si>
    <t xml:space="preserve">GEOGRAPHIC REVENUE MIX (2024)</t>
  </si>
  <si>
    <t xml:space="preserve">Taiwan</t>
  </si>
  <si>
    <t xml:space="preserve">~30% (TSMC)</t>
  </si>
  <si>
    <t xml:space="preserve">China</t>
  </si>
  <si>
    <t xml:space="preserve">~27% (declining due to export restrictions)</t>
  </si>
  <si>
    <t xml:space="preserve">South Korea</t>
  </si>
  <si>
    <t xml:space="preserve">~25% (Samsung, SK Hynix)</t>
  </si>
  <si>
    <t xml:space="preserve">USA</t>
  </si>
  <si>
    <t xml:space="preserve">~12% (Intel)</t>
  </si>
  <si>
    <t xml:space="preserve">Europe &amp; Other</t>
  </si>
  <si>
    <t xml:space="preserve">~6%</t>
  </si>
  <si>
    <t xml:space="preserve">KEY RISKS</t>
  </si>
  <si>
    <t xml:space="preserve">Geopolitical</t>
  </si>
  <si>
    <t xml:space="preserve">US-China tensions, export restrictions to China</t>
  </si>
  <si>
    <t xml:space="preserve">Concentration</t>
  </si>
  <si>
    <t xml:space="preserve">Top 3 customers &gt;75% of revenue</t>
  </si>
  <si>
    <t xml:space="preserve">Cyclicality</t>
  </si>
  <si>
    <t xml:space="preserve">Semiconductor industry is cyclical</t>
  </si>
  <si>
    <t xml:space="preserve">Technology</t>
  </si>
  <si>
    <t xml:space="preserve">Long-term risk from alternative technologies (3D chips)</t>
  </si>
  <si>
    <t xml:space="preserve">Regulatory</t>
  </si>
  <si>
    <t xml:space="preserve">Dutch government export controls</t>
  </si>
  <si>
    <t xml:space="preserve">ASML - Investment Thesis &amp; Key Takeaways</t>
  </si>
  <si>
    <t xml:space="preserve">BULL CASE</t>
  </si>
  <si>
    <t xml:space="preserve">1. Monopoly Position</t>
  </si>
  <si>
    <t xml:space="preserve">ASML is the ONLY company that can manufacture EUV lithography machines. This represents one of the strongest competitive moats in the technology sector.</t>
  </si>
  <si>
    <t xml:space="preserve">2. AI Demand Tailwind</t>
  </si>
  <si>
    <t xml:space="preserve">The AI revolution requires cutting-edge chips (3nm, 2nm, sub-2nm) that can only be made with EUV technology. Every major AI chip uses ASML equipment.</t>
  </si>
  <si>
    <t xml:space="preserve">3. High Barriers to Entry</t>
  </si>
  <si>
    <t xml:space="preserve">30+ years of R&amp;D, 800+ specialized suppliers, thousands of patents, and irreplaceable engineering talent make competition impossible.</t>
  </si>
  <si>
    <t xml:space="preserve">4. Pricing Power</t>
  </si>
  <si>
    <t xml:space="preserve">EUV machines cost €200-400M each with no alternatives. ASML has exceptional pricing power reflected in 51%+ gross margins.</t>
  </si>
  <si>
    <t xml:space="preserve">5. Recurring Revenue</t>
  </si>
  <si>
    <t xml:space="preserve">~25% of revenue comes from service/maintenance contracts, providing stable recurring income.</t>
  </si>
  <si>
    <t xml:space="preserve">6. High NA EUV Ramp</t>
  </si>
  <si>
    <t xml:space="preserve">Next-generation High NA EUV machines (€350M+) are ramping, enabling even more advanced chips.</t>
  </si>
  <si>
    <t xml:space="preserve">BEAR CASE</t>
  </si>
  <si>
    <t xml:space="preserve">1. China Export Restrictions</t>
  </si>
  <si>
    <t xml:space="preserve">US pressure is limiting sales to China (~27% of revenue), which may decline significantly in 2026+.</t>
  </si>
  <si>
    <t xml:space="preserve">2. Cyclical Industry</t>
  </si>
  <si>
    <t xml:space="preserve">Semiconductor equipment is highly cyclical; demand can drop sharply during downturns.</t>
  </si>
  <si>
    <t xml:space="preserve">3. Customer Concentration</t>
  </si>
  <si>
    <t xml:space="preserve">Top 3 customers (TSMC, Samsung, Intel) represent &gt;75% of sales.</t>
  </si>
  <si>
    <t xml:space="preserve">4. Valuation Premium</t>
  </si>
  <si>
    <t xml:space="preserve">Stock trades at ~35x forward P/E, a significant premium to semi equipment peers.</t>
  </si>
  <si>
    <t xml:space="preserve">5. Long-Term Tech Risk</t>
  </si>
  <si>
    <t xml:space="preserve">Alternative technologies (e.g., 3D chip architectures) could eventually reduce reliance on lithography.</t>
  </si>
  <si>
    <t xml:space="preserve">6. xLight Competition</t>
  </si>
  <si>
    <t xml:space="preserve">US-backed xLight is developing alternative EUV light sources (long-term risk).</t>
  </si>
  <si>
    <t xml:space="preserve">KEY FINANCIAL HIGHLIGHTS</t>
  </si>
  <si>
    <t xml:space="preserve">Revenue CAGR (5yr)</t>
  </si>
  <si>
    <t xml:space="preserve">~15% (2020-2024)</t>
  </si>
  <si>
    <t xml:space="preserve">Gross Margin</t>
  </si>
  <si>
    <t xml:space="preserve">~51% (2024)</t>
  </si>
  <si>
    <t xml:space="preserve">Operating Margin</t>
  </si>
  <si>
    <t xml:space="preserve">~32% (2024)</t>
  </si>
  <si>
    <t xml:space="preserve">Free Cash Flow Margin</t>
  </si>
  <si>
    <t xml:space="preserve">ROE</t>
  </si>
  <si>
    <t xml:space="preserve">~54%</t>
  </si>
  <si>
    <t xml:space="preserve">ROIC</t>
  </si>
  <si>
    <t xml:space="preserve">~33%</t>
  </si>
  <si>
    <t xml:space="preserve">Dividend Yield</t>
  </si>
  <si>
    <t xml:space="preserve">~0.7%</t>
  </si>
  <si>
    <t xml:space="preserve">2030 GUIDANCE (Investor Day)</t>
  </si>
  <si>
    <t xml:space="preserve">Revenue Target</t>
  </si>
  <si>
    <t xml:space="preserve">€44-60 billion (vs €28.3B in 2024)</t>
  </si>
  <si>
    <t xml:space="preserve">Implied CAGR</t>
  </si>
  <si>
    <t xml:space="preserve">7.6% to 13.3%</t>
  </si>
  <si>
    <t xml:space="preserve">DCF Implied Value</t>
  </si>
  <si>
    <t xml:space="preserve">See DCF Model sheet</t>
  </si>
  <si>
    <t xml:space="preserve">Current P/E (TTM)</t>
  </si>
  <si>
    <t xml:space="preserve">~43x</t>
  </si>
  <si>
    <t xml:space="preserve">Forward P/E</t>
  </si>
  <si>
    <t xml:space="preserve">~35x</t>
  </si>
  <si>
    <t xml:space="preserve">EV/EBITDA</t>
  </si>
  <si>
    <t xml:space="preserve">~33x</t>
  </si>
  <si>
    <t xml:space="preserve">Analyst Consensus</t>
  </si>
  <si>
    <t xml:space="preserve">Strong Buy (29 Buy, 1 Sell)</t>
  </si>
  <si>
    <t xml:space="preserve">Avg Price Target</t>
  </si>
  <si>
    <t xml:space="preserve">€1,045 / $1,010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</si>
</sst>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"/>
    <numFmt numFmtId="167" formatCode="0.0000"/>
    <numFmt numFmtId="168" formatCode="\€#,##0.00"/>
    <numFmt numFmtId="169" formatCode="\€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2"/>
      <color rgb="FF006400"/>
      <name val="Cambria"/>
      <family val="0"/>
      <charset val="1"/>
    </font>
    <font>
      <b val="true"/>
      <sz val="12"/>
      <color rgb="FF8B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90EE90"/>
        <bgColor rgb="FFC0C0C0"/>
      </patternFill>
    </fill>
    <fill>
      <patternFill patternType="solid">
        <fgColor rgb="FFFFCCCB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0EE90"/>
      <rgbColor rgb="FFFF99CC"/>
      <rgbColor rgb="FFCC99FF"/>
      <rgbColor rgb="FFFFCC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7" customFormat="false" ht="15" hidden="false" customHeight="false" outlineLevel="0" collapsed="false">
      <c r="A7" s="0" t="s">
        <v>4</v>
      </c>
      <c r="B7" s="6" t="n">
        <v>0.15</v>
      </c>
      <c r="C7" s="7" t="s">
        <v>5</v>
      </c>
    </row>
    <row r="8" customFormat="false" ht="15" hidden="false" customHeight="false" outlineLevel="0" collapsed="false">
      <c r="A8" s="0" t="s">
        <v>6</v>
      </c>
      <c r="B8" s="6" t="n">
        <v>0.05</v>
      </c>
      <c r="C8" s="7" t="s">
        <v>7</v>
      </c>
    </row>
    <row r="9" customFormat="false" ht="15" hidden="false" customHeight="false" outlineLevel="0" collapsed="false">
      <c r="A9" s="0" t="s">
        <v>8</v>
      </c>
      <c r="B9" s="6" t="n">
        <v>0.15</v>
      </c>
      <c r="C9" s="7" t="s">
        <v>9</v>
      </c>
    </row>
    <row r="10" customFormat="false" ht="15" hidden="false" customHeight="false" outlineLevel="0" collapsed="false">
      <c r="A10" s="0" t="s">
        <v>10</v>
      </c>
      <c r="B10" s="6" t="n">
        <v>0.12</v>
      </c>
      <c r="C10" s="7" t="s">
        <v>9</v>
      </c>
    </row>
    <row r="11" customFormat="false" ht="15" hidden="false" customHeight="false" outlineLevel="0" collapsed="false">
      <c r="A11" s="0" t="s">
        <v>11</v>
      </c>
      <c r="B11" s="6" t="n">
        <v>0.1</v>
      </c>
      <c r="C11" s="7" t="s">
        <v>9</v>
      </c>
    </row>
    <row r="12" customFormat="false" ht="15" hidden="false" customHeight="false" outlineLevel="0" collapsed="false">
      <c r="A12" s="0" t="s">
        <v>12</v>
      </c>
      <c r="B12" s="6" t="n">
        <v>0.025</v>
      </c>
      <c r="C12" s="7" t="s">
        <v>13</v>
      </c>
    </row>
    <row r="13" customFormat="false" ht="15" hidden="false" customHeight="false" outlineLevel="0" collapsed="false">
      <c r="A13" s="0" t="s">
        <v>14</v>
      </c>
      <c r="B13" s="6" t="n">
        <v>0.079</v>
      </c>
      <c r="C13" s="7" t="s">
        <v>15</v>
      </c>
    </row>
    <row r="14" customFormat="false" ht="15" hidden="false" customHeight="false" outlineLevel="0" collapsed="false">
      <c r="A14" s="0" t="s">
        <v>16</v>
      </c>
      <c r="B14" s="6" t="n">
        <v>0.33</v>
      </c>
      <c r="C14" s="7" t="s">
        <v>17</v>
      </c>
    </row>
    <row r="15" customFormat="false" ht="15" hidden="false" customHeight="false" outlineLevel="0" collapsed="false">
      <c r="A15" s="0" t="s">
        <v>18</v>
      </c>
      <c r="B15" s="6" t="n">
        <v>0.18</v>
      </c>
      <c r="C15" s="7" t="s">
        <v>19</v>
      </c>
    </row>
    <row r="16" customFormat="false" ht="15" hidden="false" customHeight="false" outlineLevel="0" collapsed="false">
      <c r="A16" s="0" t="s">
        <v>20</v>
      </c>
      <c r="B16" s="6" t="n">
        <v>0.03</v>
      </c>
      <c r="C16" s="7" t="s">
        <v>21</v>
      </c>
    </row>
    <row r="17" customFormat="false" ht="15" hidden="false" customHeight="false" outlineLevel="0" collapsed="false">
      <c r="A17" s="0" t="s">
        <v>22</v>
      </c>
      <c r="B17" s="6" t="n">
        <v>0.07</v>
      </c>
      <c r="C17" s="7" t="s">
        <v>23</v>
      </c>
    </row>
    <row r="18" customFormat="false" ht="15" hidden="false" customHeight="false" outlineLevel="0" collapsed="false">
      <c r="A18" s="0" t="s">
        <v>24</v>
      </c>
      <c r="B18" s="6" t="n">
        <v>0.1</v>
      </c>
      <c r="C18" s="7" t="s">
        <v>25</v>
      </c>
    </row>
    <row r="20" customFormat="false" ht="15" hidden="false" customHeight="false" outlineLevel="0" collapsed="false">
      <c r="A20" s="4" t="s">
        <v>26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8"/>
      <c r="B21" s="8" t="s">
        <v>27</v>
      </c>
      <c r="C21" s="8" t="s">
        <v>28</v>
      </c>
      <c r="D21" s="8" t="s">
        <v>29</v>
      </c>
      <c r="E21" s="8" t="s">
        <v>30</v>
      </c>
      <c r="F21" s="8" t="s">
        <v>31</v>
      </c>
    </row>
    <row r="22" customFormat="false" ht="15" hidden="false" customHeight="false" outlineLevel="0" collapsed="false">
      <c r="A22" s="9" t="s">
        <v>32</v>
      </c>
      <c r="B22" s="10" t="n">
        <v>13979</v>
      </c>
      <c r="C22" s="10" t="n">
        <v>18611</v>
      </c>
      <c r="D22" s="10" t="n">
        <v>21173</v>
      </c>
      <c r="E22" s="10" t="n">
        <v>27559</v>
      </c>
      <c r="F22" s="10" t="n">
        <v>28263</v>
      </c>
    </row>
    <row r="23" customFormat="false" ht="15" hidden="false" customHeight="false" outlineLevel="0" collapsed="false">
      <c r="A23" s="9" t="s">
        <v>33</v>
      </c>
      <c r="B23" s="11"/>
      <c r="C23" s="11" t="n">
        <f aca="false">C22/B22-1</f>
        <v>0.33135417411832</v>
      </c>
      <c r="D23" s="11" t="n">
        <f aca="false">D22/C22-1</f>
        <v>0.137660523346408</v>
      </c>
      <c r="E23" s="11" t="n">
        <f aca="false">E22/D22-1</f>
        <v>0.301610541727672</v>
      </c>
      <c r="F23" s="11" t="n">
        <f aca="false">F22/E22-1</f>
        <v>0.0255451939475309</v>
      </c>
    </row>
    <row r="24" customFormat="false" ht="15" hidden="false" customHeight="false" outlineLevel="0" collapsed="false">
      <c r="A24" s="9" t="s">
        <v>34</v>
      </c>
      <c r="B24" s="10" t="n">
        <v>6797</v>
      </c>
      <c r="C24" s="10" t="n">
        <v>9809</v>
      </c>
      <c r="D24" s="10" t="n">
        <v>10700</v>
      </c>
      <c r="E24" s="10" t="n">
        <v>14136</v>
      </c>
      <c r="F24" s="10" t="n">
        <v>14492</v>
      </c>
    </row>
    <row r="25" customFormat="false" ht="15" hidden="false" customHeight="false" outlineLevel="0" collapsed="false">
      <c r="A25" s="9" t="s">
        <v>35</v>
      </c>
      <c r="B25" s="11" t="n">
        <f aca="false">B24/B22</f>
        <v>0.486229344016024</v>
      </c>
      <c r="C25" s="11" t="n">
        <f aca="false">C24/C22</f>
        <v>0.527053892859062</v>
      </c>
      <c r="D25" s="11" t="n">
        <f aca="false">D24/D22</f>
        <v>0.505360600765125</v>
      </c>
      <c r="E25" s="11" t="n">
        <f aca="false">E24/E22</f>
        <v>0.512935883014623</v>
      </c>
      <c r="F25" s="11" t="n">
        <f aca="false">F24/F22</f>
        <v>0.512755192300888</v>
      </c>
    </row>
    <row r="26" customFormat="false" ht="15" hidden="false" customHeight="false" outlineLevel="0" collapsed="false">
      <c r="A26" s="9" t="s">
        <v>36</v>
      </c>
      <c r="B26" s="10" t="n">
        <v>4052</v>
      </c>
      <c r="C26" s="10" t="n">
        <v>6536</v>
      </c>
      <c r="D26" s="10" t="n">
        <v>6501</v>
      </c>
      <c r="E26" s="10" t="n">
        <v>9042</v>
      </c>
      <c r="F26" s="10" t="n">
        <v>9023</v>
      </c>
    </row>
    <row r="27" customFormat="false" ht="15" hidden="false" customHeight="false" outlineLevel="0" collapsed="false">
      <c r="A27" s="9" t="s">
        <v>37</v>
      </c>
      <c r="B27" s="11" t="n">
        <f aca="false">B26/B22</f>
        <v>0.289863366478289</v>
      </c>
      <c r="C27" s="11" t="n">
        <f aca="false">C26/C22</f>
        <v>0.351190156359142</v>
      </c>
      <c r="D27" s="11" t="n">
        <f aca="false">D26/D22</f>
        <v>0.30704198743683</v>
      </c>
      <c r="E27" s="11" t="n">
        <f aca="false">E26/E22</f>
        <v>0.328096084763598</v>
      </c>
      <c r="F27" s="11" t="n">
        <f aca="false">F26/F22</f>
        <v>0.319251317977568</v>
      </c>
    </row>
    <row r="28" customFormat="false" ht="15" hidden="false" customHeight="false" outlineLevel="0" collapsed="false">
      <c r="A28" s="9" t="s">
        <v>38</v>
      </c>
      <c r="B28" s="10" t="n">
        <v>3554</v>
      </c>
      <c r="C28" s="10" t="n">
        <v>5883</v>
      </c>
      <c r="D28" s="10" t="n">
        <v>5624</v>
      </c>
      <c r="E28" s="10" t="n">
        <v>7839</v>
      </c>
      <c r="F28" s="10" t="n">
        <v>7572</v>
      </c>
    </row>
    <row r="29" customFormat="false" ht="15" hidden="false" customHeight="false" outlineLevel="0" collapsed="false">
      <c r="A29" s="9" t="s">
        <v>39</v>
      </c>
      <c r="B29" s="10" t="n">
        <v>475.2</v>
      </c>
      <c r="C29" s="10" t="n">
        <v>454.6</v>
      </c>
      <c r="D29" s="10" t="n">
        <v>580.3</v>
      </c>
      <c r="E29" s="10" t="n">
        <v>656.4</v>
      </c>
      <c r="F29" s="10" t="n">
        <v>838.8</v>
      </c>
    </row>
    <row r="30" customFormat="false" ht="15" hidden="false" customHeight="false" outlineLevel="0" collapsed="false">
      <c r="A30" s="9" t="s">
        <v>40</v>
      </c>
      <c r="B30" s="10" t="n">
        <f aca="false">B26+B29</f>
        <v>4527.2</v>
      </c>
      <c r="C30" s="10" t="n">
        <f aca="false">C26+C29</f>
        <v>6990.6</v>
      </c>
      <c r="D30" s="10" t="n">
        <f aca="false">D26+D29</f>
        <v>7081.3</v>
      </c>
      <c r="E30" s="10" t="n">
        <f aca="false">E26+E29</f>
        <v>9698.4</v>
      </c>
      <c r="F30" s="10" t="n">
        <f aca="false">F26+F29</f>
        <v>9861.8</v>
      </c>
    </row>
    <row r="31" customFormat="false" ht="15" hidden="false" customHeight="false" outlineLevel="0" collapsed="false">
      <c r="A31" s="9" t="s">
        <v>41</v>
      </c>
      <c r="B31" s="10" t="n">
        <v>962</v>
      </c>
      <c r="C31" s="10" t="n">
        <v>900.7</v>
      </c>
      <c r="D31" s="10" t="n">
        <v>1282</v>
      </c>
      <c r="E31" s="10" t="n">
        <v>2156</v>
      </c>
      <c r="F31" s="10" t="n">
        <v>2067</v>
      </c>
    </row>
    <row r="32" customFormat="false" ht="15" hidden="false" customHeight="false" outlineLevel="0" collapsed="false">
      <c r="A32" s="9" t="s">
        <v>42</v>
      </c>
      <c r="B32" s="10" t="n">
        <v>3666</v>
      </c>
      <c r="C32" s="10" t="n">
        <v>9945</v>
      </c>
      <c r="D32" s="10" t="n">
        <v>7205</v>
      </c>
      <c r="E32" s="10" t="n">
        <v>3288</v>
      </c>
      <c r="F32" s="10" t="n">
        <v>9099</v>
      </c>
    </row>
    <row r="33" customFormat="false" ht="15" hidden="false" customHeight="false" outlineLevel="0" collapsed="false">
      <c r="A33" s="9" t="s">
        <v>43</v>
      </c>
      <c r="B33" s="10" t="n">
        <v>4628</v>
      </c>
      <c r="C33" s="10" t="n">
        <v>10846</v>
      </c>
      <c r="D33" s="10" t="n">
        <v>8487</v>
      </c>
      <c r="E33" s="10" t="n">
        <v>5443</v>
      </c>
      <c r="F33" s="10" t="n">
        <v>11166</v>
      </c>
    </row>
    <row r="36" customFormat="false" ht="15" hidden="false" customHeight="false" outlineLevel="0" collapsed="false">
      <c r="A36" s="4" t="s">
        <v>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" hidden="false" customHeight="false" outlineLevel="0" collapsed="false">
      <c r="A37" s="8"/>
      <c r="B37" s="8" t="s">
        <v>45</v>
      </c>
      <c r="C37" s="8" t="s">
        <v>46</v>
      </c>
      <c r="D37" s="8" t="s">
        <v>47</v>
      </c>
      <c r="E37" s="8" t="s">
        <v>48</v>
      </c>
      <c r="F37" s="8" t="s">
        <v>49</v>
      </c>
      <c r="G37" s="8" t="s">
        <v>50</v>
      </c>
      <c r="H37" s="8" t="s">
        <v>51</v>
      </c>
    </row>
    <row r="38" customFormat="false" ht="15" hidden="false" customHeight="false" outlineLevel="0" collapsed="false">
      <c r="A38" s="12"/>
      <c r="B38" s="12" t="s">
        <v>52</v>
      </c>
      <c r="C38" s="12" t="s">
        <v>53</v>
      </c>
      <c r="D38" s="12" t="s">
        <v>54</v>
      </c>
      <c r="E38" s="12" t="s">
        <v>55</v>
      </c>
      <c r="F38" s="12" t="s">
        <v>56</v>
      </c>
      <c r="G38" s="12" t="s">
        <v>57</v>
      </c>
      <c r="H38" s="12" t="s">
        <v>58</v>
      </c>
    </row>
    <row r="39" customFormat="false" ht="15" hidden="false" customHeight="false" outlineLevel="0" collapsed="false">
      <c r="A39" s="9" t="s">
        <v>32</v>
      </c>
      <c r="B39" s="13" t="n">
        <v>28263</v>
      </c>
      <c r="C39" s="13" t="n">
        <f aca="false">B39*(1+$B$7)</f>
        <v>32502.45</v>
      </c>
      <c r="D39" s="13" t="n">
        <f aca="false">C39*(1+$B$8)</f>
        <v>34127.5725</v>
      </c>
      <c r="E39" s="13" t="n">
        <f aca="false">D39*(1+$B$9)</f>
        <v>39246.708375</v>
      </c>
      <c r="F39" s="13" t="n">
        <f aca="false">E39*(1+$B$10)</f>
        <v>43956.31338</v>
      </c>
      <c r="G39" s="13" t="n">
        <f aca="false">F39*(1+$B$11)</f>
        <v>48351.944718</v>
      </c>
      <c r="H39" s="13" t="n">
        <f aca="false">G39*(1+$B$12)</f>
        <v>49560.74333595</v>
      </c>
    </row>
    <row r="40" customFormat="false" ht="15" hidden="false" customHeight="false" outlineLevel="0" collapsed="false">
      <c r="A40" s="9" t="s">
        <v>33</v>
      </c>
      <c r="B40" s="14"/>
      <c r="C40" s="14" t="s">
        <v>59</v>
      </c>
      <c r="D40" s="14" t="s">
        <v>60</v>
      </c>
      <c r="E40" s="14" t="s">
        <v>61</v>
      </c>
      <c r="F40" s="14" t="s">
        <v>62</v>
      </c>
      <c r="G40" s="14" t="s">
        <v>63</v>
      </c>
      <c r="H40" s="14" t="s">
        <v>64</v>
      </c>
    </row>
    <row r="41" customFormat="false" ht="15" hidden="false" customHeight="false" outlineLevel="0" collapsed="false">
      <c r="A41" s="9" t="s">
        <v>65</v>
      </c>
      <c r="B41" s="13" t="n">
        <f aca="false">B39*$B$14</f>
        <v>9326.79</v>
      </c>
      <c r="C41" s="13" t="n">
        <f aca="false">C39*$B$14</f>
        <v>10725.8085</v>
      </c>
      <c r="D41" s="13" t="n">
        <f aca="false">D39*$B$14</f>
        <v>11262.098925</v>
      </c>
      <c r="E41" s="13" t="n">
        <f aca="false">E39*$B$14</f>
        <v>12951.41376375</v>
      </c>
      <c r="F41" s="13" t="n">
        <f aca="false">F39*$B$14</f>
        <v>14505.5834154</v>
      </c>
      <c r="G41" s="13" t="n">
        <f aca="false">G39*$B$14</f>
        <v>15956.14175694</v>
      </c>
      <c r="H41" s="13" t="n">
        <f aca="false">H39*$B$14</f>
        <v>16355.0453008635</v>
      </c>
    </row>
    <row r="42" customFormat="false" ht="15" hidden="false" customHeight="false" outlineLevel="0" collapsed="false">
      <c r="A42" s="9" t="s">
        <v>37</v>
      </c>
      <c r="B42" s="14" t="s">
        <v>66</v>
      </c>
      <c r="C42" s="14" t="s">
        <v>66</v>
      </c>
      <c r="D42" s="14" t="s">
        <v>66</v>
      </c>
      <c r="E42" s="14" t="s">
        <v>66</v>
      </c>
      <c r="F42" s="14" t="s">
        <v>66</v>
      </c>
      <c r="G42" s="14" t="s">
        <v>66</v>
      </c>
      <c r="H42" s="14" t="s">
        <v>66</v>
      </c>
    </row>
    <row r="43" customFormat="false" ht="15" hidden="false" customHeight="false" outlineLevel="0" collapsed="false">
      <c r="A43" s="9" t="s">
        <v>67</v>
      </c>
      <c r="B43" s="13" t="n">
        <f aca="false">B41*$B$15</f>
        <v>1678.8222</v>
      </c>
      <c r="C43" s="13" t="n">
        <f aca="false">C41*$B$15</f>
        <v>1930.64553</v>
      </c>
      <c r="D43" s="13" t="n">
        <f aca="false">D41*$B$15</f>
        <v>2027.1778065</v>
      </c>
      <c r="E43" s="13" t="n">
        <f aca="false">E41*$B$15</f>
        <v>2331.254477475</v>
      </c>
      <c r="F43" s="13" t="n">
        <f aca="false">F41*$B$15</f>
        <v>2611.005014772</v>
      </c>
      <c r="G43" s="13" t="n">
        <f aca="false">G41*$B$15</f>
        <v>2872.1055162492</v>
      </c>
      <c r="H43" s="13" t="n">
        <f aca="false">H41*$B$15</f>
        <v>2943.90815415543</v>
      </c>
    </row>
    <row r="44" customFormat="false" ht="15" hidden="false" customHeight="false" outlineLevel="0" collapsed="false">
      <c r="A44" s="9" t="s">
        <v>68</v>
      </c>
      <c r="B44" s="13" t="n">
        <f aca="false">B41-B43</f>
        <v>7647.9678</v>
      </c>
      <c r="C44" s="13" t="n">
        <f aca="false">C41-C43</f>
        <v>8795.16297</v>
      </c>
      <c r="D44" s="13" t="n">
        <f aca="false">D41-D43</f>
        <v>9234.9211185</v>
      </c>
      <c r="E44" s="13" t="n">
        <f aca="false">E41-E43</f>
        <v>10620.159286275</v>
      </c>
      <c r="F44" s="13" t="n">
        <f aca="false">F41-F43</f>
        <v>11894.578400628</v>
      </c>
      <c r="G44" s="13" t="n">
        <f aca="false">G41-G43</f>
        <v>13084.0362406908</v>
      </c>
      <c r="H44" s="13" t="n">
        <f aca="false">H41-H43</f>
        <v>13411.1371467081</v>
      </c>
    </row>
    <row r="45" customFormat="false" ht="15" hidden="false" customHeight="false" outlineLevel="0" collapsed="false">
      <c r="A45" s="9" t="s">
        <v>69</v>
      </c>
      <c r="B45" s="13" t="n">
        <f aca="false">B39*$B$16</f>
        <v>847.89</v>
      </c>
      <c r="C45" s="13" t="n">
        <f aca="false">C39*$B$16</f>
        <v>975.0735</v>
      </c>
      <c r="D45" s="13" t="n">
        <f aca="false">D39*$B$16</f>
        <v>1023.827175</v>
      </c>
      <c r="E45" s="13" t="n">
        <f aca="false">E39*$B$16</f>
        <v>1177.40125125</v>
      </c>
      <c r="F45" s="13" t="n">
        <f aca="false">F39*$B$16</f>
        <v>1318.6894014</v>
      </c>
      <c r="G45" s="13" t="n">
        <f aca="false">G39*$B$16</f>
        <v>1450.55834154</v>
      </c>
      <c r="H45" s="13" t="n">
        <f aca="false">H39*$B$16</f>
        <v>1486.8223000785</v>
      </c>
    </row>
    <row r="46" customFormat="false" ht="15" hidden="false" customHeight="false" outlineLevel="0" collapsed="false">
      <c r="A46" s="9" t="s">
        <v>70</v>
      </c>
      <c r="B46" s="13" t="n">
        <f aca="false">B39*$B$17</f>
        <v>1978.41</v>
      </c>
      <c r="C46" s="13" t="n">
        <f aca="false">C39*$B$17</f>
        <v>2275.1715</v>
      </c>
      <c r="D46" s="13" t="n">
        <f aca="false">D39*$B$17</f>
        <v>2388.930075</v>
      </c>
      <c r="E46" s="13" t="n">
        <f aca="false">E39*$B$17</f>
        <v>2747.26958625</v>
      </c>
      <c r="F46" s="13" t="n">
        <f aca="false">F39*$B$17</f>
        <v>3076.9419366</v>
      </c>
      <c r="G46" s="13" t="n">
        <f aca="false">G39*$B$17</f>
        <v>3384.63613026</v>
      </c>
      <c r="H46" s="13" t="n">
        <f aca="false">H39*$B$17</f>
        <v>3469.2520335165</v>
      </c>
    </row>
    <row r="47" customFormat="false" ht="15" hidden="false" customHeight="false" outlineLevel="0" collapsed="false">
      <c r="A47" s="9" t="s">
        <v>71</v>
      </c>
      <c r="B47" s="13" t="n">
        <v>0</v>
      </c>
      <c r="C47" s="13" t="n">
        <f aca="false">(C39-B39)*$B$18</f>
        <v>423.945</v>
      </c>
      <c r="D47" s="13" t="n">
        <f aca="false">(D39-C39)*$B$18</f>
        <v>162.51225</v>
      </c>
      <c r="E47" s="13" t="n">
        <f aca="false">(E39-D39)*$B$18</f>
        <v>511.913587499999</v>
      </c>
      <c r="F47" s="13" t="n">
        <f aca="false">(F39-E39)*$B$18</f>
        <v>470.960500500001</v>
      </c>
      <c r="G47" s="13" t="n">
        <f aca="false">(G39-F39)*$B$18</f>
        <v>439.563133800001</v>
      </c>
      <c r="H47" s="13" t="n">
        <f aca="false">(H39-G39)*$B$18</f>
        <v>120.879861794999</v>
      </c>
    </row>
    <row r="48" customFormat="false" ht="15" hidden="false" customHeight="false" outlineLevel="0" collapsed="false">
      <c r="A48" s="9" t="s">
        <v>72</v>
      </c>
      <c r="B48" s="13" t="n">
        <f aca="false">B44+B45-B46-B47</f>
        <v>6517.4478</v>
      </c>
      <c r="C48" s="13" t="n">
        <f aca="false">C44+C45-C46-C47</f>
        <v>7071.11997</v>
      </c>
      <c r="D48" s="13" t="n">
        <f aca="false">D44+D45-D46-D47</f>
        <v>7707.3059685</v>
      </c>
      <c r="E48" s="13" t="n">
        <f aca="false">E44+E45-E46-E47</f>
        <v>8538.377363775</v>
      </c>
      <c r="F48" s="13" t="n">
        <f aca="false">F44+F45-F46-F47</f>
        <v>9665.365364928</v>
      </c>
      <c r="G48" s="13" t="n">
        <f aca="false">G44+G45-G46-G47</f>
        <v>10710.3953181708</v>
      </c>
      <c r="H48" s="13"/>
    </row>
    <row r="49" customFormat="false" ht="15" hidden="false" customHeight="false" outlineLevel="0" collapsed="false">
      <c r="A49" s="9" t="s">
        <v>73</v>
      </c>
      <c r="B49" s="15"/>
      <c r="C49" s="15" t="n">
        <v>1</v>
      </c>
      <c r="D49" s="15" t="n">
        <v>2</v>
      </c>
      <c r="E49" s="15" t="n">
        <v>3</v>
      </c>
      <c r="F49" s="15" t="n">
        <v>4</v>
      </c>
      <c r="G49" s="15" t="n">
        <v>5</v>
      </c>
      <c r="H49" s="15"/>
    </row>
    <row r="50" customFormat="false" ht="15" hidden="false" customHeight="false" outlineLevel="0" collapsed="false">
      <c r="A50" s="9" t="s">
        <v>74</v>
      </c>
      <c r="B50" s="16"/>
      <c r="C50" s="16" t="n">
        <f aca="false">1/(1+$B$13)^C49</f>
        <v>0.92678405931418</v>
      </c>
      <c r="D50" s="16" t="n">
        <f aca="false">1/(1+$B$13)^D49</f>
        <v>0.858928692598869</v>
      </c>
      <c r="E50" s="16" t="n">
        <f aca="false">1/(1+$B$13)^E49</f>
        <v>0.796041420388201</v>
      </c>
      <c r="F50" s="16" t="n">
        <f aca="false">1/(1+$B$13)^F49</f>
        <v>0.737758498969603</v>
      </c>
      <c r="G50" s="16" t="n">
        <f aca="false">1/(1+$B$13)^G49</f>
        <v>0.683742816468585</v>
      </c>
      <c r="H50" s="16"/>
    </row>
    <row r="51" customFormat="false" ht="15" hidden="false" customHeight="false" outlineLevel="0" collapsed="false">
      <c r="A51" s="9" t="s">
        <v>75</v>
      </c>
      <c r="B51" s="13"/>
      <c r="C51" s="13" t="n">
        <f aca="false">C48*C50</f>
        <v>6553.40126969416</v>
      </c>
      <c r="D51" s="13" t="n">
        <f aca="false">D48*D50</f>
        <v>6620.02623898317</v>
      </c>
      <c r="E51" s="13" t="n">
        <f aca="false">E48*E50</f>
        <v>6796.90204446991</v>
      </c>
      <c r="F51" s="13" t="n">
        <f aca="false">F48*F50</f>
        <v>7130.70544362207</v>
      </c>
      <c r="G51" s="13" t="n">
        <f aca="false">G48*G50</f>
        <v>7323.15586033805</v>
      </c>
      <c r="H51" s="13"/>
    </row>
    <row r="53" customFormat="false" ht="15" hidden="false" customHeight="false" outlineLevel="0" collapsed="false">
      <c r="A53" s="4" t="s">
        <v>76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15" hidden="false" customHeight="false" outlineLevel="0" collapsed="false">
      <c r="A54" s="9" t="s">
        <v>77</v>
      </c>
      <c r="B54" s="13" t="n">
        <f aca="false">G48</f>
        <v>10710.3953181708</v>
      </c>
    </row>
    <row r="55" customFormat="false" ht="15" hidden="false" customHeight="false" outlineLevel="0" collapsed="false">
      <c r="A55" s="9" t="s">
        <v>12</v>
      </c>
      <c r="B55" s="14" t="n">
        <f aca="false">$B$12</f>
        <v>0.025</v>
      </c>
    </row>
    <row r="56" customFormat="false" ht="15" hidden="false" customHeight="false" outlineLevel="0" collapsed="false">
      <c r="A56" s="9" t="s">
        <v>78</v>
      </c>
      <c r="B56" s="14" t="n">
        <f aca="false">$B$13</f>
        <v>0.079</v>
      </c>
    </row>
    <row r="57" customFormat="false" ht="15" hidden="false" customHeight="false" outlineLevel="0" collapsed="false">
      <c r="A57" s="9" t="s">
        <v>79</v>
      </c>
      <c r="B57" s="13" t="n">
        <f aca="false">B54*(1+B55)/($B$13-$B$12)</f>
        <v>203299.170391205</v>
      </c>
    </row>
    <row r="58" customFormat="false" ht="15" hidden="false" customHeight="false" outlineLevel="0" collapsed="false">
      <c r="A58" s="9" t="s">
        <v>80</v>
      </c>
      <c r="B58" s="16" t="n">
        <f aca="false">G50</f>
        <v>0.683742816468585</v>
      </c>
    </row>
    <row r="59" customFormat="false" ht="15" hidden="false" customHeight="false" outlineLevel="0" collapsed="false">
      <c r="A59" s="9" t="s">
        <v>81</v>
      </c>
      <c r="B59" s="13" t="n">
        <f aca="false">B57*B58</f>
        <v>139004.347349009</v>
      </c>
    </row>
    <row r="61" customFormat="false" ht="15" hidden="false" customHeight="false" outlineLevel="0" collapsed="false">
      <c r="A61" s="4" t="s">
        <v>82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5" hidden="false" customHeight="false" outlineLevel="0" collapsed="false">
      <c r="A62" s="9" t="s">
        <v>83</v>
      </c>
      <c r="B62" s="13" t="n">
        <f aca="false">SUM(C51:G51)</f>
        <v>34424.1908571074</v>
      </c>
    </row>
    <row r="63" customFormat="false" ht="15" hidden="false" customHeight="false" outlineLevel="0" collapsed="false">
      <c r="A63" s="9" t="s">
        <v>81</v>
      </c>
      <c r="B63" s="13" t="n">
        <f aca="false">B59</f>
        <v>139004.347349009</v>
      </c>
    </row>
    <row r="64" customFormat="false" ht="15" hidden="false" customHeight="false" outlineLevel="0" collapsed="false">
      <c r="A64" s="9" t="s">
        <v>84</v>
      </c>
      <c r="B64" s="17" t="n">
        <f aca="false">B62+B63</f>
        <v>173428.538206117</v>
      </c>
    </row>
    <row r="65" customFormat="false" ht="15" hidden="false" customHeight="false" outlineLevel="0" collapsed="false">
      <c r="A65" s="9" t="s">
        <v>85</v>
      </c>
      <c r="B65" s="18" t="n">
        <v>-4160</v>
      </c>
    </row>
    <row r="66" customFormat="false" ht="15" hidden="false" customHeight="false" outlineLevel="0" collapsed="false">
      <c r="A66" s="9" t="s">
        <v>86</v>
      </c>
      <c r="B66" s="17" t="n">
        <f aca="false">B64-B65</f>
        <v>177588.538206117</v>
      </c>
    </row>
    <row r="67" customFormat="false" ht="15" hidden="false" customHeight="false" outlineLevel="0" collapsed="false">
      <c r="A67" s="9" t="s">
        <v>87</v>
      </c>
      <c r="B67" s="18" t="n">
        <v>390</v>
      </c>
    </row>
    <row r="68" customFormat="false" ht="15" hidden="false" customHeight="false" outlineLevel="0" collapsed="false">
      <c r="A68" s="9" t="s">
        <v>88</v>
      </c>
      <c r="B68" s="19" t="n">
        <f aca="false">B66/B67</f>
        <v>455.35522616953</v>
      </c>
    </row>
    <row r="69" customFormat="false" ht="15" hidden="false" customHeight="false" outlineLevel="0" collapsed="false">
      <c r="A69" s="9" t="s">
        <v>89</v>
      </c>
      <c r="B69" s="18" t="n">
        <v>700</v>
      </c>
    </row>
    <row r="70" customFormat="false" ht="15" hidden="false" customHeight="false" outlineLevel="0" collapsed="false">
      <c r="A70" s="9" t="s">
        <v>90</v>
      </c>
      <c r="B70" s="20" t="n">
        <f aca="false">B68/B69-1</f>
        <v>-0.349492534043529</v>
      </c>
    </row>
    <row r="72" customFormat="false" ht="15" hidden="false" customHeight="false" outlineLevel="0" collapsed="false">
      <c r="A72" s="4" t="s">
        <v>91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customFormat="false" ht="15" hidden="false" customHeight="false" outlineLevel="0" collapsed="false">
      <c r="B73" s="9" t="s">
        <v>78</v>
      </c>
      <c r="C73" s="21" t="n">
        <v>0.069</v>
      </c>
      <c r="D73" s="21" t="n">
        <v>0.074</v>
      </c>
      <c r="E73" s="21" t="n">
        <v>0.079</v>
      </c>
      <c r="F73" s="21" t="n">
        <v>0.084</v>
      </c>
      <c r="G73" s="21" t="n">
        <v>0.089</v>
      </c>
    </row>
    <row r="74" customFormat="false" ht="15" hidden="false" customHeight="false" outlineLevel="0" collapsed="false">
      <c r="A74" s="9" t="s">
        <v>12</v>
      </c>
      <c r="B74" s="21" t="n">
        <v>0.015</v>
      </c>
      <c r="C74" s="22" t="n">
        <f aca="false">($B$62+$G$48*(1+0.015)/(0.069-0.015)*1/(1+0.069)^5-$B$65)/$B$67</f>
        <v>468.697843108821</v>
      </c>
      <c r="D74" s="22" t="n">
        <f aca="false">($B$62+$G$48*(1+0.015)/(0.074-0.015)*1/(1+0.074)^5-$B$65)/$B$67</f>
        <v>429.557169354327</v>
      </c>
      <c r="E74" s="22" t="n">
        <f aca="false">($B$62+$G$48*(1+0.015)/(0.079-0.015)*1/(1+0.079)^5-$B$65)/$B$67</f>
        <v>396.730425204246</v>
      </c>
      <c r="F74" s="22" t="n">
        <f aca="false">($B$62+$G$48*(1+0.015)/(0.084-0.015)*1/(1+0.084)^5-$B$65)/$B$67</f>
        <v>368.839136157647</v>
      </c>
      <c r="G74" s="22" t="n">
        <f aca="false">($B$62+$G$48*(1+0.015)/(0.089-0.015)*1/(1+0.089)^5-$B$65)/$B$67</f>
        <v>344.877587966948</v>
      </c>
    </row>
    <row r="75" customFormat="false" ht="15" hidden="false" customHeight="false" outlineLevel="0" collapsed="false">
      <c r="B75" s="21" t="n">
        <v>0.02</v>
      </c>
      <c r="C75" s="22" t="n">
        <f aca="false">($B$62+$G$48*(1+0.02)/(0.069-0.02)*1/(1+0.069)^5-$B$65)/$B$67</f>
        <v>508.436230341732</v>
      </c>
      <c r="D75" s="22" t="n">
        <f aca="false">($B$62+$G$48*(1+0.02)/(0.074-0.02)*1/(1+0.074)^5-$B$65)/$B$67</f>
        <v>461.949932928076</v>
      </c>
      <c r="E75" s="22" t="n">
        <f aca="false">($B$62+$G$48*(1+0.02)/(0.079-0.02)*1/(1+0.079)^5-$B$65)/$B$67</f>
        <v>423.558723951071</v>
      </c>
      <c r="F75" s="22" t="n">
        <f aca="false">($B$62+$G$48*(1+0.02)/(0.084-0.02)*1/(1+0.084)^5-$B$65)/$B$67</f>
        <v>391.358945253758</v>
      </c>
      <c r="G75" s="22" t="n">
        <f aca="false">($B$62+$G$48*(1+0.02)/(0.089-0.02)*1/(1+0.089)^5-$B$65)/$B$67</f>
        <v>363.998938746147</v>
      </c>
    </row>
    <row r="76" customFormat="false" ht="15" hidden="false" customHeight="false" outlineLevel="0" collapsed="false">
      <c r="B76" s="21" t="n">
        <v>0.025</v>
      </c>
      <c r="C76" s="22" t="n">
        <f aca="false">($B$62+$G$48*(1+0.025)/(0.069-0.025)*1/(1+0.069)^5-$B$65)/$B$67</f>
        <v>557.206069218487</v>
      </c>
      <c r="D76" s="22" t="n">
        <f aca="false">($B$62+$G$48*(1+0.025)/(0.074-0.025)*1/(1+0.074)^5-$B$65)/$B$67</f>
        <v>500.953464578101</v>
      </c>
      <c r="E76" s="23" t="n">
        <f aca="false">($B$62+$G$48*(1+0.025)/(0.079-0.025)*1/(1+0.079)^5-$B$65)/$B$67</f>
        <v>455.35522616953</v>
      </c>
      <c r="F76" s="22" t="n">
        <f aca="false">($B$62+$G$48*(1+0.025)/(0.084-0.025)*1/(1+0.084)^5-$B$65)/$B$67</f>
        <v>417.69567114582</v>
      </c>
      <c r="G76" s="22" t="n">
        <f aca="false">($B$62+$G$48*(1+0.025)/(0.089-0.025)*1/(1+0.089)^5-$B$65)/$B$67</f>
        <v>386.108000584595</v>
      </c>
    </row>
    <row r="77" customFormat="false" ht="15" hidden="false" customHeight="false" outlineLevel="0" collapsed="false">
      <c r="B77" s="21" t="n">
        <v>0.03</v>
      </c>
      <c r="C77" s="22" t="n">
        <f aca="false">($B$62+$G$48*(1+0.03)/(0.069-0.03)*1/(1+0.069)^5-$B$65)/$B$67</f>
        <v>618.480994986718</v>
      </c>
      <c r="D77" s="22" t="n">
        <f aca="false">($B$62+$G$48*(1+0.03)/(0.074-0.03)*1/(1+0.074)^5-$B$65)/$B$67</f>
        <v>548.821435239494</v>
      </c>
      <c r="E77" s="22" t="n">
        <f aca="false">($B$62+$G$48*(1+0.03)/(0.079-0.03)*1/(1+0.079)^5-$B$65)/$B$67</f>
        <v>493.640810473388</v>
      </c>
      <c r="F77" s="22" t="n">
        <f aca="false">($B$62+$G$48*(1+0.03)/(0.084-0.03)*1/(1+0.084)^5-$B$65)/$B$67</f>
        <v>448.909568499375</v>
      </c>
      <c r="G77" s="22" t="n">
        <f aca="false">($B$62+$G$48*(1+0.03)/(0.089-0.03)*1/(1+0.089)^5-$B$65)/$B$67</f>
        <v>411.96436103973</v>
      </c>
    </row>
    <row r="78" customFormat="false" ht="15" hidden="false" customHeight="false" outlineLevel="0" collapsed="false">
      <c r="B78" s="21" t="n">
        <v>0.035</v>
      </c>
      <c r="C78" s="22" t="n">
        <f aca="false">($B$62+$G$48*(1+0.035)/(0.069-0.035)*1/(1+0.069)^5-$B$65)/$B$67</f>
        <v>697.777957745605</v>
      </c>
      <c r="D78" s="22" t="n">
        <f aca="false">($B$62+$G$48*(1+0.035)/(0.074-0.035)*1/(1+0.074)^5-$B$65)/$B$67</f>
        <v>608.963244532014</v>
      </c>
      <c r="E78" s="22" t="n">
        <f aca="false">($B$62+$G$48*(1+0.035)/(0.079-0.035)*1/(1+0.079)^5-$B$65)/$B$67</f>
        <v>540.627663937214</v>
      </c>
      <c r="F78" s="22" t="n">
        <f aca="false">($B$62+$G$48*(1+0.035)/(0.084-0.035)*1/(1+0.084)^5-$B$65)/$B$67</f>
        <v>486.493648986308</v>
      </c>
      <c r="G78" s="22" t="n">
        <f aca="false">($B$62+$G$48*(1+0.035)/(0.089-0.035)*1/(1+0.089)^5-$B$65)/$B$67</f>
        <v>442.608936393964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92</v>
      </c>
      <c r="B1" s="1"/>
      <c r="C1" s="1"/>
      <c r="D1" s="1"/>
    </row>
    <row r="4" customFormat="false" ht="15" hidden="false" customHeight="false" outlineLevel="0" collapsed="false">
      <c r="A4" s="24" t="s">
        <v>93</v>
      </c>
      <c r="B4" s="25"/>
    </row>
    <row r="5" customFormat="false" ht="15" hidden="false" customHeight="false" outlineLevel="0" collapsed="false">
      <c r="A5" s="9" t="s">
        <v>94</v>
      </c>
      <c r="B5" s="26" t="s">
        <v>95</v>
      </c>
    </row>
    <row r="6" customFormat="false" ht="15" hidden="false" customHeight="false" outlineLevel="0" collapsed="false">
      <c r="A6" s="9" t="s">
        <v>96</v>
      </c>
      <c r="B6" s="26" t="s">
        <v>97</v>
      </c>
    </row>
    <row r="7" customFormat="false" ht="15" hidden="false" customHeight="false" outlineLevel="0" collapsed="false">
      <c r="A7" s="9" t="s">
        <v>98</v>
      </c>
      <c r="B7" s="26" t="s">
        <v>99</v>
      </c>
    </row>
    <row r="8" customFormat="false" ht="15" hidden="false" customHeight="false" outlineLevel="0" collapsed="false">
      <c r="A8" s="9" t="s">
        <v>100</v>
      </c>
      <c r="B8" s="26" t="s">
        <v>101</v>
      </c>
    </row>
    <row r="9" customFormat="false" ht="15" hidden="false" customHeight="false" outlineLevel="0" collapsed="false">
      <c r="A9" s="9" t="s">
        <v>102</v>
      </c>
      <c r="B9" s="26" t="s">
        <v>103</v>
      </c>
    </row>
    <row r="10" customFormat="false" ht="15" hidden="false" customHeight="false" outlineLevel="0" collapsed="false">
      <c r="A10" s="9" t="s">
        <v>104</v>
      </c>
      <c r="B10" s="26" t="s">
        <v>105</v>
      </c>
    </row>
    <row r="11" customFormat="false" ht="15" hidden="false" customHeight="false" outlineLevel="0" collapsed="false">
      <c r="A11" s="9" t="s">
        <v>106</v>
      </c>
      <c r="B11" s="26" t="s">
        <v>107</v>
      </c>
    </row>
    <row r="13" customFormat="false" ht="15" hidden="false" customHeight="false" outlineLevel="0" collapsed="false">
      <c r="A13" s="24" t="s">
        <v>108</v>
      </c>
      <c r="B13" s="25"/>
    </row>
    <row r="14" customFormat="false" ht="15" hidden="false" customHeight="false" outlineLevel="0" collapsed="false">
      <c r="A14" s="9" t="s">
        <v>109</v>
      </c>
      <c r="B14" s="26" t="s">
        <v>110</v>
      </c>
    </row>
    <row r="15" customFormat="false" ht="15" hidden="false" customHeight="false" outlineLevel="0" collapsed="false">
      <c r="A15" s="9" t="s">
        <v>111</v>
      </c>
      <c r="B15" s="26" t="s">
        <v>112</v>
      </c>
    </row>
    <row r="16" customFormat="false" ht="15" hidden="false" customHeight="false" outlineLevel="0" collapsed="false">
      <c r="A16" s="9" t="s">
        <v>113</v>
      </c>
      <c r="B16" s="26" t="s">
        <v>114</v>
      </c>
    </row>
    <row r="17" customFormat="false" ht="15" hidden="false" customHeight="false" outlineLevel="0" collapsed="false">
      <c r="A17" s="9" t="s">
        <v>115</v>
      </c>
      <c r="B17" s="26" t="s">
        <v>116</v>
      </c>
    </row>
    <row r="18" customFormat="false" ht="15" hidden="false" customHeight="false" outlineLevel="0" collapsed="false">
      <c r="A18" s="9" t="s">
        <v>117</v>
      </c>
      <c r="B18" s="26" t="s">
        <v>118</v>
      </c>
    </row>
    <row r="20" customFormat="false" ht="15" hidden="false" customHeight="false" outlineLevel="0" collapsed="false">
      <c r="A20" s="24" t="s">
        <v>119</v>
      </c>
      <c r="B20" s="25"/>
    </row>
    <row r="21" customFormat="false" ht="15" hidden="false" customHeight="false" outlineLevel="0" collapsed="false">
      <c r="A21" s="9" t="s">
        <v>120</v>
      </c>
      <c r="B21" s="26" t="s">
        <v>121</v>
      </c>
    </row>
    <row r="22" customFormat="false" ht="15" hidden="false" customHeight="false" outlineLevel="0" collapsed="false">
      <c r="A22" s="9" t="s">
        <v>122</v>
      </c>
      <c r="B22" s="26" t="s">
        <v>123</v>
      </c>
    </row>
    <row r="24" customFormat="false" ht="15" hidden="false" customHeight="false" outlineLevel="0" collapsed="false">
      <c r="A24" s="24" t="s">
        <v>124</v>
      </c>
      <c r="B24" s="25"/>
    </row>
    <row r="25" customFormat="false" ht="15" hidden="false" customHeight="false" outlineLevel="0" collapsed="false">
      <c r="A25" s="9" t="s">
        <v>125</v>
      </c>
      <c r="B25" s="26" t="s">
        <v>126</v>
      </c>
    </row>
    <row r="26" customFormat="false" ht="15" hidden="false" customHeight="false" outlineLevel="0" collapsed="false">
      <c r="A26" s="9" t="s">
        <v>127</v>
      </c>
      <c r="B26" s="26" t="s">
        <v>128</v>
      </c>
    </row>
    <row r="27" customFormat="false" ht="15" hidden="false" customHeight="false" outlineLevel="0" collapsed="false">
      <c r="A27" s="9" t="s">
        <v>129</v>
      </c>
      <c r="B27" s="26" t="s">
        <v>130</v>
      </c>
    </row>
    <row r="28" customFormat="false" ht="15" hidden="false" customHeight="false" outlineLevel="0" collapsed="false">
      <c r="A28" s="9" t="s">
        <v>131</v>
      </c>
      <c r="B28" s="26" t="s">
        <v>132</v>
      </c>
    </row>
    <row r="29" customFormat="false" ht="15" hidden="false" customHeight="false" outlineLevel="0" collapsed="false">
      <c r="A29" s="9" t="s">
        <v>133</v>
      </c>
      <c r="B29" s="26" t="s">
        <v>134</v>
      </c>
    </row>
    <row r="31" customFormat="false" ht="15" hidden="false" customHeight="false" outlineLevel="0" collapsed="false">
      <c r="A31" s="24" t="s">
        <v>135</v>
      </c>
      <c r="B31" s="25"/>
    </row>
    <row r="32" customFormat="false" ht="15" hidden="false" customHeight="false" outlineLevel="0" collapsed="false">
      <c r="A32" s="9" t="s">
        <v>136</v>
      </c>
      <c r="B32" s="26" t="s">
        <v>137</v>
      </c>
    </row>
    <row r="33" customFormat="false" ht="15" hidden="false" customHeight="false" outlineLevel="0" collapsed="false">
      <c r="A33" s="9" t="s">
        <v>138</v>
      </c>
      <c r="B33" s="26" t="s">
        <v>139</v>
      </c>
    </row>
    <row r="34" customFormat="false" ht="15" hidden="false" customHeight="false" outlineLevel="0" collapsed="false">
      <c r="A34" s="9" t="s">
        <v>140</v>
      </c>
      <c r="B34" s="26" t="s">
        <v>141</v>
      </c>
    </row>
    <row r="35" customFormat="false" ht="15" hidden="false" customHeight="false" outlineLevel="0" collapsed="false">
      <c r="A35" s="9" t="s">
        <v>142</v>
      </c>
      <c r="B35" s="26" t="s">
        <v>143</v>
      </c>
    </row>
    <row r="36" customFormat="false" ht="15" hidden="false" customHeight="false" outlineLevel="0" collapsed="false">
      <c r="A36" s="9" t="s">
        <v>144</v>
      </c>
      <c r="B36" s="26" t="s">
        <v>145</v>
      </c>
    </row>
    <row r="38" customFormat="false" ht="15" hidden="false" customHeight="false" outlineLevel="0" collapsed="false">
      <c r="A38" s="24" t="s">
        <v>146</v>
      </c>
      <c r="B38" s="25"/>
    </row>
    <row r="39" customFormat="false" ht="15" hidden="false" customHeight="false" outlineLevel="0" collapsed="false">
      <c r="A39" s="9" t="s">
        <v>147</v>
      </c>
      <c r="B39" s="26" t="s">
        <v>148</v>
      </c>
    </row>
    <row r="40" customFormat="false" ht="15" hidden="false" customHeight="false" outlineLevel="0" collapsed="false">
      <c r="A40" s="9" t="s">
        <v>149</v>
      </c>
      <c r="B40" s="26" t="s">
        <v>150</v>
      </c>
    </row>
    <row r="41" customFormat="false" ht="15" hidden="false" customHeight="false" outlineLevel="0" collapsed="false">
      <c r="A41" s="9" t="s">
        <v>151</v>
      </c>
      <c r="B41" s="26" t="s">
        <v>152</v>
      </c>
    </row>
    <row r="42" customFormat="false" ht="15" hidden="false" customHeight="false" outlineLevel="0" collapsed="false">
      <c r="A42" s="9" t="s">
        <v>153</v>
      </c>
      <c r="B42" s="26" t="s">
        <v>154</v>
      </c>
    </row>
    <row r="43" customFormat="false" ht="15" hidden="false" customHeight="false" outlineLevel="0" collapsed="false">
      <c r="A43" s="9" t="s">
        <v>155</v>
      </c>
      <c r="B43" s="26" t="s">
        <v>156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157</v>
      </c>
      <c r="B1" s="1"/>
      <c r="C1" s="1"/>
      <c r="D1" s="1"/>
    </row>
    <row r="4" customFormat="false" ht="15" hidden="false" customHeight="false" outlineLevel="0" collapsed="false">
      <c r="A4" s="27" t="s">
        <v>158</v>
      </c>
      <c r="B4" s="28"/>
    </row>
    <row r="5" customFormat="false" ht="15" hidden="false" customHeight="false" outlineLevel="0" collapsed="false">
      <c r="A5" s="9" t="s">
        <v>159</v>
      </c>
      <c r="B5" s="26" t="s">
        <v>160</v>
      </c>
    </row>
    <row r="6" customFormat="false" ht="15" hidden="false" customHeight="false" outlineLevel="0" collapsed="false">
      <c r="A6" s="9" t="s">
        <v>161</v>
      </c>
      <c r="B6" s="26" t="s">
        <v>162</v>
      </c>
    </row>
    <row r="7" customFormat="false" ht="15" hidden="false" customHeight="false" outlineLevel="0" collapsed="false">
      <c r="A7" s="9" t="s">
        <v>163</v>
      </c>
      <c r="B7" s="26" t="s">
        <v>164</v>
      </c>
    </row>
    <row r="8" customFormat="false" ht="15" hidden="false" customHeight="false" outlineLevel="0" collapsed="false">
      <c r="A8" s="9" t="s">
        <v>165</v>
      </c>
      <c r="B8" s="26" t="s">
        <v>166</v>
      </c>
    </row>
    <row r="9" customFormat="false" ht="15" hidden="false" customHeight="false" outlineLevel="0" collapsed="false">
      <c r="A9" s="9" t="s">
        <v>167</v>
      </c>
      <c r="B9" s="26" t="s">
        <v>168</v>
      </c>
    </row>
    <row r="10" customFormat="false" ht="15" hidden="false" customHeight="false" outlineLevel="0" collapsed="false">
      <c r="A10" s="9" t="s">
        <v>169</v>
      </c>
      <c r="B10" s="26" t="s">
        <v>170</v>
      </c>
    </row>
    <row r="12" customFormat="false" ht="15" hidden="false" customHeight="false" outlineLevel="0" collapsed="false">
      <c r="A12" s="29" t="s">
        <v>171</v>
      </c>
      <c r="B12" s="30"/>
    </row>
    <row r="13" customFormat="false" ht="15" hidden="false" customHeight="false" outlineLevel="0" collapsed="false">
      <c r="A13" s="9" t="s">
        <v>172</v>
      </c>
      <c r="B13" s="26" t="s">
        <v>173</v>
      </c>
    </row>
    <row r="14" customFormat="false" ht="15" hidden="false" customHeight="false" outlineLevel="0" collapsed="false">
      <c r="A14" s="9" t="s">
        <v>174</v>
      </c>
      <c r="B14" s="26" t="s">
        <v>175</v>
      </c>
    </row>
    <row r="15" customFormat="false" ht="15" hidden="false" customHeight="false" outlineLevel="0" collapsed="false">
      <c r="A15" s="9" t="s">
        <v>176</v>
      </c>
      <c r="B15" s="26" t="s">
        <v>177</v>
      </c>
    </row>
    <row r="16" customFormat="false" ht="15" hidden="false" customHeight="false" outlineLevel="0" collapsed="false">
      <c r="A16" s="9" t="s">
        <v>178</v>
      </c>
      <c r="B16" s="26" t="s">
        <v>179</v>
      </c>
    </row>
    <row r="17" customFormat="false" ht="15" hidden="false" customHeight="false" outlineLevel="0" collapsed="false">
      <c r="A17" s="9" t="s">
        <v>180</v>
      </c>
      <c r="B17" s="26" t="s">
        <v>181</v>
      </c>
    </row>
    <row r="18" customFormat="false" ht="15" hidden="false" customHeight="false" outlineLevel="0" collapsed="false">
      <c r="A18" s="9" t="s">
        <v>182</v>
      </c>
      <c r="B18" s="26" t="s">
        <v>183</v>
      </c>
    </row>
    <row r="20" customFormat="false" ht="15" hidden="false" customHeight="false" outlineLevel="0" collapsed="false">
      <c r="A20" s="24" t="s">
        <v>184</v>
      </c>
      <c r="B20" s="25"/>
    </row>
    <row r="21" customFormat="false" ht="15" hidden="false" customHeight="false" outlineLevel="0" collapsed="false">
      <c r="A21" s="9" t="s">
        <v>185</v>
      </c>
      <c r="B21" s="26" t="s">
        <v>186</v>
      </c>
    </row>
    <row r="22" customFormat="false" ht="15" hidden="false" customHeight="false" outlineLevel="0" collapsed="false">
      <c r="A22" s="9" t="s">
        <v>187</v>
      </c>
      <c r="B22" s="26" t="s">
        <v>188</v>
      </c>
    </row>
    <row r="23" customFormat="false" ht="15" hidden="false" customHeight="false" outlineLevel="0" collapsed="false">
      <c r="A23" s="9" t="s">
        <v>189</v>
      </c>
      <c r="B23" s="26" t="s">
        <v>190</v>
      </c>
    </row>
    <row r="24" customFormat="false" ht="15" hidden="false" customHeight="false" outlineLevel="0" collapsed="false">
      <c r="A24" s="9" t="s">
        <v>191</v>
      </c>
      <c r="B24" s="26" t="s">
        <v>190</v>
      </c>
    </row>
    <row r="25" customFormat="false" ht="15" hidden="false" customHeight="false" outlineLevel="0" collapsed="false">
      <c r="A25" s="9" t="s">
        <v>192</v>
      </c>
      <c r="B25" s="26" t="s">
        <v>193</v>
      </c>
    </row>
    <row r="26" customFormat="false" ht="15" hidden="false" customHeight="false" outlineLevel="0" collapsed="false">
      <c r="A26" s="9" t="s">
        <v>194</v>
      </c>
      <c r="B26" s="26" t="s">
        <v>195</v>
      </c>
    </row>
    <row r="27" customFormat="false" ht="15" hidden="false" customHeight="false" outlineLevel="0" collapsed="false">
      <c r="A27" s="9" t="s">
        <v>196</v>
      </c>
      <c r="B27" s="26" t="s">
        <v>197</v>
      </c>
    </row>
    <row r="29" customFormat="false" ht="15" hidden="false" customHeight="false" outlineLevel="0" collapsed="false">
      <c r="A29" s="24" t="s">
        <v>198</v>
      </c>
      <c r="B29" s="25"/>
    </row>
    <row r="30" customFormat="false" ht="15" hidden="false" customHeight="false" outlineLevel="0" collapsed="false">
      <c r="A30" s="9" t="s">
        <v>199</v>
      </c>
      <c r="B30" s="26" t="s">
        <v>200</v>
      </c>
    </row>
    <row r="31" customFormat="false" ht="15" hidden="false" customHeight="false" outlineLevel="0" collapsed="false">
      <c r="A31" s="9" t="s">
        <v>201</v>
      </c>
      <c r="B31" s="26" t="s">
        <v>202</v>
      </c>
    </row>
    <row r="33" customFormat="false" ht="15" hidden="false" customHeight="false" outlineLevel="0" collapsed="false">
      <c r="A33" s="24" t="s">
        <v>82</v>
      </c>
      <c r="B33" s="25"/>
    </row>
    <row r="34" customFormat="false" ht="15" hidden="false" customHeight="false" outlineLevel="0" collapsed="false">
      <c r="A34" s="9" t="s">
        <v>203</v>
      </c>
      <c r="B34" s="26" t="s">
        <v>204</v>
      </c>
    </row>
    <row r="35" customFormat="false" ht="15" hidden="false" customHeight="false" outlineLevel="0" collapsed="false">
      <c r="A35" s="9" t="s">
        <v>205</v>
      </c>
      <c r="B35" s="26" t="s">
        <v>206</v>
      </c>
    </row>
    <row r="36" customFormat="false" ht="15" hidden="false" customHeight="false" outlineLevel="0" collapsed="false">
      <c r="A36" s="9" t="s">
        <v>207</v>
      </c>
      <c r="B36" s="26" t="s">
        <v>208</v>
      </c>
    </row>
    <row r="37" customFormat="false" ht="15" hidden="false" customHeight="false" outlineLevel="0" collapsed="false">
      <c r="A37" s="9" t="s">
        <v>209</v>
      </c>
      <c r="B37" s="26" t="s">
        <v>210</v>
      </c>
    </row>
    <row r="38" customFormat="false" ht="15" hidden="false" customHeight="false" outlineLevel="0" collapsed="false">
      <c r="A38" s="9" t="s">
        <v>211</v>
      </c>
      <c r="B38" s="26" t="s">
        <v>212</v>
      </c>
    </row>
    <row r="39" customFormat="false" ht="15" hidden="false" customHeight="false" outlineLevel="0" collapsed="false">
      <c r="A39" s="9" t="s">
        <v>213</v>
      </c>
      <c r="B39" s="26" t="s">
        <v>214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2026-01-06T18:55:31Z</dcterms:created>
  <dc:creator>openpyxl</dc:creator>
  <dc:description/>
  <dc:language>en-US</dc:language>
  <cp:lastModifiedBy/>
  <dcterms:modified xsi:type="dcterms:W3CDTF">2026-01-06T18:55:31Z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