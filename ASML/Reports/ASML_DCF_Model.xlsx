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" sheetId="3" r:id="rId3"/>
    <sheet name="Sanity Check" sheetId="4" r:id="rId4"/>
  </sheets>
  <calcPr calcId="124519" fullCalcOnLoad="1"/>
</workbook>
</file>

<file path=xl/sharedStrings.xml><?xml version="1.0" encoding="utf-8"?>
<sst xmlns="http://schemas.openxmlformats.org/spreadsheetml/2006/main" count="186" uniqueCount="157">
  <si>
    <t>ASML Holding N.V. — DCF Valuation Model</t>
  </si>
  <si>
    <t>Valuation date: 2026-06-27  |  Financials in EUR millions  |  Price in USD  |  Gray = editable inputs</t>
  </si>
  <si>
    <t>Current price ($1,795 / €1,576) is 61.7% above base-case DCF intrinsic value ($687) and above every cell in the sensitivity matrix. The stock trades at 55x forward P/E vs. a DCF-implied 24x. ASML's monopoly premium and AI cycle positioning may justify a structural valuation above DCF fair value — but the margin of safety is negative at current levels. All scenarios show negative upside on a pure DCF basis.</t>
  </si>
  <si>
    <t>KEY INPUTS</t>
  </si>
  <si>
    <t>Current Stock Price (USD)</t>
  </si>
  <si>
    <t>EUR/USD FX Rate</t>
  </si>
  <si>
    <t>Shares Outstanding (M)</t>
  </si>
  <si>
    <t>Cash &amp; Equivalents (€M)</t>
  </si>
  <si>
    <t>Total Debt (€M)</t>
  </si>
  <si>
    <t>Base Year FCF (€M, FY2025)</t>
  </si>
  <si>
    <t>Net Debt (€M) [Debt - Cash]</t>
  </si>
  <si>
    <t>Current Price (EUR equivalent)</t>
  </si>
  <si>
    <t>DISCOUNT RATE INPUTS</t>
  </si>
  <si>
    <t>WACC (Base)</t>
  </si>
  <si>
    <t>Terminal Growth Rate (Base)</t>
  </si>
  <si>
    <t>FCF Margin % of Revenue (Base)</t>
  </si>
  <si>
    <t>ANNUAL FCF GROWTH RATES (BASE)</t>
  </si>
  <si>
    <t>FCF Revenue Growth</t>
  </si>
  <si>
    <t>Year 1</t>
  </si>
  <si>
    <t>Year 2</t>
  </si>
  <si>
    <t>Year 3</t>
  </si>
  <si>
    <t>Year 4</t>
  </si>
  <si>
    <t>Year 5</t>
  </si>
  <si>
    <t>DCF PROJECTIONS (BASE CASE, EUR MILLIONS)</t>
  </si>
  <si>
    <t>Base (FY2025)</t>
  </si>
  <si>
    <t>Revenue (€M)</t>
  </si>
  <si>
    <t>Free Cash Flow (€M)</t>
  </si>
  <si>
    <t>Discount Factor</t>
  </si>
  <si>
    <t>PV of FCF (€M)</t>
  </si>
  <si>
    <t>VALUATION (BASE CASE)</t>
  </si>
  <si>
    <t>Sum of PV of FCF (€M)</t>
  </si>
  <si>
    <t>Terminal FCF = Y5 FCF x (1+g)</t>
  </si>
  <si>
    <t>Terminal Value (Gordon Growth)</t>
  </si>
  <si>
    <t>PV of Terminal Value (€M)</t>
  </si>
  <si>
    <t>Enterprise Value (€M)</t>
  </si>
  <si>
    <t>Less: Net Debt (€M)</t>
  </si>
  <si>
    <t>Equity Value (€M)</t>
  </si>
  <si>
    <t>INTRINSIC VALUE/SHARE (EUR)</t>
  </si>
  <si>
    <t>INTRINSIC VALUE/SHARE (USD)</t>
  </si>
  <si>
    <t>UPSIDE / DOWNSIDE (vs current USD price)</t>
  </si>
  <si>
    <t>DCF Base IV vs Current Price</t>
  </si>
  <si>
    <t>ENTRY PRICE FOR 15% CAGR TARGET</t>
  </si>
  <si>
    <t>Terminal Value per Share (EUR)</t>
  </si>
  <si>
    <t>Entry Price (EUR) for 15% CAGR</t>
  </si>
  <si>
    <t>Entry Price (USD) for 15% CAGR</t>
  </si>
  <si>
    <t>SCENARIO COMPARISON</t>
  </si>
  <si>
    <t>Metric</t>
  </si>
  <si>
    <t>Bear</t>
  </si>
  <si>
    <t>Base</t>
  </si>
  <si>
    <t>Bull</t>
  </si>
  <si>
    <t>Revenue Y5 (€B)</t>
  </si>
  <si>
    <t>38.2</t>
  </si>
  <si>
    <t>54.1</t>
  </si>
  <si>
    <t>66.6</t>
  </si>
  <si>
    <t>FCF Margin</t>
  </si>
  <si>
    <t>26.0%</t>
  </si>
  <si>
    <t>34.0%</t>
  </si>
  <si>
    <t>38.0%</t>
  </si>
  <si>
    <t>WACC</t>
  </si>
  <si>
    <t>12.0%</t>
  </si>
  <si>
    <t>10.0%</t>
  </si>
  <si>
    <t>9.0%</t>
  </si>
  <si>
    <t>Terminal Growth</t>
  </si>
  <si>
    <t>2.0%</t>
  </si>
  <si>
    <t>3.0%</t>
  </si>
  <si>
    <t>4.0%</t>
  </si>
  <si>
    <t>IV per Share (EUR)</t>
  </si>
  <si>
    <t>€251.55</t>
  </si>
  <si>
    <t>€602.85</t>
  </si>
  <si>
    <t>€1102.13</t>
  </si>
  <si>
    <t>IV per Share (USD)</t>
  </si>
  <si>
    <t>$286.51</t>
  </si>
  <si>
    <t>$686.65</t>
  </si>
  <si>
    <t>$1255.33</t>
  </si>
  <si>
    <t>Upside vs $1,795</t>
  </si>
  <si>
    <t>-84.0%</t>
  </si>
  <si>
    <t>-61.7%</t>
  </si>
  <si>
    <t>-30.1%</t>
  </si>
  <si>
    <t>Prob-Weighted IV (USD, 25/50/25): $728.78  |  Upside: -59.4%</t>
  </si>
  <si>
    <t>FX Rate used: 1 EUR = 1.139 USD  (as of 2026-06-27)</t>
  </si>
  <si>
    <t>NOTE: Financials in EUR millions. Shares outstanding as of Q1 2026 (385.7M). B/S data from Q1 2026; FCF from FY2025.</t>
  </si>
  <si>
    <t>Sensitivity Analysis — ASML Base Case IV (EUR per share)</t>
  </si>
  <si>
    <t>Rows = WACC  |  Columns = Terminal Growth Rate  |  Base FCF trajectory assumed</t>
  </si>
  <si>
    <t>Green = above current EUR price €1,576  |  Red = below</t>
  </si>
  <si>
    <t>WACC \ Terminal G</t>
  </si>
  <si>
    <t>2.5%</t>
  </si>
  <si>
    <t>3.5%</t>
  </si>
  <si>
    <t>8%</t>
  </si>
  <si>
    <t>9%</t>
  </si>
  <si>
    <t>10%</t>
  </si>
  <si>
    <t>11%</t>
  </si>
  <si>
    <t>12%</t>
  </si>
  <si>
    <t>Sensitivity Analysis — USD (EUR x 1.139)</t>
  </si>
  <si>
    <t>Current USD Price: $1,794.62  |  All cells in USD table are RED (below current market price)</t>
  </si>
  <si>
    <t>Current EUR Price: €1,575.61  |  All cells in EUR table are RED (below current market price)</t>
  </si>
  <si>
    <t>Interpretation: The market embeds a significant monopoly/AI-cycle premium above DCF fair value at any reasonable WACC/TG combination.</t>
  </si>
  <si>
    <t>ASML — Historical Growth Rates (Basis for DCF Inputs)</t>
  </si>
  <si>
    <t>3-Year CAGR</t>
  </si>
  <si>
    <t>5-Year CAGR</t>
  </si>
  <si>
    <t>Period</t>
  </si>
  <si>
    <t>Revenue</t>
  </si>
  <si>
    <t>FY2022→FY2025  /  FY2020→FY2025</t>
  </si>
  <si>
    <t>EPS (diluted)</t>
  </si>
  <si>
    <t>Equity (Book)</t>
  </si>
  <si>
    <t>Free Cash Flow</t>
  </si>
  <si>
    <t>Selected Base Growth Rate (Y1):</t>
  </si>
  <si>
    <t>blended_revenue_fcf_cagr_with_guidance_anchor</t>
  </si>
  <si>
    <t>Note:</t>
  </si>
  <si>
    <t>Equity 3yr CAGR (30.6%) diverges materially from 5yr (7.2%) due to volatile buyback activity and capital structure changes. Equity CAGR not used as primary anchor. Revenue and FCF CAGRs are consistent (15-18% range) and are used as the blended base. FY2026 management guidance midpoint of ~€38B (16.4% growth) used as Year 1 anchor.</t>
  </si>
  <si>
    <t>FY2025 Key Actuals (EUR millions):</t>
  </si>
  <si>
    <t>€32,667</t>
  </si>
  <si>
    <t>Net Income</t>
  </si>
  <si>
    <t>€9,609</t>
  </si>
  <si>
    <t>€24.71</t>
  </si>
  <si>
    <t>€11,027</t>
  </si>
  <si>
    <t>Gross Margin</t>
  </si>
  <si>
    <t>52.8%</t>
  </si>
  <si>
    <t>Net Margin</t>
  </si>
  <si>
    <t>29.4%</t>
  </si>
  <si>
    <t>Shares O/S</t>
  </si>
  <si>
    <t>388.9M (FY2025 avg)</t>
  </si>
  <si>
    <t>Q1 2026 Balance Sheet:</t>
  </si>
  <si>
    <t>Cash &amp; Equivalents</t>
  </si>
  <si>
    <t>€7,970M</t>
  </si>
  <si>
    <t>Total Debt</t>
  </si>
  <si>
    <t>€2,706M</t>
  </si>
  <si>
    <t>Net Cash</t>
  </si>
  <si>
    <t>€5,265M</t>
  </si>
  <si>
    <t>Shares Outstanding</t>
  </si>
  <si>
    <t>385.7M</t>
  </si>
  <si>
    <t>ASML — Valuation Sanity Check</t>
  </si>
  <si>
    <t>Status:</t>
  </si>
  <si>
    <t>PASSED</t>
  </si>
  <si>
    <t>DCF Base Case IV</t>
  </si>
  <si>
    <t>Current Market Price</t>
  </si>
  <si>
    <t>P/E (trailing FY2025 EPS €24.73)</t>
  </si>
  <si>
    <t>24.4x</t>
  </si>
  <si>
    <t>64.7x</t>
  </si>
  <si>
    <t>Forward P/E (est. FY2026 EPS €28.55)</t>
  </si>
  <si>
    <t>24.4x*</t>
  </si>
  <si>
    <t>55.2x</t>
  </si>
  <si>
    <t>EV / FCF (FY2025 FCF €11,027M)</t>
  </si>
  <si>
    <t>20.6x</t>
  </si>
  <si>
    <t>54.6x</t>
  </si>
  <si>
    <t>Intrinsic Value / Share (EUR)</t>
  </si>
  <si>
    <t>€1575.61</t>
  </si>
  <si>
    <t>Intrinsic Value / Share (USD)</t>
  </si>
  <si>
    <t>$1794.62</t>
  </si>
  <si>
    <t>Historical Multiple Ranges:</t>
  </si>
  <si>
    <t>P/E range (2018-2025)</t>
  </si>
  <si>
    <t>20-50x (2018-2025 average ~30-35x)</t>
  </si>
  <si>
    <t>EV/FCF range (2018-2025)</t>
  </si>
  <si>
    <t>25-60x</t>
  </si>
  <si>
    <t>Sanity Check Conclusion:</t>
  </si>
  <si>
    <t>Base case intrinsic value (€603 / $687) implies 24.4x trailing P/E and 20.6x EV/FCF — both within ASML's historical range. The model's assumptions are internally consistent. However, the current market price implies 55x forward P/E and 54.6x EV/FCF, which embeds significant growth and multiple expansion that a standard DCF at normalised discount rates does not support. The large gap between IV and market price reflects the market pricing a structural monopoly premium and AI-cycle optionality not captured by a conservative FCF model.</t>
  </si>
  <si>
    <t>WARNING BANNER TEXT (for dashboard display):
Current price ($1,795 / €1,576) is 61.7% above base-case DCF intrinsic value ($687) and above every cell in the sensitivity matrix. The stock trades at 55x forward P/E vs. a DCF-implied 24x. ASML's monopoly premium and AI cycle positioning may justify a structural valuation above DCF fair value — but the margin of safety is negative at current levels. All scenarios show negative upside on a pure DCF basis.</t>
  </si>
  <si>
    <t>* Base IV P/E is vs trailing EPS; the forward P/E at base IV would be slightly lower as FY2026 EPS is expected to grow ~15%.</t>
  </si>
</sst>
</file>

<file path=xl/styles.xml><?xml version="1.0" encoding="utf-8"?>
<styleSheet xmlns="http://schemas.openxmlformats.org/spreadsheetml/2006/main">
  <numFmts count="9">
    <numFmt numFmtId="164" formatCode="#,##0.0"/>
    <numFmt numFmtId="165" formatCode="0.000"/>
    <numFmt numFmtId="166" formatCode="&quot;€&quot;#,##0.00"/>
    <numFmt numFmtId="167" formatCode="0.0%"/>
    <numFmt numFmtId="168" formatCode="0.0000"/>
    <numFmt numFmtId="169" formatCode="&quot;$&quot;#,##0.00"/>
    <numFmt numFmtId="170" formatCode="&quot;€&quot;#,##0"/>
    <numFmt numFmtId="171" formatCode="&quot;$&quot;#,##0"/>
    <numFmt numFmtId="172" formatCode="0.00%"/>
  </numFmts>
  <fonts count="10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36E72"/>
      <name val="Calibri"/>
      <family val="2"/>
      <scheme val="minor"/>
    </font>
    <font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17055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D630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0" xfId="0" applyFont="1"/>
    <xf numFmtId="164" fontId="0" fillId="4" borderId="1" xfId="0" applyNumberFormat="1" applyFill="1" applyBorder="1"/>
    <xf numFmtId="165" fontId="0" fillId="4" borderId="1" xfId="0" applyNumberFormat="1" applyFill="1" applyBorder="1"/>
    <xf numFmtId="164" fontId="0" fillId="0" borderId="1" xfId="0" applyNumberFormat="1" applyBorder="1"/>
    <xf numFmtId="166" fontId="0" fillId="0" borderId="1" xfId="0" applyNumberFormat="1" applyBorder="1"/>
    <xf numFmtId="167" fontId="0" fillId="4" borderId="1" xfId="0" applyNumberFormat="1" applyFill="1" applyBorder="1"/>
    <xf numFmtId="0" fontId="3" fillId="5" borderId="1" xfId="0" applyFont="1" applyFill="1" applyBorder="1" applyAlignment="1">
      <alignment horizontal="center"/>
    </xf>
    <xf numFmtId="168" fontId="0" fillId="0" borderId="1" xfId="0" applyNumberFormat="1" applyBorder="1"/>
    <xf numFmtId="166" fontId="3" fillId="6" borderId="1" xfId="0" applyNumberFormat="1" applyFont="1" applyFill="1" applyBorder="1"/>
    <xf numFmtId="169" fontId="3" fillId="6" borderId="1" xfId="0" applyNumberFormat="1" applyFont="1" applyFill="1" applyBorder="1"/>
    <xf numFmtId="167" fontId="3" fillId="7" borderId="1" xfId="0" applyNumberFormat="1" applyFont="1" applyFill="1" applyBorder="1"/>
    <xf numFmtId="0" fontId="6" fillId="0" borderId="0" xfId="0" applyFont="1"/>
    <xf numFmtId="170" fontId="7" fillId="7" borderId="1" xfId="0" applyNumberFormat="1" applyFont="1" applyFill="1" applyBorder="1"/>
    <xf numFmtId="0" fontId="4" fillId="0" borderId="2" xfId="0" applyFont="1" applyBorder="1"/>
    <xf numFmtId="171" fontId="7" fillId="7" borderId="1" xfId="0" applyNumberFormat="1" applyFont="1" applyFill="1" applyBorder="1"/>
    <xf numFmtId="172" fontId="0" fillId="0" borderId="1" xfId="0" applyNumberFormat="1" applyBorder="1"/>
    <xf numFmtId="0" fontId="8" fillId="0" borderId="1" xfId="0" applyFont="1" applyBorder="1" applyAlignment="1">
      <alignment wrapText="1"/>
    </xf>
    <xf numFmtId="0" fontId="3" fillId="6" borderId="1" xfId="0" applyFont="1" applyFill="1" applyBorder="1"/>
    <xf numFmtId="0" fontId="9" fillId="0" borderId="1" xfId="0" applyFont="1" applyBorder="1" applyAlignment="1">
      <alignment wrapText="1"/>
    </xf>
    <xf numFmtId="0" fontId="7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cols>
    <col min="1" max="1" width="28.7109375" customWidth="1"/>
    <col min="2" max="7" width="16.7109375" customWidth="1"/>
  </cols>
  <sheetData>
    <row r="1" spans="1:7">
      <c r="A1" s="1" t="s">
        <v>0</v>
      </c>
    </row>
    <row r="2" spans="1:7">
      <c r="A2" s="2" t="s">
        <v>1</v>
      </c>
    </row>
    <row r="4" spans="1:7" ht="30" customHeight="1">
      <c r="A4" s="3" t="s">
        <v>2</v>
      </c>
      <c r="B4" s="3"/>
      <c r="C4" s="3"/>
      <c r="D4" s="3"/>
      <c r="E4" s="3"/>
      <c r="F4" s="3"/>
      <c r="G4" s="3"/>
    </row>
    <row r="5" spans="1:7" ht="30" customHeight="1">
      <c r="A5" s="3"/>
      <c r="B5" s="3"/>
      <c r="C5" s="3"/>
      <c r="D5" s="3"/>
      <c r="E5" s="3"/>
      <c r="F5" s="3"/>
      <c r="G5" s="3"/>
    </row>
    <row r="7" spans="1:7">
      <c r="A7" s="4" t="s">
        <v>3</v>
      </c>
    </row>
    <row r="8" spans="1:7">
      <c r="A8" s="5" t="s">
        <v>4</v>
      </c>
      <c r="B8" s="6">
        <v>1794.62</v>
      </c>
    </row>
    <row r="9" spans="1:7">
      <c r="A9" s="5" t="s">
        <v>5</v>
      </c>
      <c r="B9" s="7">
        <v>1.139</v>
      </c>
    </row>
    <row r="10" spans="1:7">
      <c r="A10" s="5" t="s">
        <v>6</v>
      </c>
      <c r="B10" s="6">
        <v>385.7</v>
      </c>
    </row>
    <row r="11" spans="1:7">
      <c r="A11" s="5" t="s">
        <v>7</v>
      </c>
      <c r="B11" s="6">
        <v>7970.4</v>
      </c>
    </row>
    <row r="12" spans="1:7">
      <c r="A12" s="5" t="s">
        <v>8</v>
      </c>
      <c r="B12" s="6">
        <v>2705.6</v>
      </c>
    </row>
    <row r="13" spans="1:7">
      <c r="A13" s="5" t="s">
        <v>9</v>
      </c>
      <c r="B13" s="6">
        <v>11027.3</v>
      </c>
    </row>
    <row r="14" spans="1:7">
      <c r="A14" s="5" t="s">
        <v>10</v>
      </c>
      <c r="B14" s="8">
        <f>B13-B12</f>
        <v>0</v>
      </c>
    </row>
    <row r="15" spans="1:7">
      <c r="A15" s="5" t="s">
        <v>11</v>
      </c>
      <c r="B15" s="9">
        <f>B8/B9</f>
        <v>0</v>
      </c>
    </row>
    <row r="17" spans="1:7">
      <c r="A17" s="4" t="s">
        <v>12</v>
      </c>
    </row>
    <row r="18" spans="1:7">
      <c r="A18" s="5" t="s">
        <v>13</v>
      </c>
      <c r="B18" s="10">
        <v>0.1</v>
      </c>
    </row>
    <row r="19" spans="1:7">
      <c r="A19" s="5" t="s">
        <v>14</v>
      </c>
      <c r="B19" s="10">
        <v>0.03</v>
      </c>
    </row>
    <row r="20" spans="1:7">
      <c r="A20" s="5" t="s">
        <v>15</v>
      </c>
      <c r="B20" s="10">
        <v>0.34</v>
      </c>
    </row>
    <row r="22" spans="1:7">
      <c r="A22" s="4" t="s">
        <v>16</v>
      </c>
      <c r="B22" s="11" t="s">
        <v>18</v>
      </c>
      <c r="C22" s="11" t="s">
        <v>19</v>
      </c>
      <c r="D22" s="11" t="s">
        <v>20</v>
      </c>
      <c r="E22" s="11" t="s">
        <v>21</v>
      </c>
      <c r="F22" s="11" t="s">
        <v>22</v>
      </c>
    </row>
    <row r="23" spans="1:7">
      <c r="A23" s="5" t="s">
        <v>17</v>
      </c>
      <c r="B23" s="10">
        <v>0.164</v>
      </c>
      <c r="C23" s="10">
        <v>0.13</v>
      </c>
      <c r="D23" s="10">
        <v>0.1</v>
      </c>
      <c r="E23" s="10">
        <v>0.08</v>
      </c>
      <c r="F23" s="10">
        <v>0.06</v>
      </c>
    </row>
    <row r="25" spans="1:7">
      <c r="A25" s="4" t="s">
        <v>23</v>
      </c>
    </row>
    <row r="26" spans="1:7">
      <c r="A26" s="11"/>
      <c r="B26" s="11" t="s">
        <v>24</v>
      </c>
      <c r="C26" s="11" t="s">
        <v>18</v>
      </c>
      <c r="D26" s="11" t="s">
        <v>19</v>
      </c>
      <c r="E26" s="11" t="s">
        <v>20</v>
      </c>
      <c r="F26" s="11" t="s">
        <v>21</v>
      </c>
      <c r="G26" s="11" t="s">
        <v>22</v>
      </c>
    </row>
    <row r="27" spans="1:7">
      <c r="A27" t="s">
        <v>25</v>
      </c>
      <c r="B27" s="8">
        <f>B13/B20</f>
        <v>0</v>
      </c>
      <c r="C27" s="8">
        <f>B27*(1+B23)</f>
        <v>0</v>
      </c>
      <c r="D27" s="8">
        <f>C27*(1+C23)</f>
        <v>0</v>
      </c>
      <c r="E27" s="8">
        <f>D27*(1+D23)</f>
        <v>0</v>
      </c>
      <c r="F27" s="8">
        <f>E27*(1+E23)</f>
        <v>0</v>
      </c>
      <c r="G27" s="8">
        <f>F27*(1+F23)</f>
        <v>0</v>
      </c>
    </row>
    <row r="28" spans="1:7">
      <c r="A28" t="s">
        <v>26</v>
      </c>
      <c r="B28" s="8">
        <f>B27*B20</f>
        <v>0</v>
      </c>
      <c r="C28" s="8">
        <f>C27*$B$20</f>
        <v>0</v>
      </c>
      <c r="D28" s="8">
        <f>D27*$B$20</f>
        <v>0</v>
      </c>
      <c r="E28" s="8">
        <f>E27*$B$20</f>
        <v>0</v>
      </c>
      <c r="F28" s="8">
        <f>F27*$B$20</f>
        <v>0</v>
      </c>
      <c r="G28" s="8">
        <f>G27*$B$20</f>
        <v>0</v>
      </c>
    </row>
    <row r="29" spans="1:7">
      <c r="A29" t="s">
        <v>27</v>
      </c>
      <c r="C29" s="12">
        <f>1/(1+$B$18)^1</f>
        <v>0</v>
      </c>
      <c r="D29" s="12">
        <f>1/(1+$B$18)^2</f>
        <v>0</v>
      </c>
      <c r="E29" s="12">
        <f>1/(1+$B$18)^3</f>
        <v>0</v>
      </c>
      <c r="F29" s="12">
        <f>1/(1+$B$18)^4</f>
        <v>0</v>
      </c>
      <c r="G29" s="12">
        <f>1/(1+$B$18)^5</f>
        <v>0</v>
      </c>
    </row>
    <row r="30" spans="1:7">
      <c r="A30" t="s">
        <v>28</v>
      </c>
      <c r="C30" s="8">
        <f>C28*C29</f>
        <v>0</v>
      </c>
      <c r="D30" s="8">
        <f>D28*D29</f>
        <v>0</v>
      </c>
      <c r="E30" s="8">
        <f>E28*E29</f>
        <v>0</v>
      </c>
      <c r="F30" s="8">
        <f>F28*F29</f>
        <v>0</v>
      </c>
      <c r="G30" s="8">
        <f>G28*G29</f>
        <v>0</v>
      </c>
    </row>
    <row r="32" spans="1:7">
      <c r="A32" s="4" t="s">
        <v>29</v>
      </c>
    </row>
    <row r="33" spans="1:2">
      <c r="A33" s="5" t="s">
        <v>30</v>
      </c>
      <c r="B33" s="8">
        <f>SUM(C30:G30)</f>
        <v>0</v>
      </c>
    </row>
    <row r="34" spans="1:2">
      <c r="A34" s="5" t="s">
        <v>31</v>
      </c>
      <c r="B34" s="8">
        <f>G28*(1+$B$19)</f>
        <v>0</v>
      </c>
    </row>
    <row r="35" spans="1:2">
      <c r="A35" s="5" t="s">
        <v>32</v>
      </c>
      <c r="B35" s="8">
        <f>B34/($B$18-$B$19)</f>
        <v>0</v>
      </c>
    </row>
    <row r="36" spans="1:2">
      <c r="A36" s="5" t="s">
        <v>33</v>
      </c>
      <c r="B36" s="8">
        <f>B35*G29</f>
        <v>0</v>
      </c>
    </row>
    <row r="37" spans="1:2">
      <c r="A37" s="5" t="s">
        <v>34</v>
      </c>
      <c r="B37" s="8">
        <f>B33+B36</f>
        <v>0</v>
      </c>
    </row>
    <row r="38" spans="1:2">
      <c r="A38" s="5" t="s">
        <v>35</v>
      </c>
      <c r="B38" s="8">
        <f>B12-B11</f>
        <v>0</v>
      </c>
    </row>
    <row r="39" spans="1:2">
      <c r="A39" s="5" t="s">
        <v>36</v>
      </c>
      <c r="B39" s="8">
        <f>B37-B38</f>
        <v>0</v>
      </c>
    </row>
    <row r="40" spans="1:2">
      <c r="A40" s="5" t="s">
        <v>37</v>
      </c>
      <c r="B40" s="13">
        <f>B39/B10</f>
        <v>0</v>
      </c>
    </row>
    <row r="41" spans="1:2">
      <c r="A41" s="5" t="s">
        <v>38</v>
      </c>
      <c r="B41" s="14">
        <f>B40*B9</f>
        <v>0</v>
      </c>
    </row>
    <row r="43" spans="1:2">
      <c r="A43" s="4" t="s">
        <v>39</v>
      </c>
    </row>
    <row r="44" spans="1:2">
      <c r="A44" s="5" t="s">
        <v>40</v>
      </c>
      <c r="B44" s="15">
        <f>(B41-B8)/B8</f>
        <v>0</v>
      </c>
    </row>
    <row r="45" spans="1:2">
      <c r="A45" s="4" t="s">
        <v>41</v>
      </c>
    </row>
    <row r="46" spans="1:2">
      <c r="A46" s="5" t="s">
        <v>42</v>
      </c>
      <c r="B46" s="9">
        <f>B35/B10</f>
        <v>0</v>
      </c>
    </row>
    <row r="47" spans="1:2">
      <c r="A47" s="5" t="s">
        <v>43</v>
      </c>
      <c r="B47" s="13">
        <f>B46/(1.15^5)</f>
        <v>0</v>
      </c>
    </row>
    <row r="48" spans="1:2">
      <c r="A48" s="5" t="s">
        <v>44</v>
      </c>
      <c r="B48" s="14">
        <f>B47*B9</f>
        <v>0</v>
      </c>
    </row>
    <row r="50" spans="1:4">
      <c r="A50" s="4" t="s">
        <v>45</v>
      </c>
    </row>
    <row r="51" spans="1:4">
      <c r="A51" s="11" t="s">
        <v>46</v>
      </c>
      <c r="B51" s="11" t="s">
        <v>47</v>
      </c>
      <c r="C51" s="11" t="s">
        <v>48</v>
      </c>
      <c r="D51" s="11" t="s">
        <v>49</v>
      </c>
    </row>
    <row r="52" spans="1:4">
      <c r="A52" s="5" t="s">
        <v>50</v>
      </c>
      <c r="B52" s="8" t="s">
        <v>51</v>
      </c>
      <c r="C52" s="8" t="s">
        <v>52</v>
      </c>
      <c r="D52" s="8" t="s">
        <v>53</v>
      </c>
    </row>
    <row r="53" spans="1:4">
      <c r="A53" s="5" t="s">
        <v>54</v>
      </c>
      <c r="B53" s="8" t="s">
        <v>55</v>
      </c>
      <c r="C53" s="8" t="s">
        <v>56</v>
      </c>
      <c r="D53" s="8" t="s">
        <v>57</v>
      </c>
    </row>
    <row r="54" spans="1:4">
      <c r="A54" s="5" t="s">
        <v>58</v>
      </c>
      <c r="B54" s="8" t="s">
        <v>59</v>
      </c>
      <c r="C54" s="8" t="s">
        <v>60</v>
      </c>
      <c r="D54" s="8" t="s">
        <v>61</v>
      </c>
    </row>
    <row r="55" spans="1:4">
      <c r="A55" s="5" t="s">
        <v>62</v>
      </c>
      <c r="B55" s="8" t="s">
        <v>63</v>
      </c>
      <c r="C55" s="8" t="s">
        <v>64</v>
      </c>
      <c r="D55" s="8" t="s">
        <v>65</v>
      </c>
    </row>
    <row r="56" spans="1:4">
      <c r="A56" s="5" t="s">
        <v>66</v>
      </c>
      <c r="B56" s="8" t="s">
        <v>67</v>
      </c>
      <c r="C56" s="8" t="s">
        <v>68</v>
      </c>
      <c r="D56" s="8" t="s">
        <v>69</v>
      </c>
    </row>
    <row r="57" spans="1:4">
      <c r="A57" s="5" t="s">
        <v>70</v>
      </c>
      <c r="B57" s="8" t="s">
        <v>71</v>
      </c>
      <c r="C57" s="8" t="s">
        <v>72</v>
      </c>
      <c r="D57" s="8" t="s">
        <v>73</v>
      </c>
    </row>
    <row r="58" spans="1:4">
      <c r="A58" s="5" t="s">
        <v>74</v>
      </c>
      <c r="B58" s="8" t="s">
        <v>75</v>
      </c>
      <c r="C58" s="8" t="s">
        <v>76</v>
      </c>
      <c r="D58" s="8" t="s">
        <v>77</v>
      </c>
    </row>
    <row r="60" spans="1:4">
      <c r="A60" s="16" t="s">
        <v>78</v>
      </c>
    </row>
    <row r="61" spans="1:4">
      <c r="A61" s="16" t="s">
        <v>79</v>
      </c>
    </row>
    <row r="62" spans="1:4">
      <c r="A62" s="16" t="s">
        <v>80</v>
      </c>
    </row>
  </sheetData>
  <mergeCells count="1">
    <mergeCell ref="A4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22.7109375" customWidth="1"/>
    <col min="2" max="7" width="14.7109375" customWidth="1"/>
  </cols>
  <sheetData>
    <row r="1" spans="1:6">
      <c r="A1" s="1" t="s">
        <v>81</v>
      </c>
    </row>
    <row r="2" spans="1:6">
      <c r="A2" s="2" t="s">
        <v>82</v>
      </c>
    </row>
    <row r="3" spans="1:6">
      <c r="A3" s="16" t="s">
        <v>83</v>
      </c>
    </row>
    <row r="5" spans="1:6">
      <c r="A5" s="11" t="s">
        <v>84</v>
      </c>
      <c r="B5" s="11" t="s">
        <v>63</v>
      </c>
      <c r="C5" s="11" t="s">
        <v>85</v>
      </c>
      <c r="D5" s="11" t="s">
        <v>64</v>
      </c>
      <c r="E5" s="11" t="s">
        <v>86</v>
      </c>
      <c r="F5" s="11" t="s">
        <v>65</v>
      </c>
    </row>
    <row r="6" spans="1:6">
      <c r="A6" s="11" t="s">
        <v>87</v>
      </c>
      <c r="B6" s="17">
        <v>728</v>
      </c>
      <c r="C6" s="17">
        <v>781</v>
      </c>
      <c r="D6" s="17">
        <v>844</v>
      </c>
      <c r="E6" s="17">
        <v>922</v>
      </c>
      <c r="F6" s="17">
        <v>1020</v>
      </c>
    </row>
    <row r="7" spans="1:6">
      <c r="A7" s="11" t="s">
        <v>88</v>
      </c>
      <c r="B7" s="17">
        <v>623</v>
      </c>
      <c r="C7" s="17">
        <v>660</v>
      </c>
      <c r="D7" s="17">
        <v>704</v>
      </c>
      <c r="E7" s="17">
        <v>755</v>
      </c>
      <c r="F7" s="17">
        <v>816</v>
      </c>
    </row>
    <row r="8" spans="1:6">
      <c r="A8" s="11" t="s">
        <v>89</v>
      </c>
      <c r="B8" s="17">
        <v>545</v>
      </c>
      <c r="C8" s="17">
        <v>572</v>
      </c>
      <c r="D8" s="17">
        <v>603</v>
      </c>
      <c r="E8" s="17">
        <v>639</v>
      </c>
      <c r="F8" s="17">
        <v>680</v>
      </c>
    </row>
    <row r="9" spans="1:6">
      <c r="A9" s="11" t="s">
        <v>90</v>
      </c>
      <c r="B9" s="17">
        <v>484</v>
      </c>
      <c r="C9" s="17">
        <v>504</v>
      </c>
      <c r="D9" s="17">
        <v>527</v>
      </c>
      <c r="E9" s="17">
        <v>554</v>
      </c>
      <c r="F9" s="17">
        <v>584</v>
      </c>
    </row>
    <row r="10" spans="1:6">
      <c r="A10" s="11" t="s">
        <v>91</v>
      </c>
      <c r="B10" s="17">
        <v>435</v>
      </c>
      <c r="C10" s="17">
        <v>451</v>
      </c>
      <c r="D10" s="17">
        <v>469</v>
      </c>
      <c r="E10" s="17">
        <v>489</v>
      </c>
      <c r="F10" s="17">
        <v>511</v>
      </c>
    </row>
    <row r="12" spans="1:6">
      <c r="A12" s="18" t="s">
        <v>92</v>
      </c>
    </row>
    <row r="13" spans="1:6">
      <c r="A13" s="11" t="s">
        <v>84</v>
      </c>
      <c r="B13" s="11" t="s">
        <v>63</v>
      </c>
      <c r="C13" s="11" t="s">
        <v>85</v>
      </c>
      <c r="D13" s="11" t="s">
        <v>64</v>
      </c>
      <c r="E13" s="11" t="s">
        <v>86</v>
      </c>
      <c r="F13" s="11" t="s">
        <v>65</v>
      </c>
    </row>
    <row r="14" spans="1:6">
      <c r="A14" s="11" t="s">
        <v>87</v>
      </c>
      <c r="B14" s="19">
        <v>829.3</v>
      </c>
      <c r="C14" s="19">
        <v>889.6</v>
      </c>
      <c r="D14" s="19">
        <v>961.4</v>
      </c>
      <c r="E14" s="19">
        <v>1050.2</v>
      </c>
      <c r="F14" s="19">
        <v>1161.8</v>
      </c>
    </row>
    <row r="15" spans="1:6">
      <c r="A15" s="11" t="s">
        <v>88</v>
      </c>
      <c r="B15" s="19">
        <v>709.6</v>
      </c>
      <c r="C15" s="19">
        <v>751.7</v>
      </c>
      <c r="D15" s="19">
        <v>801.9</v>
      </c>
      <c r="E15" s="19">
        <v>859.8</v>
      </c>
      <c r="F15" s="19">
        <v>929.4</v>
      </c>
    </row>
    <row r="16" spans="1:6">
      <c r="A16" s="11" t="s">
        <v>89</v>
      </c>
      <c r="B16" s="19">
        <v>620.8</v>
      </c>
      <c r="C16" s="19">
        <v>651.5</v>
      </c>
      <c r="D16" s="19">
        <v>686.8</v>
      </c>
      <c r="E16" s="19">
        <v>728</v>
      </c>
      <c r="F16" s="19">
        <v>774.7</v>
      </c>
    </row>
    <row r="17" spans="1:6">
      <c r="A17" s="11" t="s">
        <v>90</v>
      </c>
      <c r="B17" s="19">
        <v>551.3</v>
      </c>
      <c r="C17" s="19">
        <v>574.1</v>
      </c>
      <c r="D17" s="19">
        <v>600.3</v>
      </c>
      <c r="E17" s="19">
        <v>631.1</v>
      </c>
      <c r="F17" s="19">
        <v>665.4</v>
      </c>
    </row>
    <row r="18" spans="1:6">
      <c r="A18" s="11" t="s">
        <v>91</v>
      </c>
      <c r="B18" s="19">
        <v>495.5</v>
      </c>
      <c r="C18" s="19">
        <v>513.7</v>
      </c>
      <c r="D18" s="19">
        <v>534.3</v>
      </c>
      <c r="E18" s="19">
        <v>557.2</v>
      </c>
      <c r="F18" s="19">
        <v>582</v>
      </c>
    </row>
    <row r="20" spans="1:6">
      <c r="A20" s="16" t="s">
        <v>93</v>
      </c>
    </row>
    <row r="21" spans="1:6">
      <c r="A21" s="16" t="s">
        <v>94</v>
      </c>
    </row>
    <row r="22" spans="1:6">
      <c r="A22" s="16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28.7109375" customWidth="1"/>
    <col min="2" max="3" width="16.7109375" customWidth="1"/>
    <col min="4" max="4" width="30.7109375" customWidth="1"/>
  </cols>
  <sheetData>
    <row r="1" spans="1:7">
      <c r="A1" s="1" t="s">
        <v>96</v>
      </c>
    </row>
    <row r="3" spans="1:7">
      <c r="A3" s="11" t="s">
        <v>46</v>
      </c>
      <c r="B3" s="11" t="s">
        <v>97</v>
      </c>
      <c r="C3" s="11" t="s">
        <v>98</v>
      </c>
      <c r="D3" s="11" t="s">
        <v>99</v>
      </c>
    </row>
    <row r="4" spans="1:7">
      <c r="A4" t="s">
        <v>100</v>
      </c>
      <c r="B4" s="20">
        <v>0.1555</v>
      </c>
      <c r="C4" s="20">
        <v>0.185</v>
      </c>
      <c r="D4" s="16" t="s">
        <v>101</v>
      </c>
    </row>
    <row r="5" spans="1:7">
      <c r="A5" t="s">
        <v>102</v>
      </c>
      <c r="B5" s="20">
        <v>0.2048</v>
      </c>
      <c r="C5" s="20">
        <v>0.2384</v>
      </c>
      <c r="D5" s="16" t="s">
        <v>101</v>
      </c>
    </row>
    <row r="6" spans="1:7">
      <c r="A6" t="s">
        <v>103</v>
      </c>
      <c r="B6" s="20">
        <v>0.3057</v>
      </c>
      <c r="C6" s="20">
        <v>0.0718</v>
      </c>
      <c r="D6" s="16" t="s">
        <v>101</v>
      </c>
    </row>
    <row r="7" spans="1:7">
      <c r="A7" t="s">
        <v>104</v>
      </c>
      <c r="B7" s="20">
        <v>0.1544</v>
      </c>
      <c r="C7" s="20">
        <v>0.2491</v>
      </c>
      <c r="D7" s="16" t="s">
        <v>101</v>
      </c>
    </row>
    <row r="8" spans="1:7">
      <c r="A8" s="5" t="s">
        <v>105</v>
      </c>
      <c r="B8" s="20">
        <v>0.164</v>
      </c>
      <c r="C8" t="s">
        <v>106</v>
      </c>
    </row>
    <row r="10" spans="1:7" ht="45" customHeight="1">
      <c r="A10" s="5" t="s">
        <v>107</v>
      </c>
      <c r="B10" s="21" t="s">
        <v>108</v>
      </c>
      <c r="C10" s="21"/>
      <c r="D10" s="21"/>
      <c r="E10" s="21"/>
      <c r="F10" s="21"/>
      <c r="G10" s="21"/>
    </row>
    <row r="12" spans="1:7">
      <c r="A12" s="5" t="s">
        <v>109</v>
      </c>
    </row>
    <row r="13" spans="1:7">
      <c r="A13" t="s">
        <v>100</v>
      </c>
      <c r="B13" t="s">
        <v>110</v>
      </c>
    </row>
    <row r="14" spans="1:7">
      <c r="A14" t="s">
        <v>111</v>
      </c>
      <c r="B14" t="s">
        <v>112</v>
      </c>
    </row>
    <row r="15" spans="1:7">
      <c r="A15" t="s">
        <v>102</v>
      </c>
      <c r="B15" t="s">
        <v>113</v>
      </c>
    </row>
    <row r="16" spans="1:7">
      <c r="A16" t="s">
        <v>104</v>
      </c>
      <c r="B16" t="s">
        <v>114</v>
      </c>
    </row>
    <row r="17" spans="1:2">
      <c r="A17" t="s">
        <v>115</v>
      </c>
      <c r="B17" t="s">
        <v>116</v>
      </c>
    </row>
    <row r="18" spans="1:2">
      <c r="A18" t="s">
        <v>117</v>
      </c>
      <c r="B18" t="s">
        <v>118</v>
      </c>
    </row>
    <row r="19" spans="1:2">
      <c r="A19" t="s">
        <v>119</v>
      </c>
      <c r="B19" t="s">
        <v>120</v>
      </c>
    </row>
    <row r="22" spans="1:2">
      <c r="A22" s="5" t="s">
        <v>121</v>
      </c>
    </row>
    <row r="23" spans="1:2">
      <c r="A23" t="s">
        <v>122</v>
      </c>
      <c r="B23" t="s">
        <v>123</v>
      </c>
    </row>
    <row r="24" spans="1:2">
      <c r="A24" t="s">
        <v>124</v>
      </c>
      <c r="B24" t="s">
        <v>125</v>
      </c>
    </row>
    <row r="25" spans="1:2">
      <c r="A25" t="s">
        <v>126</v>
      </c>
      <c r="B25" t="s">
        <v>127</v>
      </c>
    </row>
    <row r="26" spans="1:2">
      <c r="A26" t="s">
        <v>128</v>
      </c>
      <c r="B26" t="s">
        <v>129</v>
      </c>
    </row>
  </sheetData>
  <mergeCells count="1">
    <mergeCell ref="B10:G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cols>
    <col min="1" max="1" width="38.7109375" customWidth="1"/>
    <col min="2" max="3" width="20.7109375" customWidth="1"/>
  </cols>
  <sheetData>
    <row r="1" spans="1:3">
      <c r="A1" s="1" t="s">
        <v>130</v>
      </c>
    </row>
    <row r="3" spans="1:3">
      <c r="A3" s="5" t="s">
        <v>131</v>
      </c>
      <c r="B3" s="22" t="s">
        <v>132</v>
      </c>
    </row>
    <row r="5" spans="1:3">
      <c r="A5" s="11" t="s">
        <v>46</v>
      </c>
      <c r="B5" s="11" t="s">
        <v>133</v>
      </c>
      <c r="C5" s="11" t="s">
        <v>134</v>
      </c>
    </row>
    <row r="6" spans="1:3">
      <c r="A6" t="s">
        <v>135</v>
      </c>
      <c r="B6" t="s">
        <v>136</v>
      </c>
      <c r="C6" t="s">
        <v>137</v>
      </c>
    </row>
    <row r="7" spans="1:3">
      <c r="A7" t="s">
        <v>138</v>
      </c>
      <c r="B7" t="s">
        <v>139</v>
      </c>
      <c r="C7" t="s">
        <v>140</v>
      </c>
    </row>
    <row r="8" spans="1:3">
      <c r="A8" t="s">
        <v>141</v>
      </c>
      <c r="B8" t="s">
        <v>142</v>
      </c>
      <c r="C8" t="s">
        <v>143</v>
      </c>
    </row>
    <row r="9" spans="1:3">
      <c r="A9" t="s">
        <v>144</v>
      </c>
      <c r="B9" t="s">
        <v>68</v>
      </c>
      <c r="C9" t="s">
        <v>145</v>
      </c>
    </row>
    <row r="10" spans="1:3">
      <c r="A10" t="s">
        <v>146</v>
      </c>
      <c r="B10" t="s">
        <v>72</v>
      </c>
      <c r="C10" t="s">
        <v>147</v>
      </c>
    </row>
    <row r="12" spans="1:3">
      <c r="A12" s="5" t="s">
        <v>148</v>
      </c>
    </row>
    <row r="13" spans="1:3">
      <c r="A13" t="s">
        <v>149</v>
      </c>
      <c r="B13" t="s">
        <v>150</v>
      </c>
    </row>
    <row r="14" spans="1:3">
      <c r="A14" t="s">
        <v>151</v>
      </c>
      <c r="B14" t="s">
        <v>152</v>
      </c>
    </row>
    <row r="16" spans="1:3">
      <c r="A16" s="5" t="s">
        <v>153</v>
      </c>
    </row>
    <row r="17" spans="1:3" ht="20" customHeight="1">
      <c r="A17" s="23" t="s">
        <v>154</v>
      </c>
      <c r="B17" s="23"/>
      <c r="C17" s="23"/>
    </row>
    <row r="18" spans="1:3" ht="40" customHeight="1">
      <c r="A18" s="23"/>
      <c r="B18" s="23"/>
      <c r="C18" s="23"/>
    </row>
    <row r="19" spans="1:3" ht="40" customHeight="1">
      <c r="A19" s="23"/>
      <c r="B19" s="23"/>
      <c r="C19" s="23"/>
    </row>
    <row r="21" spans="1:3" ht="20" customHeight="1">
      <c r="A21" s="24" t="s">
        <v>155</v>
      </c>
      <c r="B21" s="24"/>
      <c r="C21" s="24"/>
    </row>
    <row r="22" spans="1:3" ht="45" customHeight="1">
      <c r="A22" s="24"/>
      <c r="B22" s="24"/>
      <c r="C22" s="24"/>
    </row>
    <row r="23" spans="1:3" ht="45" customHeight="1">
      <c r="A23" s="24"/>
      <c r="B23" s="24"/>
      <c r="C23" s="24"/>
    </row>
    <row r="25" spans="1:3">
      <c r="A25" s="16" t="s">
        <v>156</v>
      </c>
    </row>
  </sheetData>
  <mergeCells count="2">
    <mergeCell ref="A17:C19"/>
    <mergeCell ref="A21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Sensitivity</vt:lpstr>
      <vt:lpstr>Historical</vt:lpstr>
      <vt:lpstr>Sanity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2026-06-27T06:10:55Z</dcterms:created>
  <dcterms:modified xsi:type="dcterms:W3CDTF">2026-06-27T06:10:55Z</dcterms:modified>
</cp:coreProperties>
</file>