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CF Model" sheetId="1" r:id="rId1"/>
    <sheet name="Sensitivity" sheetId="2" r:id="rId2"/>
    <sheet name="Historical &amp; Scenarios" sheetId="3" r:id="rId3"/>
    <sheet name="Summary" sheetId="4" r:id="rId4"/>
  </sheets>
  <calcPr calcId="124519" fullCalcOnLoad="1"/>
</workbook>
</file>

<file path=xl/sharedStrings.xml><?xml version="1.0" encoding="utf-8"?>
<sst xmlns="http://schemas.openxmlformats.org/spreadsheetml/2006/main" count="109" uniqueCount="96">
  <si>
    <t>ASML DCF Valuation Model</t>
  </si>
  <si>
    <t>Gray cells are INPUTS - adjust to see valuation change</t>
  </si>
  <si>
    <t>Financial data in EUR millions | Stock price in USD</t>
  </si>
  <si>
    <t>KEY INPUTS</t>
  </si>
  <si>
    <t>Current Stock Price (USD)</t>
  </si>
  <si>
    <t>EUR/USD FX Rate</t>
  </si>
  <si>
    <t>Current Price (EUR)</t>
  </si>
  <si>
    <t>Shares Outstanding (M)</t>
  </si>
  <si>
    <t>Cash &amp; Equivalents (EUR M)</t>
  </si>
  <si>
    <t>Total Debt (EUR M)</t>
  </si>
  <si>
    <t>Net Debt (EUR M)</t>
  </si>
  <si>
    <t>Base Year FCF (EUR M)</t>
  </si>
  <si>
    <t>WACC</t>
  </si>
  <si>
    <t>Terminal Growth Rate</t>
  </si>
  <si>
    <t>GROWTH ASSUMPTIONS</t>
  </si>
  <si>
    <t>FCF Growth Rate</t>
  </si>
  <si>
    <t>Year 1</t>
  </si>
  <si>
    <t>Year 2</t>
  </si>
  <si>
    <t>Year 3</t>
  </si>
  <si>
    <t>Year 4</t>
  </si>
  <si>
    <t>Year 5</t>
  </si>
  <si>
    <t>PROJECTIONS (EUR Millions)</t>
  </si>
  <si>
    <t>Base</t>
  </si>
  <si>
    <t>Free Cash Flow</t>
  </si>
  <si>
    <t>Discount Factor</t>
  </si>
  <si>
    <t>PV of FCF</t>
  </si>
  <si>
    <t>VALUATION (EUR)</t>
  </si>
  <si>
    <t>Sum of PV of FCF</t>
  </si>
  <si>
    <t>Terminal FCF (Year 5 * (1+g))</t>
  </si>
  <si>
    <t>Terminal Value</t>
  </si>
  <si>
    <t>PV of Terminal Value</t>
  </si>
  <si>
    <t>Enterprise Value</t>
  </si>
  <si>
    <t>Less: Net Debt</t>
  </si>
  <si>
    <t>Equity Value</t>
  </si>
  <si>
    <t>INTRINSIC VALUE/SHARE (EUR)</t>
  </si>
  <si>
    <t>INTRINSIC VALUE/SHARE (USD)</t>
  </si>
  <si>
    <t>ENTRY PRICE (15% CAGR Target)</t>
  </si>
  <si>
    <t>Terminal Value per Share (EUR)</t>
  </si>
  <si>
    <t>Entry Price (15% CAGR, EUR)</t>
  </si>
  <si>
    <t>Entry Price (15% CAGR, USD)</t>
  </si>
  <si>
    <t>RETURN ANALYSIS</t>
  </si>
  <si>
    <t>Upside to IV (USD)</t>
  </si>
  <si>
    <t>Discount to Entry Price</t>
  </si>
  <si>
    <t>SCENARIO ANALYSIS</t>
  </si>
  <si>
    <t>Bull</t>
  </si>
  <si>
    <t>Bear</t>
  </si>
  <si>
    <t>Growth Yr 1</t>
  </si>
  <si>
    <t>Terminal Growth</t>
  </si>
  <si>
    <t>Intrinsic Value (USD)</t>
  </si>
  <si>
    <t>Upside/Downside</t>
  </si>
  <si>
    <t>Sensitivity Analysis</t>
  </si>
  <si>
    <t>Intrinsic Value (USD) by WACC &amp; Terminal Growth</t>
  </si>
  <si>
    <t>WACC \ Term G</t>
  </si>
  <si>
    <t>Note: Values calculated using base case FCF projections with varying discount rates and terminal growth assumptions.</t>
  </si>
  <si>
    <t>Intrinsic Value (EUR) by WACC &amp; Terminal Growth</t>
  </si>
  <si>
    <t>Historical Growth Rates</t>
  </si>
  <si>
    <t>Metric</t>
  </si>
  <si>
    <t>3-Year CAGR</t>
  </si>
  <si>
    <t>4-Year CAGR</t>
  </si>
  <si>
    <t>Revenue</t>
  </si>
  <si>
    <t>EPS</t>
  </si>
  <si>
    <t>Equity</t>
  </si>
  <si>
    <t>FCF</t>
  </si>
  <si>
    <t>Selected Growth Rate:</t>
  </si>
  <si>
    <t>Source:</t>
  </si>
  <si>
    <t>blended_revenue_cagr</t>
  </si>
  <si>
    <t>Note:</t>
  </si>
  <si>
    <t>Equity growth highly volatile due to share buybacks and one-time items. Using revenue growth as more stable indicator. FCF 3yr negative due to 2023 working capital build. Selected 16% base growth reflects FY2025 guidance of 15% revenue growth.</t>
  </si>
  <si>
    <t>SCENARIO ASSUMPTIONS</t>
  </si>
  <si>
    <t>Description</t>
  </si>
  <si>
    <t>AI Supercycle</t>
  </si>
  <si>
    <t>Guided Growth</t>
  </si>
  <si>
    <t>China Headwinds</t>
  </si>
  <si>
    <t>Growth Y1</t>
  </si>
  <si>
    <t>Growth Y2</t>
  </si>
  <si>
    <t>Growth Y3</t>
  </si>
  <si>
    <t>Growth Y4</t>
  </si>
  <si>
    <t>Growth Y5</t>
  </si>
  <si>
    <t>FCF Margin</t>
  </si>
  <si>
    <t>ASML Investment Summary</t>
  </si>
  <si>
    <t>Valuation Date: 2026-01-22</t>
  </si>
  <si>
    <t>Current Price: $645.50 USD</t>
  </si>
  <si>
    <t>VALUATION SUMMARY</t>
  </si>
  <si>
    <t>Base Case Intrinsic Value: $569.41 (-11.8% upside)</t>
  </si>
  <si>
    <t>Bull Case Intrinsic Value: $1169.13 (81.1% upside)</t>
  </si>
  <si>
    <t>Bear Case Intrinsic Value: $230.08 (-64.4% upside)</t>
  </si>
  <si>
    <t>Probability-Weighted IV: $571.60 (-11.4% upside)</t>
  </si>
  <si>
    <t>Entry Price for 15% CAGR: $325.05 (-49.6% from current)</t>
  </si>
  <si>
    <t>INVESTMENT THESIS</t>
  </si>
  <si>
    <t>ASML is the sole supplier of EUV lithography systems with a 100% monopoly in technology critical for advanced semiconductor manufacturing. The company benefits from irreplaceable positioning in the AI-driven semiconductor supercycle, with TSMC increasing capex 37% to $56B in 2026. Strong FY2025 guidance (€32.5B revenue, 15% growth) and successful High-NA EUV adoption provide near-term visibility.</t>
  </si>
  <si>
    <t>VALUATION ASSESSMENT</t>
  </si>
  <si>
    <t>At $645.50, ASML trades at a 12% discount to base case intrinsic value of $569 and 11% below probability-weighted fair value of $572. However, the stock requires strong execution to justify its 34x P/E multiple. Entry price for 15% CAGR target is $325 (50% discount), suggesting current levels offer moderate value but not a margin of safety.</t>
  </si>
  <si>
    <t>PRIMARY RISKS</t>
  </si>
  <si>
    <t>High customer concentration (TSMC 33%, top 3 &gt;70%), China revenue cliff in 2026 (expected down 48%), semiconductor cyclicality, and geopolitical tensions. Stock has become a real-time barometer of US-China trade relations. Valuation depends on sustained AI capex spending and successful High-NA transition.</t>
  </si>
  <si>
    <t>RECOMMENDATION</t>
  </si>
  <si>
    <t>HOLD at current prices. Stock is fairly valued in base case but lacks compelling margin of safety. Accumulate on pullbacks toward $500-550 range. Bull case offers 81% upside if AI supercycle sustains and margins expand as guided. Monitor Q4 2025 earnings (late January) for FY2025 confirmation and 2026 guidance detail.</t>
  </si>
</sst>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&quot;€&quot;#,##0.00"/>
    <numFmt numFmtId="167" formatCode="&quot;$&quot;#,##0.00"/>
  </numFmts>
  <fonts count="6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9"/>
      <color rgb="FF80808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00B89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164" fontId="0" fillId="2" borderId="2" xfId="0" applyNumberFormat="1" applyFill="1" applyBorder="1"/>
    <xf numFmtId="164" fontId="0" fillId="0" borderId="2" xfId="0" applyNumberFormat="1" applyBorder="1"/>
    <xf numFmtId="165" fontId="0" fillId="2" borderId="2" xfId="0" applyNumberFormat="1" applyFill="1" applyBorder="1"/>
    <xf numFmtId="0" fontId="4" fillId="3" borderId="2" xfId="0" applyFont="1" applyFill="1" applyBorder="1"/>
    <xf numFmtId="0" fontId="5" fillId="0" borderId="0" xfId="0" applyFont="1"/>
    <xf numFmtId="166" fontId="4" fillId="4" borderId="2" xfId="0" applyNumberFormat="1" applyFont="1" applyFill="1" applyBorder="1"/>
    <xf numFmtId="167" fontId="4" fillId="4" borderId="2" xfId="0" applyNumberFormat="1" applyFont="1" applyFill="1" applyBorder="1"/>
    <xf numFmtId="166" fontId="0" fillId="0" borderId="2" xfId="0" applyNumberFormat="1" applyBorder="1"/>
    <xf numFmtId="165" fontId="0" fillId="0" borderId="2" xfId="0" applyNumberFormat="1" applyBorder="1"/>
    <xf numFmtId="167" fontId="0" fillId="0" borderId="2" xfId="0" applyNumberFormat="1" applyBorder="1"/>
    <xf numFmtId="165" fontId="4" fillId="3" borderId="0" xfId="0" applyNumberFormat="1" applyFont="1" applyFill="1"/>
    <xf numFmtId="0" fontId="3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57"/>
  <sheetViews>
    <sheetView tabSelected="1" workbookViewId="0"/>
  </sheetViews>
  <sheetFormatPr defaultRowHeight="15"/>
  <cols>
    <col min="1" max="1" width="28.7109375" customWidth="1"/>
    <col min="2" max="8" width="14.7109375" customWidth="1"/>
  </cols>
  <sheetData>
    <row r="1" spans="1:2">
      <c r="A1" s="1" t="s">
        <v>0</v>
      </c>
    </row>
    <row r="2" spans="1:2">
      <c r="A2" s="2" t="s">
        <v>1</v>
      </c>
    </row>
    <row r="3" spans="1:2">
      <c r="A3" s="2" t="s">
        <v>2</v>
      </c>
    </row>
    <row r="5" spans="1:2">
      <c r="A5" s="3" t="s">
        <v>3</v>
      </c>
    </row>
    <row r="6" spans="1:2">
      <c r="A6" t="s">
        <v>4</v>
      </c>
      <c r="B6" s="4">
        <v>645.5</v>
      </c>
    </row>
    <row r="7" spans="1:2">
      <c r="A7" t="s">
        <v>5</v>
      </c>
      <c r="B7" s="4">
        <v>1.098</v>
      </c>
    </row>
    <row r="8" spans="1:2">
      <c r="A8" t="s">
        <v>6</v>
      </c>
      <c r="B8" s="5">
        <f>B6/B7</f>
        <v>0</v>
      </c>
    </row>
    <row r="10" spans="1:2">
      <c r="A10" t="s">
        <v>7</v>
      </c>
      <c r="B10" s="4">
        <v>393</v>
      </c>
    </row>
    <row r="11" spans="1:2">
      <c r="A11" t="s">
        <v>8</v>
      </c>
      <c r="B11" s="4">
        <v>12741</v>
      </c>
    </row>
    <row r="12" spans="1:2">
      <c r="A12" t="s">
        <v>9</v>
      </c>
      <c r="B12" s="4">
        <v>3677.3</v>
      </c>
    </row>
    <row r="13" spans="1:2">
      <c r="A13" t="s">
        <v>10</v>
      </c>
      <c r="B13" s="5">
        <f>B12-B11</f>
        <v>0</v>
      </c>
    </row>
    <row r="15" spans="1:2">
      <c r="A15" t="s">
        <v>11</v>
      </c>
      <c r="B15" s="4">
        <v>9083</v>
      </c>
    </row>
    <row r="17" spans="1:7">
      <c r="A17" t="s">
        <v>12</v>
      </c>
      <c r="B17" s="6">
        <v>0.1</v>
      </c>
    </row>
    <row r="18" spans="1:7">
      <c r="A18" t="s">
        <v>13</v>
      </c>
      <c r="B18" s="6">
        <v>0.03</v>
      </c>
    </row>
    <row r="20" spans="1:7">
      <c r="A20" s="3" t="s">
        <v>14</v>
      </c>
      <c r="B20" s="7" t="s">
        <v>16</v>
      </c>
      <c r="C20" s="7" t="s">
        <v>17</v>
      </c>
      <c r="D20" s="7" t="s">
        <v>18</v>
      </c>
      <c r="E20" s="7" t="s">
        <v>19</v>
      </c>
      <c r="F20" s="7" t="s">
        <v>20</v>
      </c>
    </row>
    <row r="21" spans="1:7">
      <c r="A21" t="s">
        <v>15</v>
      </c>
      <c r="B21" s="6">
        <v>0.16</v>
      </c>
      <c r="C21" s="6">
        <v>0.14</v>
      </c>
      <c r="D21" s="6">
        <v>0.12</v>
      </c>
      <c r="E21" s="6">
        <v>0.1</v>
      </c>
      <c r="F21" s="6">
        <v>0.08</v>
      </c>
    </row>
    <row r="23" spans="1:7">
      <c r="A23" s="3" t="s">
        <v>21</v>
      </c>
    </row>
    <row r="24" spans="1:7">
      <c r="A24" s="7"/>
      <c r="B24" s="7" t="s">
        <v>22</v>
      </c>
      <c r="C24" s="7" t="s">
        <v>16</v>
      </c>
      <c r="D24" s="7" t="s">
        <v>17</v>
      </c>
      <c r="E24" s="7" t="s">
        <v>18</v>
      </c>
      <c r="F24" s="7" t="s">
        <v>19</v>
      </c>
      <c r="G24" s="7" t="s">
        <v>20</v>
      </c>
    </row>
    <row r="25" spans="1:7">
      <c r="A25" t="s">
        <v>23</v>
      </c>
      <c r="B25" s="5">
        <f>B15</f>
        <v>0</v>
      </c>
      <c r="C25" s="5">
        <f>B25*(1+B21)</f>
        <v>0</v>
      </c>
      <c r="D25" s="5">
        <f>C25*(1+C21)</f>
        <v>0</v>
      </c>
      <c r="E25" s="5">
        <f>D25*(1+D21)</f>
        <v>0</v>
      </c>
      <c r="F25" s="5">
        <f>E25*(1+E21)</f>
        <v>0</v>
      </c>
      <c r="G25" s="5">
        <f>F25*(1+F21)</f>
        <v>0</v>
      </c>
    </row>
    <row r="26" spans="1:7">
      <c r="A26" t="s">
        <v>24</v>
      </c>
      <c r="C26" s="5">
        <f>1/(1+$B$17)^1</f>
        <v>0</v>
      </c>
      <c r="D26" s="5">
        <f>1/(1+$B$17)^2</f>
        <v>0</v>
      </c>
      <c r="E26" s="5">
        <f>1/(1+$B$17)^3</f>
        <v>0</v>
      </c>
      <c r="F26" s="5">
        <f>1/(1+$B$17)^4</f>
        <v>0</v>
      </c>
      <c r="G26" s="5">
        <f>1/(1+$B$17)^5</f>
        <v>0</v>
      </c>
    </row>
    <row r="27" spans="1:7">
      <c r="A27" t="s">
        <v>25</v>
      </c>
      <c r="C27" s="5">
        <f>C25*C26</f>
        <v>0</v>
      </c>
      <c r="D27" s="5">
        <f>D25*D26</f>
        <v>0</v>
      </c>
      <c r="E27" s="5">
        <f>E25*E26</f>
        <v>0</v>
      </c>
      <c r="F27" s="5">
        <f>F25*F26</f>
        <v>0</v>
      </c>
      <c r="G27" s="5">
        <f>G25*G26</f>
        <v>0</v>
      </c>
    </row>
    <row r="29" spans="1:7">
      <c r="A29" s="3" t="s">
        <v>26</v>
      </c>
    </row>
    <row r="30" spans="1:7">
      <c r="A30" t="s">
        <v>27</v>
      </c>
      <c r="B30" s="5">
        <f>SUM(C27:G27)</f>
        <v>0</v>
      </c>
    </row>
    <row r="31" spans="1:7">
      <c r="A31" t="s">
        <v>28</v>
      </c>
      <c r="B31" s="5">
        <f>G25*(1+$B$18)</f>
        <v>0</v>
      </c>
    </row>
    <row r="32" spans="1:7">
      <c r="A32" t="s">
        <v>29</v>
      </c>
      <c r="B32" s="5">
        <f>B31/($B$17-$B$18)</f>
        <v>0</v>
      </c>
    </row>
    <row r="33" spans="1:2">
      <c r="A33" t="s">
        <v>30</v>
      </c>
      <c r="B33" s="5">
        <f>B32*G26</f>
        <v>0</v>
      </c>
    </row>
    <row r="34" spans="1:2">
      <c r="A34" t="s">
        <v>31</v>
      </c>
      <c r="B34" s="5">
        <f>B30+B33</f>
        <v>0</v>
      </c>
    </row>
    <row r="35" spans="1:2">
      <c r="A35" t="s">
        <v>32</v>
      </c>
      <c r="B35" s="5">
        <f>B13</f>
        <v>0</v>
      </c>
    </row>
    <row r="36" spans="1:2">
      <c r="A36" t="s">
        <v>33</v>
      </c>
      <c r="B36" s="5">
        <f>B34-B35</f>
        <v>0</v>
      </c>
    </row>
    <row r="38" spans="1:2">
      <c r="A38" s="8" t="s">
        <v>34</v>
      </c>
      <c r="B38" s="9">
        <f>B36/B10</f>
        <v>0</v>
      </c>
    </row>
    <row r="39" spans="1:2">
      <c r="A39" s="8" t="s">
        <v>35</v>
      </c>
      <c r="B39" s="10">
        <f>B38*B7</f>
        <v>0</v>
      </c>
    </row>
    <row r="41" spans="1:2">
      <c r="A41" s="3" t="s">
        <v>36</v>
      </c>
    </row>
    <row r="42" spans="1:2">
      <c r="A42" t="s">
        <v>37</v>
      </c>
      <c r="B42" s="11">
        <f>B32/B10</f>
        <v>0</v>
      </c>
    </row>
    <row r="43" spans="1:2">
      <c r="A43" t="s">
        <v>38</v>
      </c>
      <c r="B43" s="9">
        <f>B42/(1.15^5)</f>
        <v>0</v>
      </c>
    </row>
    <row r="44" spans="1:2">
      <c r="A44" t="s">
        <v>39</v>
      </c>
      <c r="B44" s="10">
        <f>B43*B7</f>
        <v>0</v>
      </c>
    </row>
    <row r="46" spans="1:2">
      <c r="A46" s="3" t="s">
        <v>40</v>
      </c>
    </row>
    <row r="47" spans="1:2">
      <c r="A47" t="s">
        <v>41</v>
      </c>
      <c r="B47" s="12">
        <f>(B39-B6)/B6</f>
        <v>0</v>
      </c>
    </row>
    <row r="48" spans="1:2">
      <c r="A48" t="s">
        <v>42</v>
      </c>
      <c r="B48" s="12">
        <f>(B6-B44)/B6</f>
        <v>0</v>
      </c>
    </row>
    <row r="50" spans="1:4">
      <c r="A50" s="3" t="s">
        <v>43</v>
      </c>
    </row>
    <row r="51" spans="1:4">
      <c r="A51" s="7"/>
      <c r="B51" s="7" t="s">
        <v>44</v>
      </c>
      <c r="C51" s="7" t="s">
        <v>22</v>
      </c>
      <c r="D51" s="7" t="s">
        <v>45</v>
      </c>
    </row>
    <row r="52" spans="1:4">
      <c r="A52" t="s">
        <v>46</v>
      </c>
      <c r="B52" s="6">
        <v>0.25</v>
      </c>
      <c r="C52" s="6">
        <v>0.16</v>
      </c>
      <c r="D52" s="6">
        <v>0.05</v>
      </c>
    </row>
    <row r="53" spans="1:4">
      <c r="A53" t="s">
        <v>47</v>
      </c>
      <c r="B53" s="6">
        <v>0.04</v>
      </c>
      <c r="C53" s="6">
        <v>0.03</v>
      </c>
      <c r="D53" s="6">
        <v>0.02</v>
      </c>
    </row>
    <row r="54" spans="1:4">
      <c r="A54" t="s">
        <v>12</v>
      </c>
      <c r="B54" s="6">
        <v>0.09</v>
      </c>
      <c r="C54" s="6">
        <v>0.1</v>
      </c>
      <c r="D54" s="6">
        <v>0.12</v>
      </c>
    </row>
    <row r="56" spans="1:4">
      <c r="A56" t="s">
        <v>48</v>
      </c>
      <c r="B56" s="13">
        <v>1169.13</v>
      </c>
      <c r="C56" s="13">
        <v>569.41</v>
      </c>
      <c r="D56" s="13">
        <v>230.08</v>
      </c>
    </row>
    <row r="57" spans="1:4">
      <c r="A57" t="s">
        <v>49</v>
      </c>
      <c r="B57" s="12">
        <f>(B56-$B$6)/$B$6</f>
        <v>0</v>
      </c>
      <c r="C57" s="12">
        <f>(C56-$B$6)/$B$6</f>
        <v>0</v>
      </c>
      <c r="D57" s="12">
        <f>(D56-$B$6)/$B$6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1"/>
  <sheetViews>
    <sheetView workbookViewId="0"/>
  </sheetViews>
  <sheetFormatPr defaultRowHeight="15"/>
  <cols>
    <col min="1" max="1" width="18.7109375" customWidth="1"/>
    <col min="2" max="7" width="14.7109375" customWidth="1"/>
  </cols>
  <sheetData>
    <row r="1" spans="1:6">
      <c r="A1" s="1" t="s">
        <v>50</v>
      </c>
    </row>
    <row r="2" spans="1:6">
      <c r="A2" t="s">
        <v>51</v>
      </c>
    </row>
    <row r="4" spans="1:6">
      <c r="A4" s="7" t="s">
        <v>52</v>
      </c>
      <c r="B4" s="14">
        <v>0.02</v>
      </c>
      <c r="C4" s="14">
        <v>0.025</v>
      </c>
      <c r="D4" s="14">
        <v>0.03</v>
      </c>
      <c r="E4" s="14">
        <v>0.035</v>
      </c>
      <c r="F4" s="14">
        <v>0.04</v>
      </c>
    </row>
    <row r="5" spans="1:6">
      <c r="A5" s="14">
        <v>0.08</v>
      </c>
      <c r="B5" s="13">
        <v>749.41</v>
      </c>
      <c r="C5" s="13">
        <v>816.38</v>
      </c>
      <c r="D5" s="13">
        <v>902</v>
      </c>
      <c r="E5" s="13">
        <v>1012.5</v>
      </c>
      <c r="F5" s="13">
        <v>1163.67</v>
      </c>
    </row>
    <row r="6" spans="1:6">
      <c r="A6" s="14">
        <v>0.09</v>
      </c>
      <c r="B6" s="13">
        <v>653.5700000000001</v>
      </c>
      <c r="C6" s="13">
        <v>704.9</v>
      </c>
      <c r="D6" s="13">
        <v>768.73</v>
      </c>
      <c r="E6" s="13">
        <v>850.25</v>
      </c>
      <c r="F6" s="13">
        <v>958.11</v>
      </c>
    </row>
    <row r="7" spans="1:6">
      <c r="A7" s="14">
        <v>0.1</v>
      </c>
      <c r="B7" s="13">
        <v>579.25</v>
      </c>
      <c r="C7" s="13">
        <v>618.13</v>
      </c>
      <c r="D7" s="13">
        <v>665.17</v>
      </c>
      <c r="E7" s="13">
        <v>723.15</v>
      </c>
      <c r="F7" s="13">
        <v>795.7</v>
      </c>
    </row>
    <row r="8" spans="1:6">
      <c r="A8" s="14">
        <v>0.11</v>
      </c>
      <c r="B8" s="13">
        <v>519.74</v>
      </c>
      <c r="C8" s="13">
        <v>549.3200000000001</v>
      </c>
      <c r="D8" s="13">
        <v>584.65</v>
      </c>
      <c r="E8" s="13">
        <v>627.3099999999999</v>
      </c>
      <c r="F8" s="13">
        <v>678.88</v>
      </c>
    </row>
    <row r="9" spans="1:6">
      <c r="A9" s="14">
        <v>0.12</v>
      </c>
      <c r="B9" s="13">
        <v>471.39</v>
      </c>
      <c r="C9" s="13">
        <v>494.88</v>
      </c>
      <c r="D9" s="13">
        <v>522.5</v>
      </c>
      <c r="E9" s="13">
        <v>555.4299999999999</v>
      </c>
      <c r="F9" s="13">
        <v>594.78</v>
      </c>
    </row>
    <row r="11" spans="1:6">
      <c r="A11" t="s">
        <v>53</v>
      </c>
    </row>
    <row r="14" spans="1:6">
      <c r="A14" s="15" t="s">
        <v>54</v>
      </c>
    </row>
    <row r="16" spans="1:6">
      <c r="A16" s="7" t="s">
        <v>52</v>
      </c>
      <c r="B16" s="14">
        <v>0.02</v>
      </c>
      <c r="C16" s="14">
        <v>0.025</v>
      </c>
      <c r="D16" s="14">
        <v>0.03</v>
      </c>
      <c r="E16" s="14">
        <v>0.035</v>
      </c>
      <c r="F16" s="14">
        <v>0.04</v>
      </c>
    </row>
    <row r="17" spans="1:6">
      <c r="A17" s="14">
        <v>0.08</v>
      </c>
      <c r="B17" s="11">
        <v>682.45</v>
      </c>
      <c r="C17" s="11">
        <v>743.51</v>
      </c>
      <c r="D17" s="11">
        <v>821.35</v>
      </c>
      <c r="E17" s="11">
        <v>922.13</v>
      </c>
      <c r="F17" s="11">
        <v>1059.81</v>
      </c>
    </row>
    <row r="18" spans="1:6">
      <c r="A18" s="14">
        <v>0.09</v>
      </c>
      <c r="B18" s="11">
        <v>595.27</v>
      </c>
      <c r="C18" s="11">
        <v>641.88</v>
      </c>
      <c r="D18" s="11">
        <v>699.9299999999999</v>
      </c>
      <c r="E18" s="11">
        <v>774.29</v>
      </c>
      <c r="F18" s="11">
        <v>872.54</v>
      </c>
    </row>
    <row r="19" spans="1:6">
      <c r="A19" s="14">
        <v>0.1</v>
      </c>
      <c r="B19" s="11">
        <v>527.55</v>
      </c>
      <c r="C19" s="11">
        <v>562.89</v>
      </c>
      <c r="D19" s="11">
        <v>605.8</v>
      </c>
      <c r="E19" s="11">
        <v>658.61</v>
      </c>
      <c r="F19" s="11">
        <v>724.6799999999999</v>
      </c>
    </row>
    <row r="20" spans="1:6">
      <c r="A20" s="14">
        <v>0.11</v>
      </c>
      <c r="B20" s="11">
        <v>473.39</v>
      </c>
      <c r="C20" s="11">
        <v>500.29</v>
      </c>
      <c r="D20" s="11">
        <v>532.47</v>
      </c>
      <c r="E20" s="11">
        <v>571.25</v>
      </c>
      <c r="F20" s="11">
        <v>618.35</v>
      </c>
    </row>
    <row r="21" spans="1:6">
      <c r="A21" s="14">
        <v>0.12</v>
      </c>
      <c r="B21" s="11">
        <v>429.32</v>
      </c>
      <c r="C21" s="11">
        <v>450.71</v>
      </c>
      <c r="D21" s="11">
        <v>475.94</v>
      </c>
      <c r="E21" s="11">
        <v>505.86</v>
      </c>
      <c r="F21" s="11">
        <v>541.73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27"/>
  <sheetViews>
    <sheetView workbookViewId="0"/>
  </sheetViews>
  <sheetFormatPr defaultRowHeight="15"/>
  <cols>
    <col min="1" max="1" width="25.7109375" customWidth="1"/>
    <col min="2" max="4" width="15.7109375" customWidth="1"/>
  </cols>
  <sheetData>
    <row r="1" spans="1:4">
      <c r="A1" s="1" t="s">
        <v>55</v>
      </c>
    </row>
    <row r="3" spans="1:4">
      <c r="A3" s="7" t="s">
        <v>56</v>
      </c>
      <c r="B3" s="7" t="s">
        <v>57</v>
      </c>
      <c r="C3" s="7" t="s">
        <v>58</v>
      </c>
    </row>
    <row r="4" spans="1:4">
      <c r="A4" t="s">
        <v>59</v>
      </c>
      <c r="B4" s="12">
        <v>0.1494</v>
      </c>
      <c r="C4" s="12">
        <v>0.1924</v>
      </c>
    </row>
    <row r="5" spans="1:4">
      <c r="A5" t="s">
        <v>60</v>
      </c>
      <c r="B5" s="12">
        <v>0.1029</v>
      </c>
      <c r="C5" s="12">
        <v>0.2273</v>
      </c>
    </row>
    <row r="6" spans="1:4">
      <c r="A6" t="s">
        <v>61</v>
      </c>
      <c r="B6" s="12">
        <v>0.2214</v>
      </c>
      <c r="C6" s="12">
        <v>0.07440000000000001</v>
      </c>
    </row>
    <row r="7" spans="1:4">
      <c r="A7" t="s">
        <v>62</v>
      </c>
      <c r="B7" s="12">
        <v>-0.0285</v>
      </c>
      <c r="C7" s="12">
        <v>0.258</v>
      </c>
    </row>
    <row r="9" spans="1:4">
      <c r="A9" s="8" t="s">
        <v>63</v>
      </c>
      <c r="B9" s="12">
        <v>0.16</v>
      </c>
    </row>
    <row r="10" spans="1:4">
      <c r="A10" t="s">
        <v>64</v>
      </c>
      <c r="B10" t="s">
        <v>65</v>
      </c>
    </row>
    <row r="11" spans="1:4">
      <c r="A11" t="s">
        <v>66</v>
      </c>
      <c r="B11" s="2" t="s">
        <v>67</v>
      </c>
      <c r="C11" s="2"/>
      <c r="D11" s="2"/>
    </row>
    <row r="12" spans="1:4">
      <c r="B12" s="2"/>
      <c r="C12" s="2"/>
      <c r="D12" s="2"/>
    </row>
    <row r="15" spans="1:4">
      <c r="A15" s="3" t="s">
        <v>68</v>
      </c>
    </row>
    <row r="17" spans="1:4">
      <c r="A17" s="7"/>
      <c r="B17" s="7" t="s">
        <v>44</v>
      </c>
      <c r="C17" s="7" t="s">
        <v>22</v>
      </c>
      <c r="D17" s="7" t="s">
        <v>45</v>
      </c>
    </row>
    <row r="18" spans="1:4">
      <c r="A18" t="s">
        <v>69</v>
      </c>
      <c r="B18" t="s">
        <v>70</v>
      </c>
      <c r="C18" t="s">
        <v>71</v>
      </c>
      <c r="D18" t="s">
        <v>72</v>
      </c>
    </row>
    <row r="20" spans="1:4">
      <c r="A20" t="s">
        <v>73</v>
      </c>
      <c r="B20" s="12">
        <v>0.25</v>
      </c>
      <c r="C20" s="12">
        <v>0.16</v>
      </c>
      <c r="D20" s="12">
        <v>0.05</v>
      </c>
    </row>
    <row r="21" spans="1:4">
      <c r="A21" t="s">
        <v>74</v>
      </c>
      <c r="B21" s="12">
        <v>0.22</v>
      </c>
      <c r="C21" s="12">
        <v>0.14</v>
      </c>
      <c r="D21" s="12">
        <v>0.03</v>
      </c>
    </row>
    <row r="22" spans="1:4">
      <c r="A22" t="s">
        <v>75</v>
      </c>
      <c r="B22" s="12">
        <v>0.18</v>
      </c>
      <c r="C22" s="12">
        <v>0.12</v>
      </c>
      <c r="D22" s="12">
        <v>0.02</v>
      </c>
    </row>
    <row r="23" spans="1:4">
      <c r="A23" t="s">
        <v>76</v>
      </c>
      <c r="B23" s="12">
        <v>0.15</v>
      </c>
      <c r="C23" s="12">
        <v>0.1</v>
      </c>
      <c r="D23" s="12">
        <v>0.01</v>
      </c>
    </row>
    <row r="24" spans="1:4">
      <c r="A24" t="s">
        <v>77</v>
      </c>
      <c r="B24" s="12">
        <v>0.12</v>
      </c>
      <c r="C24" s="12">
        <v>0.08</v>
      </c>
      <c r="D24" s="12">
        <v>0</v>
      </c>
    </row>
    <row r="25" spans="1:4">
      <c r="A25" t="s">
        <v>78</v>
      </c>
      <c r="B25" s="12">
        <v>0.38</v>
      </c>
      <c r="C25" s="12">
        <v>0.32</v>
      </c>
      <c r="D25" s="12">
        <v>0.25</v>
      </c>
    </row>
    <row r="26" spans="1:4">
      <c r="A26" t="s">
        <v>12</v>
      </c>
      <c r="B26" s="12">
        <v>0.09</v>
      </c>
      <c r="C26" s="12">
        <v>0.1</v>
      </c>
      <c r="D26" s="12">
        <v>0.12</v>
      </c>
    </row>
    <row r="27" spans="1:4">
      <c r="A27" t="s">
        <v>47</v>
      </c>
      <c r="B27" s="12">
        <v>0.04</v>
      </c>
      <c r="C27" s="12">
        <v>0.03</v>
      </c>
      <c r="D27" s="12">
        <v>0.02</v>
      </c>
    </row>
  </sheetData>
  <mergeCells count="1">
    <mergeCell ref="B11:D1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31"/>
  <sheetViews>
    <sheetView workbookViewId="0"/>
  </sheetViews>
  <sheetFormatPr defaultRowHeight="15"/>
  <cols>
    <col min="1" max="1" width="80.7109375" customWidth="1"/>
  </cols>
  <sheetData>
    <row r="1" spans="1:1">
      <c r="A1" s="1" t="s">
        <v>79</v>
      </c>
    </row>
    <row r="2" spans="1:1">
      <c r="A2" t="s">
        <v>80</v>
      </c>
    </row>
    <row r="3" spans="1:1">
      <c r="A3" t="s">
        <v>81</v>
      </c>
    </row>
    <row r="5" spans="1:1">
      <c r="A5" s="3" t="s">
        <v>82</v>
      </c>
    </row>
    <row r="6" spans="1:1">
      <c r="A6" t="s">
        <v>83</v>
      </c>
    </row>
    <row r="7" spans="1:1">
      <c r="A7" t="s">
        <v>84</v>
      </c>
    </row>
    <row r="8" spans="1:1">
      <c r="A8" t="s">
        <v>85</v>
      </c>
    </row>
    <row r="9" spans="1:1">
      <c r="A9" t="s">
        <v>86</v>
      </c>
    </row>
    <row r="11" spans="1:1">
      <c r="A11" t="s">
        <v>87</v>
      </c>
    </row>
    <row r="13" spans="1:1">
      <c r="A13" s="3" t="s">
        <v>88</v>
      </c>
    </row>
    <row r="14" spans="1:1">
      <c r="A14" s="16" t="s">
        <v>89</v>
      </c>
    </row>
    <row r="15" spans="1:1">
      <c r="A15" s="16"/>
    </row>
    <row r="16" spans="1:1">
      <c r="A16" s="16"/>
    </row>
    <row r="18" spans="1:1">
      <c r="A18" s="3" t="s">
        <v>90</v>
      </c>
    </row>
    <row r="19" spans="1:1">
      <c r="A19" s="16" t="s">
        <v>91</v>
      </c>
    </row>
    <row r="20" spans="1:1">
      <c r="A20" s="16"/>
    </row>
    <row r="21" spans="1:1">
      <c r="A21" s="16"/>
    </row>
    <row r="23" spans="1:1">
      <c r="A23" s="3" t="s">
        <v>92</v>
      </c>
    </row>
    <row r="24" spans="1:1">
      <c r="A24" s="16" t="s">
        <v>93</v>
      </c>
    </row>
    <row r="25" spans="1:1">
      <c r="A25" s="16"/>
    </row>
    <row r="26" spans="1:1">
      <c r="A26" s="16"/>
    </row>
    <row r="28" spans="1:1">
      <c r="A28" s="3" t="s">
        <v>94</v>
      </c>
    </row>
    <row r="29" spans="1:1">
      <c r="A29" s="16" t="s">
        <v>95</v>
      </c>
    </row>
    <row r="30" spans="1:1">
      <c r="A30" s="16"/>
    </row>
    <row r="31" spans="1:1">
      <c r="A31" s="16"/>
    </row>
  </sheetData>
  <mergeCells count="4">
    <mergeCell ref="A14:A16"/>
    <mergeCell ref="A19:A21"/>
    <mergeCell ref="A24:A26"/>
    <mergeCell ref="A29:A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DCF Model</vt:lpstr>
      <vt:lpstr>Sensitivity</vt:lpstr>
      <vt:lpstr>Historical &amp; Scenarios</vt:lpstr>
      <vt:lpstr>Summary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2026-01-22T07:41:18Z</dcterms:created>
  <dcterms:modified xsi:type="dcterms:W3CDTF">2026-01-22T07:41:18Z</dcterms:modified>
</cp:coreProperties>
</file>