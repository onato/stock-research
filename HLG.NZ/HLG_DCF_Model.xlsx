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Historical Financials" sheetId="2" state="visible" r:id="rId4"/>
    <sheet name="DCF Model" sheetId="3" state="visible" r:id="rId5"/>
    <sheet name="Sensitivity Analysis" sheetId="4" state="visible" r:id="rId6"/>
    <sheet name="Comparable Valu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<sst xmlns="http://schemas.openxmlformats.org/spreadsheetml/2006/main" count="330" uniqueCount="283">
  <si>
    <t xml:space="preserve">HALLENSTEIN GLASSON HOLDINGS (HLG.NZ) - DEEP DIVE &amp; DCF VALUATION</t>
  </si>
  <si>
    <t xml:space="preserve">COMPANY OVERVIEW</t>
  </si>
  <si>
    <t xml:space="preserve">Company Name:</t>
  </si>
  <si>
    <t xml:space="preserve">Hallenstein Glasson Holdings Limited</t>
  </si>
  <si>
    <t xml:space="preserve">Ticker:</t>
  </si>
  <si>
    <t xml:space="preserve">HLG.NZ (NZX)</t>
  </si>
  <si>
    <t xml:space="preserve">Sector:</t>
  </si>
  <si>
    <t xml:space="preserve">Consumer Cyclical - Specialty Retail</t>
  </si>
  <si>
    <t xml:space="preserve">Industry:</t>
  </si>
  <si>
    <t xml:space="preserve">Apparel Retail</t>
  </si>
  <si>
    <t xml:space="preserve">Headquarters:</t>
  </si>
  <si>
    <t xml:space="preserve">Auckland, New Zealand</t>
  </si>
  <si>
    <t xml:space="preserve">Founded:</t>
  </si>
  <si>
    <t xml:space="preserve">1873 (Merged 1985)</t>
  </si>
  <si>
    <t xml:space="preserve">CEO:</t>
  </si>
  <si>
    <t xml:space="preserve">Chris Kinraid (since 2024)</t>
  </si>
  <si>
    <t xml:space="preserve">Employees:</t>
  </si>
  <si>
    <t xml:space="preserve">~1,500</t>
  </si>
  <si>
    <t xml:space="preserve">Fiscal Year End:</t>
  </si>
  <si>
    <t xml:space="preserve">August 1</t>
  </si>
  <si>
    <t xml:space="preserve">Currency:</t>
  </si>
  <si>
    <t xml:space="preserve">NZD</t>
  </si>
  <si>
    <t xml:space="preserve">BUSINESS DESCRIPTION</t>
  </si>
  <si>
    <t xml:space="preserve">Hallenstein Glasson Holdings operates as a specialty apparel retailer in New Zealand and Australia through two primary brands:
• Glassons: Women's fashion retail (largest segment) - operates ~75 stores across NZ and Australia
• Hallenstein Brothers: Men's fashion retail - operates ~40 stores primarily in NZ with small Australian presence
The company has a strong omnichannel presence with e-commerce contributing significantly to revenue. Key competitive advantages include established brand recognition (150+ year heritage), strong local market knowledge, and vertically integrated supply chain with buying team based in Melbourne.</t>
  </si>
  <si>
    <t xml:space="preserve">KEY INVESTMENT HIGHLIGHTS</t>
  </si>
  <si>
    <t xml:space="preserve">✓ Debt-free balance sheet with strong cash generation</t>
  </si>
  <si>
    <t xml:space="preserve">✓ Consistent dividend payer with ~5-6% yield</t>
  </si>
  <si>
    <t xml:space="preserve">✓ Strong gross margin (~59%) indicating pricing power</t>
  </si>
  <si>
    <t xml:space="preserve">✓ Growing Australian expansion opportunity</t>
  </si>
  <si>
    <t xml:space="preserve">✓ FCF conversion exceeds net income (negative accrual ratio)</t>
  </si>
  <si>
    <t xml:space="preserve">✓ Revenue CAGR of ~8% over past 5 years</t>
  </si>
  <si>
    <t xml:space="preserve">KEY RISKS</t>
  </si>
  <si>
    <t xml:space="preserve">• FX exposure (inventory purchased in foreign currencies)</t>
  </si>
  <si>
    <t xml:space="preserve">• Consumer discretionary spending sensitive to economic cycles</t>
  </si>
  <si>
    <t xml:space="preserve">• Competitive apparel retail market</t>
  </si>
  <si>
    <t xml:space="preserve">• Lease obligations for store network</t>
  </si>
  <si>
    <t xml:space="preserve">• Dependence on fashion trends and inventory management</t>
  </si>
  <si>
    <t xml:space="preserve">HISTORICAL FINANCIAL PERFORMANCE (NZD Millions)</t>
  </si>
  <si>
    <t xml:space="preserve">INCOME STATEMENT</t>
  </si>
  <si>
    <t xml:space="preserve">Metric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</si>
  <si>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</si>
  <si>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</si>
  <si>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</si>
  <si>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</si>
  <si>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</si>
  <si>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5Y CAGR</t>
  </si>
  <si>
    <t xml:space="preserve">Revenue</t>
  </si>
  <si>
    <t xml:space="preserve">Revenue Growth %</t>
  </si>
  <si>
    <t xml:space="preserve">0.1%</t>
  </si>
  <si>
    <t xml:space="preserve">16.7%</t>
  </si>
  <si>
    <t xml:space="preserve">6.3%</t>
  </si>
  <si>
    <t xml:space="preserve">8.1%</t>
  </si>
  <si>
    <t xml:space="preserve">Cost of Revenue</t>
  </si>
  <si>
    <t xml:space="preserve">Gross Profit</t>
  </si>
  <si>
    <t xml:space="preserve">Gross Margin %</t>
  </si>
  <si>
    <t xml:space="preserve">57.4%</t>
  </si>
  <si>
    <t xml:space="preserve">57.6%</t>
  </si>
  <si>
    <t xml:space="preserve">57.3%</t>
  </si>
  <si>
    <t xml:space="preserve">59.4%</t>
  </si>
  <si>
    <t xml:space="preserve">59.3%</t>
  </si>
  <si>
    <t xml:space="preserve">Operating Expenses</t>
  </si>
  <si>
    <t xml:space="preserve">Operating Income (EBIT)</t>
  </si>
  <si>
    <t xml:space="preserve">Operating Margin %</t>
  </si>
  <si>
    <t xml:space="preserve">14.0%</t>
  </si>
  <si>
    <t xml:space="preserve">10.5%</t>
  </si>
  <si>
    <t xml:space="preserve">11.7%</t>
  </si>
  <si>
    <t xml:space="preserve">12.4%</t>
  </si>
  <si>
    <t xml:space="preserve">12.9%</t>
  </si>
  <si>
    <t xml:space="preserve">Interest Expense</t>
  </si>
  <si>
    <t xml:space="preserve">Interest Income</t>
  </si>
  <si>
    <t xml:space="preserve">Pretax Income</t>
  </si>
  <si>
    <t xml:space="preserve">Income Tax</t>
  </si>
  <si>
    <t xml:space="preserve">Effective Tax Rate %</t>
  </si>
  <si>
    <t xml:space="preserve">29.0%</t>
  </si>
  <si>
    <t xml:space="preserve">27.0%</t>
  </si>
  <si>
    <t xml:space="preserve">29.6%</t>
  </si>
  <si>
    <t xml:space="preserve">33.8%</t>
  </si>
  <si>
    <t xml:space="preserve">32.4%</t>
  </si>
  <si>
    <t xml:space="preserve">Net Income</t>
  </si>
  <si>
    <t xml:space="preserve">Net Margin %</t>
  </si>
  <si>
    <t xml:space="preserve">9.5%</t>
  </si>
  <si>
    <t xml:space="preserve">7.3%</t>
  </si>
  <si>
    <t xml:space="preserve">7.8%</t>
  </si>
  <si>
    <t xml:space="preserve">7.9%</t>
  </si>
  <si>
    <t xml:space="preserve">8.4%</t>
  </si>
  <si>
    <t xml:space="preserve">EPS (NZD)</t>
  </si>
  <si>
    <t xml:space="preserve">Dividend Per Share</t>
  </si>
  <si>
    <t xml:space="preserve">CASH FLOW STATEMENT</t>
  </si>
  <si>
    <t xml:space="preserve">D&amp;A</t>
  </si>
  <si>
    <t xml:space="preserve">Change in Working Capital</t>
  </si>
  <si>
    <t xml:space="preserve">Other Operating</t>
  </si>
  <si>
    <t xml:space="preserve">Operating Cash Flow</t>
  </si>
  <si>
    <t xml:space="preserve">Capital Expenditures</t>
  </si>
  <si>
    <t xml:space="preserve">Free Cash Flow</t>
  </si>
  <si>
    <t xml:space="preserve">FCF Margin %</t>
  </si>
  <si>
    <t xml:space="preserve">15.3%</t>
  </si>
  <si>
    <t xml:space="preserve">12.6%</t>
  </si>
  <si>
    <t xml:space="preserve">13.0%</t>
  </si>
  <si>
    <t xml:space="preserve">15.9%</t>
  </si>
  <si>
    <t xml:space="preserve">15.5%</t>
  </si>
  <si>
    <t xml:space="preserve">FCF Per Share</t>
  </si>
  <si>
    <t xml:space="preserve">Dividends Paid</t>
  </si>
  <si>
    <t xml:space="preserve">BALANCE SHEET KEY ITEMS</t>
  </si>
  <si>
    <t xml:space="preserve">Notes</t>
  </si>
  <si>
    <t xml:space="preserve">Cash &amp; Equivalents</t>
  </si>
  <si>
    <t xml:space="preserve">Growing</t>
  </si>
  <si>
    <t xml:space="preserve">Inventory</t>
  </si>
  <si>
    <t xml:space="preserve">Total Current Assets</t>
  </si>
  <si>
    <t xml:space="preserve">Total Assets</t>
  </si>
  <si>
    <t xml:space="preserve">Total Debt</t>
  </si>
  <si>
    <t xml:space="preserve">Debt-free</t>
  </si>
  <si>
    <t xml:space="preserve">Total Liabilities</t>
  </si>
  <si>
    <t xml:space="preserve">Mostly lease liab.</t>
  </si>
  <si>
    <t xml:space="preserve">Shareholders Equity</t>
  </si>
  <si>
    <t xml:space="preserve">Shares Outstanding (M)</t>
  </si>
  <si>
    <t xml:space="preserve">Stable</t>
  </si>
  <si>
    <t xml:space="preserve">DISCOUNTED CASH FLOW (DCF) VALUATION MODEL</t>
  </si>
  <si>
    <t xml:space="preserve">KEY ASSUMPTIONS</t>
  </si>
  <si>
    <t xml:space="preserve">Base Year Revenue (FY2025, NZD M)</t>
  </si>
  <si>
    <t xml:space="preserve">Source: FY2025 Annual Report</t>
  </si>
  <si>
    <t xml:space="preserve">Base Year FCF (FY2025, NZD M)</t>
  </si>
  <si>
    <t xml:space="preserve">Revenue Growth Rate - Years 1-3</t>
  </si>
  <si>
    <t xml:space="preserve">5.0%</t>
  </si>
  <si>
    <t xml:space="preserve">Conservative vs 8% historical</t>
  </si>
  <si>
    <t xml:space="preserve">Revenue Growth Rate - Years 4-5</t>
  </si>
  <si>
    <t xml:space="preserve">3.5%</t>
  </si>
  <si>
    <t xml:space="preserve">Slowing to mature growth</t>
  </si>
  <si>
    <t xml:space="preserve">Terminal Growth Rate</t>
  </si>
  <si>
    <t xml:space="preserve">2.5%</t>
  </si>
  <si>
    <t xml:space="preserve">NZ long-term GDP proxy</t>
  </si>
  <si>
    <t xml:space="preserve">FCF Margin (% of Revenue)</t>
  </si>
  <si>
    <t xml:space="preserve">15.0%</t>
  </si>
  <si>
    <t xml:space="preserve">Historical average ~15%</t>
  </si>
  <si>
    <t xml:space="preserve">Risk-Free Rate (NZ 10Y Bond)</t>
  </si>
  <si>
    <t xml:space="preserve">4.50%</t>
  </si>
  <si>
    <t xml:space="preserve">Source: RBNZ Dec 2025</t>
  </si>
  <si>
    <t xml:space="preserve">Beta</t>
  </si>
  <si>
    <t xml:space="preserve">Source: Simply Wall St</t>
  </si>
  <si>
    <t xml:space="preserve">Equity Risk Premium</t>
  </si>
  <si>
    <t xml:space="preserve">5.50%</t>
  </si>
  <si>
    <t xml:space="preserve">NZ market ERP</t>
  </si>
  <si>
    <t xml:space="preserve">Cost of Equity (CAPM)</t>
  </si>
  <si>
    <t xml:space="preserve">Risk-free + Beta*ERP</t>
  </si>
  <si>
    <t xml:space="preserve">WACC (=Cost of Equity, debt-free)</t>
  </si>
  <si>
    <t xml:space="preserve">Company is debt-free</t>
  </si>
  <si>
    <t xml:space="preserve">Source: FY2025 Report</t>
  </si>
  <si>
    <t xml:space="preserve">Current Share Price (NZD)</t>
  </si>
  <si>
    <t xml:space="preserve">As of Dec 31, 2025</t>
  </si>
  <si>
    <t xml:space="preserve">FREE CASH FLOW PROJECTIONS (NZD Millions)</t>
  </si>
  <si>
    <t xml:space="preserve">Base (FY25)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</si>
  <si>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</si>
  <si>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</si>
  <si>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</si>
  <si>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</si>
  <si>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</si>
  <si>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</si>
  <si>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Growth Rate</t>
  </si>
  <si>
    <t xml:space="preserve">FCF Margin</t>
  </si>
  <si>
    <t xml:space="preserve">TERMINAL VALUE CALCULATION</t>
  </si>
  <si>
    <t xml:space="preserve">Year 5 FCF</t>
  </si>
  <si>
    <t xml:space="preserve">WACC</t>
  </si>
  <si>
    <t xml:space="preserve">Terminal Value (Gordon Growth)</t>
  </si>
  <si>
    <t xml:space="preserve">FCF * (1+g) / (WACC - g)</t>
  </si>
  <si>
    <t xml:space="preserve">DISCOUNTED CASH FLOWS</t>
  </si>
  <si>
    <t xml:space="preserve">Total</t>
  </si>
  <si>
    <t xml:space="preserve">Discount Period</t>
  </si>
  <si>
    <t xml:space="preserve">Discount Factor</t>
  </si>
  <si>
    <t xml:space="preserve">FCF</t>
  </si>
  <si>
    <t xml:space="preserve">Present Value of FCF</t>
  </si>
  <si>
    <t xml:space="preserve">VALUATION SUMMARY</t>
  </si>
  <si>
    <t xml:space="preserve">Sum of PV of FCFs (Years 1-5)</t>
  </si>
  <si>
    <t xml:space="preserve">PV of Terminal Value</t>
  </si>
  <si>
    <t xml:space="preserve">Enterprise Value</t>
  </si>
  <si>
    <t xml:space="preserve">Less: Debt</t>
  </si>
  <si>
    <t xml:space="preserve">Plus: Cash</t>
  </si>
  <si>
    <t xml:space="preserve">Equity Value</t>
  </si>
  <si>
    <t xml:space="preserve">Implied Share Price (NZD)</t>
  </si>
  <si>
    <t xml:space="preserve">Upside / (Downside) %</t>
  </si>
  <si>
    <t xml:space="preserve">DCF SENSITIVITY ANALYSIS</t>
  </si>
  <si>
    <t xml:space="preserve">IMPLIED SHARE PRICE SENSITIVITY - WACC vs TERMINAL GROWTH</t>
  </si>
  <si>
    <t xml:space="preserve">Terminal Growth →</t>
  </si>
  <si>
    <t xml:space="preserve">1.5%</t>
  </si>
  <si>
    <t xml:space="preserve">2.0%</t>
  </si>
  <si>
    <t xml:space="preserve">3.0%</t>
  </si>
  <si>
    <t xml:space="preserve">WACC ↓</t>
  </si>
  <si>
    <t xml:space="preserve">9.0%</t>
  </si>
  <si>
    <t xml:space="preserve">10.0%</t>
  </si>
  <si>
    <t xml:space="preserve">11.0%</t>
  </si>
  <si>
    <t xml:space="preserve">IMPLIED SHARE PRICE SENSITIVITY - FCF MARGIN vs REVENUE GROWTH</t>
  </si>
  <si>
    <t xml:space="preserve">Rev Growth →</t>
  </si>
  <si>
    <t xml:space="preserve">4.0%</t>
  </si>
  <si>
    <t xml:space="preserve">6.0%</t>
  </si>
  <si>
    <t xml:space="preserve">7.0%</t>
  </si>
  <si>
    <t xml:space="preserve">FCF Margin ↓</t>
  </si>
  <si>
    <t xml:space="preserve">16.0%</t>
  </si>
  <si>
    <t xml:space="preserve">17.0%</t>
  </si>
  <si>
    <t xml:space="preserve">KEY TAKEAWAYS</t>
  </si>
  <si>
    <t xml:space="preserve">• Base case DCF value suggests stock is fairly valued to slightly undervalued</t>
  </si>
  <si>
    <t xml:space="preserve">• Valuation is most sensitive to WACC assumptions given long-duration FCF stream</t>
  </si>
  <si>
    <t xml:space="preserve">• Terminal growth rate has significant impact - conservative 2.5% used vs NZ GDP growth</t>
  </si>
  <si>
    <t xml:space="preserve">• Strong FCF conversion (15%+ margin) provides valuation support</t>
  </si>
  <si>
    <t xml:space="preserve">• Upside scenarios: Australian expansion accelerates, margin expansion from scale</t>
  </si>
  <si>
    <t xml:space="preserve">• Downside scenarios: Consumer slowdown, FX headwinds, competitive pressure</t>
  </si>
  <si>
    <t xml:space="preserve">COMPARABLE COMPANY VALUATION ANALYSIS</t>
  </si>
  <si>
    <t xml:space="preserve">CURRENT TRADING MULTIPLES</t>
  </si>
  <si>
    <t xml:space="preserve">HLG.NZ</t>
  </si>
  <si>
    <t xml:space="preserve">Note</t>
  </si>
  <si>
    <t xml:space="preserve">Share Price (NZD)</t>
  </si>
  <si>
    <t xml:space="preserve">Dec 31, 2025</t>
  </si>
  <si>
    <t xml:space="preserve">Market Cap (NZD M)</t>
  </si>
  <si>
    <t xml:space="preserve">Price x Shares</t>
  </si>
  <si>
    <t xml:space="preserve">Enterprise Value (NZD M)</t>
  </si>
  <si>
    <t xml:space="preserve">Mkt Cap + Debt - Cash</t>
  </si>
  <si>
    <t xml:space="preserve">P/E Ratio (TTM)</t>
  </si>
  <si>
    <t xml:space="preserve">vs 15-18x sector avg</t>
  </si>
  <si>
    <t xml:space="preserve">EV/EBITDA</t>
  </si>
  <si>
    <t xml:space="preserve">vs 7-10x sector avg</t>
  </si>
  <si>
    <t xml:space="preserve">EV/Sales</t>
  </si>
  <si>
    <t xml:space="preserve">vs 0.8-1.5x sector avg</t>
  </si>
  <si>
    <t xml:space="preserve">Price/Book</t>
  </si>
  <si>
    <t xml:space="preserve">High due to asset-light</t>
  </si>
  <si>
    <t xml:space="preserve">FCF Yield</t>
  </si>
  <si>
    <t xml:space="preserve">FCF/Mkt Cap</t>
  </si>
  <si>
    <t xml:space="preserve">Dividend Yield</t>
  </si>
  <si>
    <t xml:space="preserve">5.6%</t>
  </si>
  <si>
    <t xml:space="preserve">Attractive yield</t>
  </si>
  <si>
    <t xml:space="preserve">REGIONAL APPAREL RETAIL PEERS</t>
  </si>
  <si>
    <t xml:space="preserve">Company</t>
  </si>
  <si>
    <t xml:space="preserve">Ticker</t>
  </si>
  <si>
    <t xml:space="preserve">Mkt Cap</t>
  </si>
  <si>
    <t xml:space="preserve">P/E</t>
  </si>
  <si>
    <t xml:space="preserve">Div Yield</t>
  </si>
  <si>
    <t xml:space="preserve">Hallenstein Glasson</t>
  </si>
  <si>
    <t xml:space="preserve">NZ$590M</t>
  </si>
  <si>
    <t xml:space="preserve">Subject company</t>
  </si>
  <si>
    <t xml:space="preserve">Kathmandu Holdings</t>
  </si>
  <si>
    <t xml:space="preserve">KMD.NZ</t>
  </si>
  <si>
    <t xml:space="preserve">NZ$580M</t>
  </si>
  <si>
    <t xml:space="preserve">2.8%</t>
  </si>
  <si>
    <t xml:space="preserve">Outdoor apparel</t>
  </si>
  <si>
    <t xml:space="preserve">Briscoe Group</t>
  </si>
  <si>
    <t xml:space="preserve">BGP.NZ</t>
  </si>
  <si>
    <t xml:space="preserve">NZ$830M</t>
  </si>
  <si>
    <t xml:space="preserve">5.2%</t>
  </si>
  <si>
    <t xml:space="preserve">Homeware focus</t>
  </si>
  <si>
    <t xml:space="preserve">The Warehouse</t>
  </si>
  <si>
    <t xml:space="preserve">WHS.NZ</t>
  </si>
  <si>
    <t xml:space="preserve">NZ$310M</t>
  </si>
  <si>
    <t xml:space="preserve">General retail</t>
  </si>
  <si>
    <t xml:space="preserve">Accent Group</t>
  </si>
  <si>
    <t xml:space="preserve">AX1.AU</t>
  </si>
  <si>
    <t xml:space="preserve">A$730M</t>
  </si>
  <si>
    <t xml:space="preserve">4.8%</t>
  </si>
  <si>
    <t xml:space="preserve">AU footwear</t>
  </si>
  <si>
    <t xml:space="preserve">Truworths Int'l</t>
  </si>
  <si>
    <t xml:space="preserve">TRU.JO</t>
  </si>
  <si>
    <t xml:space="preserve">ZAR15B</t>
  </si>
  <si>
    <t xml:space="preserve">6.2%</t>
  </si>
  <si>
    <t xml:space="preserve">SA apparel</t>
  </si>
  <si>
    <t xml:space="preserve">MULTIPLE-BASED VALUATION</t>
  </si>
  <si>
    <t xml:space="preserve">Method</t>
  </si>
  <si>
    <t xml:space="preserve">Multiple</t>
  </si>
  <si>
    <t xml:space="preserve">Value</t>
  </si>
  <si>
    <t xml:space="preserve">Implied Price</t>
  </si>
  <si>
    <t xml:space="preserve">P/E (Peer Avg 15x)</t>
  </si>
  <si>
    <t xml:space="preserve">EPS $0.66</t>
  </si>
  <si>
    <t xml:space="preserve">$9.90</t>
  </si>
  <si>
    <t xml:space="preserve">EV/EBITDA (Peer Avg 7x)</t>
  </si>
  <si>
    <t xml:space="preserve">EBITDA $72.3M</t>
  </si>
  <si>
    <t xml:space="preserve">$8.76</t>
  </si>
  <si>
    <t xml:space="preserve">EV/Sales (Peer Avg 1.0x)</t>
  </si>
  <si>
    <t xml:space="preserve">Revenue $471M</t>
  </si>
  <si>
    <t xml:space="preserve">$8.08</t>
  </si>
  <si>
    <t xml:space="preserve">DCF Value</t>
  </si>
  <si>
    <t xml:space="preserve">-</t>
  </si>
  <si>
    <t xml:space="preserve">See DCF Model</t>
  </si>
  <si>
    <t xml:space="preserve">$10.72</t>
  </si>
  <si>
    <t xml:space="preserve">Average Implied Value:</t>
  </si>
  <si>
    <t xml:space="preserve">$9.37</t>
  </si>
  <si>
    <t xml:space="preserve">Current Price:</t>
  </si>
  <si>
    <t xml:space="preserve">$9.84</t>
  </si>
  <si>
    <t xml:space="preserve">Premium/(Discount):</t>
  </si>
  <si>
    <t xml:space="preserve">4.8% Premium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</si>
</sst>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2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2F3"/>
        <bgColor rgb="FFCCFFFF"/>
      </patternFill>
    </fill>
    <fill>
      <patternFill patternType="solid">
        <fgColor rgb="FF90EE90"/>
        <bgColor rgb="FF99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50"/>
    <col collapsed="false" customWidth="true" hidden="false" outlineLevel="0" max="7" min="3" style="1" width="15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3" customFormat="false" ht="17.25" hidden="false" customHeight="true" outlineLevel="0" collapsed="false">
      <c r="A3" s="3" t="s">
        <v>1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4" t="s">
        <v>2</v>
      </c>
      <c r="B4" s="1" t="s">
        <v>3</v>
      </c>
    </row>
    <row r="5" customFormat="false" ht="15" hidden="false" customHeight="true" outlineLevel="0" collapsed="false">
      <c r="A5" s="4" t="s">
        <v>4</v>
      </c>
      <c r="B5" s="1" t="s">
        <v>5</v>
      </c>
    </row>
    <row r="6" customFormat="false" ht="15" hidden="false" customHeight="true" outlineLevel="0" collapsed="false">
      <c r="A6" s="4" t="s">
        <v>6</v>
      </c>
      <c r="B6" s="1" t="s">
        <v>7</v>
      </c>
    </row>
    <row r="7" customFormat="false" ht="15" hidden="false" customHeight="true" outlineLevel="0" collapsed="false">
      <c r="A7" s="4" t="s">
        <v>8</v>
      </c>
      <c r="B7" s="1" t="s">
        <v>9</v>
      </c>
    </row>
    <row r="8" customFormat="false" ht="15" hidden="false" customHeight="true" outlineLevel="0" collapsed="false">
      <c r="A8" s="4" t="s">
        <v>10</v>
      </c>
      <c r="B8" s="1" t="s">
        <v>11</v>
      </c>
    </row>
    <row r="9" customFormat="false" ht="15" hidden="false" customHeight="true" outlineLevel="0" collapsed="false">
      <c r="A9" s="4" t="s">
        <v>12</v>
      </c>
      <c r="B9" s="1" t="s">
        <v>13</v>
      </c>
    </row>
    <row r="10" customFormat="false" ht="15" hidden="false" customHeight="true" outlineLevel="0" collapsed="false">
      <c r="A10" s="4" t="s">
        <v>14</v>
      </c>
      <c r="B10" s="1" t="s">
        <v>15</v>
      </c>
    </row>
    <row r="11" customFormat="false" ht="15" hidden="false" customHeight="true" outlineLevel="0" collapsed="false">
      <c r="A11" s="4" t="s">
        <v>16</v>
      </c>
      <c r="B11" s="1" t="s">
        <v>17</v>
      </c>
    </row>
    <row r="12" customFormat="false" ht="15" hidden="false" customHeight="true" outlineLevel="0" collapsed="false">
      <c r="A12" s="4" t="s">
        <v>18</v>
      </c>
      <c r="B12" s="1" t="s">
        <v>19</v>
      </c>
    </row>
    <row r="13" customFormat="false" ht="15" hidden="false" customHeight="true" outlineLevel="0" collapsed="false">
      <c r="A13" s="4" t="s">
        <v>20</v>
      </c>
      <c r="B13" s="1" t="s">
        <v>21</v>
      </c>
    </row>
    <row r="15" customFormat="false" ht="17.25" hidden="false" customHeight="true" outlineLevel="0" collapsed="false">
      <c r="A15" s="3" t="s">
        <v>22</v>
      </c>
      <c r="B15" s="3"/>
      <c r="C15" s="3"/>
      <c r="D15" s="3"/>
      <c r="E15" s="3"/>
      <c r="F15" s="3"/>
      <c r="G15" s="3"/>
    </row>
    <row r="16" customFormat="false" ht="15" hidden="false" customHeight="true" outlineLevel="0" collapsed="false">
      <c r="A16" s="5" t="s">
        <v>23</v>
      </c>
      <c r="B16" s="5"/>
      <c r="C16" s="5"/>
      <c r="D16" s="5"/>
      <c r="E16" s="5"/>
      <c r="F16" s="5"/>
      <c r="G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5"/>
      <c r="G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5"/>
      <c r="G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5"/>
      <c r="G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5"/>
      <c r="G20" s="5"/>
    </row>
    <row r="22" customFormat="false" ht="17.25" hidden="false" customHeight="true" outlineLevel="0" collapsed="false">
      <c r="A22" s="3" t="s">
        <v>24</v>
      </c>
      <c r="B22" s="3"/>
      <c r="C22" s="3"/>
      <c r="D22" s="3"/>
      <c r="E22" s="3"/>
      <c r="F22" s="3"/>
      <c r="G22" s="3"/>
    </row>
    <row r="23" customFormat="false" ht="15" hidden="false" customHeight="true" outlineLevel="0" collapsed="false">
      <c r="A23" s="1" t="s">
        <v>25</v>
      </c>
    </row>
    <row r="24" customFormat="false" ht="15" hidden="false" customHeight="true" outlineLevel="0" collapsed="false">
      <c r="A24" s="1" t="s">
        <v>26</v>
      </c>
    </row>
    <row r="25" customFormat="false" ht="15" hidden="false" customHeight="true" outlineLevel="0" collapsed="false">
      <c r="A25" s="1" t="s">
        <v>27</v>
      </c>
    </row>
    <row r="26" customFormat="false" ht="15" hidden="false" customHeight="true" outlineLevel="0" collapsed="false">
      <c r="A26" s="1" t="s">
        <v>28</v>
      </c>
    </row>
    <row r="27" customFormat="false" ht="15" hidden="false" customHeight="true" outlineLevel="0" collapsed="false">
      <c r="A27" s="1" t="s">
        <v>29</v>
      </c>
    </row>
    <row r="28" customFormat="false" ht="15" hidden="false" customHeight="true" outlineLevel="0" collapsed="false">
      <c r="A28" s="1" t="s">
        <v>30</v>
      </c>
    </row>
    <row r="30" customFormat="false" ht="17.25" hidden="false" customHeight="true" outlineLevel="0" collapsed="false">
      <c r="A30" s="3" t="s">
        <v>31</v>
      </c>
      <c r="B30" s="3"/>
      <c r="C30" s="3"/>
      <c r="D30" s="3"/>
      <c r="E30" s="3"/>
      <c r="F30" s="3"/>
      <c r="G30" s="3"/>
    </row>
    <row r="31" customFormat="false" ht="15" hidden="false" customHeight="true" outlineLevel="0" collapsed="false">
      <c r="A31" s="1" t="s">
        <v>32</v>
      </c>
    </row>
    <row r="32" customFormat="false" ht="15" hidden="false" customHeight="true" outlineLevel="0" collapsed="false">
      <c r="A32" s="1" t="s">
        <v>33</v>
      </c>
    </row>
    <row r="33" customFormat="false" ht="15" hidden="false" customHeight="true" outlineLevel="0" collapsed="false">
      <c r="A33" s="1" t="s">
        <v>34</v>
      </c>
    </row>
    <row r="34" customFormat="false" ht="15" hidden="false" customHeight="true" outlineLevel="0" collapsed="false">
      <c r="A34" s="1" t="s">
        <v>35</v>
      </c>
    </row>
    <row r="35" customFormat="false" ht="15" hidden="false" customHeight="true" outlineLevel="0" collapsed="false">
      <c r="A35" s="1" t="s">
        <v>36</v>
      </c>
    </row>
  </sheetData>
  <mergeCells count="6">
    <mergeCell ref="A1:G1"/>
    <mergeCell ref="A3:G3"/>
    <mergeCell ref="A15:G15"/>
    <mergeCell ref="A16:G20"/>
    <mergeCell ref="A22:G22"/>
    <mergeCell ref="A30:G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2"/>
  </cols>
  <sheetData>
    <row r="1" customFormat="false" ht="17.25" hidden="false" customHeight="true" outlineLevel="0" collapsed="false">
      <c r="A1" s="6" t="s">
        <v>37</v>
      </c>
      <c r="B1" s="6"/>
      <c r="C1" s="6"/>
      <c r="D1" s="6"/>
      <c r="E1" s="6"/>
      <c r="F1" s="6"/>
      <c r="G1" s="6"/>
    </row>
    <row r="3" customFormat="false" ht="17.25" hidden="false" customHeight="true" outlineLevel="0" collapsed="false">
      <c r="A3" s="3" t="s">
        <v>38</v>
      </c>
      <c r="B3" s="3"/>
      <c r="C3" s="3"/>
      <c r="D3" s="3"/>
      <c r="E3" s="3"/>
      <c r="F3" s="3"/>
      <c r="G3" s="3"/>
    </row>
    <row r="4" customFormat="false" ht="15" hidden="false" customHeight="true" outlineLevel="0" collapsed="false">
      <c r="A4" s="7" t="s">
        <v>39</v>
      </c>
      <c r="B4" s="7" t="s">
        <v>40</v>
      </c>
      <c r="C4" s="7" t="s">
        <v>41</v>
      </c>
      <c r="D4" s="7" t="s">
        <v>42</v>
      </c>
      <c r="E4" s="7" t="s">
        <v>43</v>
      </c>
      <c r="F4" s="7" t="s">
        <v>44</v>
      </c>
      <c r="G4" s="7" t="s">
        <v>45</v>
      </c>
    </row>
    <row r="5" customFormat="false" ht="15" hidden="false" customHeight="true" outlineLevel="0" collapsed="false">
      <c r="A5" s="8" t="s">
        <v>46</v>
      </c>
      <c r="B5" s="9" t="n">
        <v>350.76</v>
      </c>
      <c r="C5" s="9" t="n">
        <v>351.21</v>
      </c>
      <c r="D5" s="9" t="n">
        <v>409.71</v>
      </c>
      <c r="E5" s="9" t="n">
        <v>435.64</v>
      </c>
      <c r="F5" s="9" t="n">
        <v>470.74</v>
      </c>
      <c r="G5" s="1" t="n">
        <f aca="false">POWER(F5/B5,1/4)-1</f>
        <v>0.0763233458863859</v>
      </c>
    </row>
    <row r="6" customFormat="false" ht="15" hidden="false" customHeight="true" outlineLevel="0" collapsed="false">
      <c r="A6" s="8" t="s">
        <v>47</v>
      </c>
      <c r="B6" s="9"/>
      <c r="C6" s="9" t="s">
        <v>48</v>
      </c>
      <c r="D6" s="9" t="s">
        <v>49</v>
      </c>
      <c r="E6" s="9" t="s">
        <v>50</v>
      </c>
      <c r="F6" s="9" t="s">
        <v>51</v>
      </c>
    </row>
    <row r="7" customFormat="false" ht="15" hidden="false" customHeight="true" outlineLevel="0" collapsed="false">
      <c r="A7" s="8" t="s">
        <v>52</v>
      </c>
      <c r="B7" s="9" t="n">
        <v>149.55</v>
      </c>
      <c r="C7" s="9" t="n">
        <v>148.95</v>
      </c>
      <c r="D7" s="9" t="n">
        <v>174.86</v>
      </c>
      <c r="E7" s="9" t="n">
        <v>176.9</v>
      </c>
      <c r="F7" s="9" t="n">
        <v>191.48</v>
      </c>
    </row>
    <row r="8" customFormat="false" ht="15" hidden="false" customHeight="true" outlineLevel="0" collapsed="false">
      <c r="A8" s="8" t="s">
        <v>53</v>
      </c>
      <c r="B8" s="9" t="n">
        <v>201.21</v>
      </c>
      <c r="C8" s="9" t="n">
        <v>202.26</v>
      </c>
      <c r="D8" s="9" t="n">
        <v>234.85</v>
      </c>
      <c r="E8" s="9" t="n">
        <v>258.73</v>
      </c>
      <c r="F8" s="9" t="n">
        <v>279.26</v>
      </c>
    </row>
    <row r="9" customFormat="false" ht="15" hidden="false" customHeight="true" outlineLevel="0" collapsed="false">
      <c r="A9" s="8" t="s">
        <v>54</v>
      </c>
      <c r="B9" s="9" t="s">
        <v>55</v>
      </c>
      <c r="C9" s="9" t="s">
        <v>56</v>
      </c>
      <c r="D9" s="9" t="s">
        <v>57</v>
      </c>
      <c r="E9" s="9" t="s">
        <v>58</v>
      </c>
      <c r="F9" s="9" t="s">
        <v>59</v>
      </c>
    </row>
    <row r="10" customFormat="false" ht="15" hidden="false" customHeight="true" outlineLevel="0" collapsed="false">
      <c r="A10" s="8" t="s">
        <v>60</v>
      </c>
      <c r="B10" s="9" t="n">
        <v>152.15</v>
      </c>
      <c r="C10" s="9" t="n">
        <v>165.4</v>
      </c>
      <c r="D10" s="9" t="n">
        <v>187.04</v>
      </c>
      <c r="E10" s="9" t="n">
        <v>204.54</v>
      </c>
      <c r="F10" s="9" t="n">
        <v>218.48</v>
      </c>
    </row>
    <row r="11" customFormat="false" ht="15" hidden="false" customHeight="true" outlineLevel="0" collapsed="false">
      <c r="A11" s="8" t="s">
        <v>61</v>
      </c>
      <c r="B11" s="9" t="n">
        <v>49.06</v>
      </c>
      <c r="C11" s="9" t="n">
        <v>36.87</v>
      </c>
      <c r="D11" s="9" t="n">
        <v>47.81</v>
      </c>
      <c r="E11" s="9" t="n">
        <v>54.19</v>
      </c>
      <c r="F11" s="9" t="n">
        <v>60.79</v>
      </c>
    </row>
    <row r="12" customFormat="false" ht="15" hidden="false" customHeight="true" outlineLevel="0" collapsed="false">
      <c r="A12" s="8" t="s">
        <v>62</v>
      </c>
      <c r="B12" s="9" t="s">
        <v>63</v>
      </c>
      <c r="C12" s="9" t="s">
        <v>64</v>
      </c>
      <c r="D12" s="9" t="s">
        <v>65</v>
      </c>
      <c r="E12" s="9" t="s">
        <v>66</v>
      </c>
      <c r="F12" s="9" t="s">
        <v>67</v>
      </c>
    </row>
    <row r="13" customFormat="false" ht="15" hidden="false" customHeight="true" outlineLevel="0" collapsed="false">
      <c r="A13" s="8" t="s">
        <v>68</v>
      </c>
      <c r="B13" s="9" t="n">
        <v>-2.43</v>
      </c>
      <c r="C13" s="9" t="n">
        <v>-2.15</v>
      </c>
      <c r="D13" s="9" t="n">
        <v>-3.56</v>
      </c>
      <c r="E13" s="9" t="n">
        <v>-4.17</v>
      </c>
      <c r="F13" s="9" t="n">
        <v>-4.69</v>
      </c>
    </row>
    <row r="14" customFormat="false" ht="15" hidden="false" customHeight="true" outlineLevel="0" collapsed="false">
      <c r="A14" s="8" t="s">
        <v>69</v>
      </c>
      <c r="B14" s="9" t="n">
        <v>0.11</v>
      </c>
      <c r="C14" s="9" t="n">
        <v>0.18</v>
      </c>
      <c r="D14" s="9" t="n">
        <v>1.17</v>
      </c>
      <c r="E14" s="9" t="n">
        <v>1.96</v>
      </c>
      <c r="F14" s="9" t="n">
        <v>2.04</v>
      </c>
    </row>
    <row r="15" customFormat="false" ht="15" hidden="false" customHeight="true" outlineLevel="0" collapsed="false">
      <c r="A15" s="8" t="s">
        <v>70</v>
      </c>
      <c r="B15" s="9" t="n">
        <v>46.95</v>
      </c>
      <c r="C15" s="9" t="n">
        <v>35.09</v>
      </c>
      <c r="D15" s="9" t="n">
        <v>45.42</v>
      </c>
      <c r="E15" s="9" t="n">
        <v>52.09</v>
      </c>
      <c r="F15" s="9" t="n">
        <v>58.38</v>
      </c>
    </row>
    <row r="16" customFormat="false" ht="15" hidden="false" customHeight="true" outlineLevel="0" collapsed="false">
      <c r="A16" s="8" t="s">
        <v>71</v>
      </c>
      <c r="B16" s="9" t="n">
        <v>-13.63</v>
      </c>
      <c r="C16" s="9" t="n">
        <v>-9.48</v>
      </c>
      <c r="D16" s="9" t="n">
        <v>-13.44</v>
      </c>
      <c r="E16" s="9" t="n">
        <v>-17.6</v>
      </c>
      <c r="F16" s="9" t="n">
        <v>-18.92</v>
      </c>
    </row>
    <row r="17" customFormat="false" ht="15" hidden="false" customHeight="true" outlineLevel="0" collapsed="false">
      <c r="A17" s="8" t="s">
        <v>72</v>
      </c>
      <c r="B17" s="9" t="s">
        <v>73</v>
      </c>
      <c r="C17" s="9" t="s">
        <v>74</v>
      </c>
      <c r="D17" s="9" t="s">
        <v>75</v>
      </c>
      <c r="E17" s="9" t="s">
        <v>76</v>
      </c>
      <c r="F17" s="9" t="s">
        <v>77</v>
      </c>
    </row>
    <row r="18" customFormat="false" ht="15" hidden="false" customHeight="true" outlineLevel="0" collapsed="false">
      <c r="A18" s="8" t="s">
        <v>78</v>
      </c>
      <c r="B18" s="9" t="n">
        <v>33.32</v>
      </c>
      <c r="C18" s="9" t="n">
        <v>25.61</v>
      </c>
      <c r="D18" s="9" t="n">
        <v>31.98</v>
      </c>
      <c r="E18" s="9" t="n">
        <v>34.49</v>
      </c>
      <c r="F18" s="9" t="n">
        <v>39.46</v>
      </c>
      <c r="G18" s="1" t="n">
        <f aca="false">POWER(F18/B18,1/4)-1</f>
        <v>0.0431890554640932</v>
      </c>
    </row>
    <row r="19" customFormat="false" ht="15" hidden="false" customHeight="true" outlineLevel="0" collapsed="false">
      <c r="A19" s="8" t="s">
        <v>79</v>
      </c>
      <c r="B19" s="9" t="s">
        <v>80</v>
      </c>
      <c r="C19" s="9" t="s">
        <v>81</v>
      </c>
      <c r="D19" s="9" t="s">
        <v>82</v>
      </c>
      <c r="E19" s="9" t="s">
        <v>83</v>
      </c>
      <c r="F19" s="9" t="s">
        <v>84</v>
      </c>
      <c r="G19" s="1" t="n">
        <f aca="false">POWER(F19/B19,1/4)-1</f>
        <v>-0.0302965958793099</v>
      </c>
    </row>
    <row r="20" customFormat="false" ht="15" hidden="false" customHeight="true" outlineLevel="0" collapsed="false">
      <c r="A20" s="8" t="s">
        <v>85</v>
      </c>
      <c r="B20" s="9" t="n">
        <v>0.56</v>
      </c>
      <c r="C20" s="9" t="n">
        <v>0.43</v>
      </c>
      <c r="D20" s="9" t="n">
        <v>0.54</v>
      </c>
      <c r="E20" s="9" t="n">
        <v>0.58</v>
      </c>
      <c r="F20" s="9" t="n">
        <v>0.66</v>
      </c>
    </row>
    <row r="21" customFormat="false" ht="15" hidden="false" customHeight="true" outlineLevel="0" collapsed="false">
      <c r="A21" s="8" t="s">
        <v>86</v>
      </c>
      <c r="B21" s="9" t="n">
        <v>0.47</v>
      </c>
      <c r="C21" s="9" t="n">
        <v>0.42</v>
      </c>
      <c r="D21" s="9" t="n">
        <v>0.48</v>
      </c>
      <c r="E21" s="9" t="n">
        <v>0.505</v>
      </c>
      <c r="F21" s="9" t="n">
        <v>0.55</v>
      </c>
    </row>
    <row r="24" customFormat="false" ht="17.25" hidden="false" customHeight="true" outlineLevel="0" collapsed="false">
      <c r="A24" s="3" t="s">
        <v>87</v>
      </c>
      <c r="B24" s="3"/>
      <c r="C24" s="3"/>
      <c r="D24" s="3"/>
      <c r="E24" s="3"/>
      <c r="F24" s="3"/>
      <c r="G24" s="3"/>
    </row>
    <row r="25" customFormat="false" ht="15" hidden="false" customHeight="true" outlineLevel="0" collapsed="false">
      <c r="A25" s="7" t="s">
        <v>39</v>
      </c>
      <c r="B25" s="7" t="s">
        <v>40</v>
      </c>
      <c r="C25" s="7" t="s">
        <v>41</v>
      </c>
      <c r="D25" s="7" t="s">
        <v>42</v>
      </c>
      <c r="E25" s="7" t="s">
        <v>43</v>
      </c>
      <c r="F25" s="7" t="s">
        <v>44</v>
      </c>
      <c r="G25" s="7" t="s">
        <v>45</v>
      </c>
    </row>
    <row r="26" customFormat="false" ht="15" hidden="false" customHeight="true" outlineLevel="0" collapsed="false">
      <c r="A26" s="8" t="s">
        <v>78</v>
      </c>
      <c r="B26" s="9" t="n">
        <v>33.32</v>
      </c>
      <c r="C26" s="9" t="n">
        <v>25.61</v>
      </c>
      <c r="D26" s="9" t="n">
        <v>31.98</v>
      </c>
      <c r="E26" s="9" t="n">
        <v>34.49</v>
      </c>
      <c r="F26" s="9" t="n">
        <v>39.46</v>
      </c>
    </row>
    <row r="27" customFormat="false" ht="15" hidden="false" customHeight="true" outlineLevel="0" collapsed="false">
      <c r="A27" s="8" t="s">
        <v>88</v>
      </c>
      <c r="B27" s="9" t="n">
        <v>34.87</v>
      </c>
      <c r="C27" s="9" t="n">
        <v>33.82</v>
      </c>
      <c r="D27" s="9" t="n">
        <v>37.7</v>
      </c>
      <c r="E27" s="9" t="n">
        <v>38.02</v>
      </c>
      <c r="F27" s="9" t="n">
        <v>40.03</v>
      </c>
    </row>
    <row r="28" customFormat="false" ht="15" hidden="false" customHeight="true" outlineLevel="0" collapsed="false">
      <c r="A28" s="8" t="s">
        <v>89</v>
      </c>
      <c r="B28" s="9" t="n">
        <v>-6.25</v>
      </c>
      <c r="C28" s="9" t="n">
        <v>-6.72</v>
      </c>
      <c r="D28" s="9" t="n">
        <v>-2.28</v>
      </c>
      <c r="E28" s="9" t="n">
        <v>12.77</v>
      </c>
      <c r="F28" s="9" t="n">
        <v>6.13</v>
      </c>
    </row>
    <row r="29" customFormat="false" ht="15" hidden="false" customHeight="true" outlineLevel="0" collapsed="false">
      <c r="A29" s="8" t="s">
        <v>90</v>
      </c>
      <c r="B29" s="9" t="n">
        <v>0</v>
      </c>
      <c r="C29" s="9" t="n">
        <v>0</v>
      </c>
      <c r="D29" s="9" t="n">
        <v>0.62</v>
      </c>
      <c r="E29" s="9" t="n">
        <v>0.03</v>
      </c>
      <c r="F29" s="9" t="n">
        <v>2.99</v>
      </c>
    </row>
    <row r="30" customFormat="false" ht="15" hidden="false" customHeight="true" outlineLevel="0" collapsed="false">
      <c r="A30" s="8" t="s">
        <v>91</v>
      </c>
      <c r="B30" s="9" t="n">
        <v>61.43</v>
      </c>
      <c r="C30" s="9" t="n">
        <v>52.49</v>
      </c>
      <c r="D30" s="9" t="n">
        <v>68.02</v>
      </c>
      <c r="E30" s="9" t="n">
        <v>85.31</v>
      </c>
      <c r="F30" s="9" t="n">
        <v>88.61</v>
      </c>
    </row>
    <row r="31" customFormat="false" ht="15" hidden="false" customHeight="true" outlineLevel="0" collapsed="false">
      <c r="A31" s="8" t="s">
        <v>92</v>
      </c>
      <c r="B31" s="9" t="n">
        <v>-7.89</v>
      </c>
      <c r="C31" s="9" t="n">
        <v>-8.28</v>
      </c>
      <c r="D31" s="9" t="n">
        <v>-14.81</v>
      </c>
      <c r="E31" s="9" t="n">
        <v>-15.94</v>
      </c>
      <c r="F31" s="9" t="n">
        <v>-15.83</v>
      </c>
    </row>
    <row r="32" customFormat="false" ht="15" hidden="false" customHeight="true" outlineLevel="0" collapsed="false">
      <c r="A32" s="8" t="s">
        <v>93</v>
      </c>
      <c r="B32" s="9" t="n">
        <v>53.54</v>
      </c>
      <c r="C32" s="9" t="n">
        <v>44.21</v>
      </c>
      <c r="D32" s="9" t="n">
        <v>53.21</v>
      </c>
      <c r="E32" s="9" t="n">
        <v>69.37</v>
      </c>
      <c r="F32" s="9" t="n">
        <v>72.78</v>
      </c>
    </row>
    <row r="33" customFormat="false" ht="15" hidden="false" customHeight="true" outlineLevel="0" collapsed="false">
      <c r="A33" s="8" t="s">
        <v>94</v>
      </c>
      <c r="B33" s="9" t="s">
        <v>95</v>
      </c>
      <c r="C33" s="9" t="s">
        <v>96</v>
      </c>
      <c r="D33" s="9" t="s">
        <v>97</v>
      </c>
      <c r="E33" s="9" t="s">
        <v>98</v>
      </c>
      <c r="F33" s="9" t="s">
        <v>99</v>
      </c>
    </row>
    <row r="34" customFormat="false" ht="15" hidden="false" customHeight="true" outlineLevel="0" collapsed="false">
      <c r="A34" s="8" t="s">
        <v>100</v>
      </c>
      <c r="B34" s="9" t="n">
        <v>0.9</v>
      </c>
      <c r="C34" s="9" t="n">
        <v>0.74</v>
      </c>
      <c r="D34" s="9" t="n">
        <v>0.89</v>
      </c>
      <c r="E34" s="9" t="n">
        <v>1.16</v>
      </c>
      <c r="F34" s="9" t="n">
        <v>1.22</v>
      </c>
    </row>
    <row r="35" customFormat="false" ht="15" hidden="false" customHeight="true" outlineLevel="0" collapsed="false">
      <c r="A35" s="8" t="s">
        <v>101</v>
      </c>
      <c r="B35" s="9" t="n">
        <v>-36.98</v>
      </c>
      <c r="C35" s="9" t="n">
        <v>-25.05</v>
      </c>
      <c r="D35" s="9" t="n">
        <v>-28.63</v>
      </c>
      <c r="E35" s="9" t="n">
        <v>-28.63</v>
      </c>
      <c r="F35" s="9" t="n">
        <v>-30.42</v>
      </c>
    </row>
    <row r="38" customFormat="false" ht="17.25" hidden="false" customHeight="true" outlineLevel="0" collapsed="false">
      <c r="A38" s="3" t="s">
        <v>102</v>
      </c>
      <c r="B38" s="3"/>
      <c r="C38" s="3"/>
      <c r="D38" s="3"/>
      <c r="E38" s="3"/>
      <c r="F38" s="3"/>
      <c r="G38" s="3"/>
    </row>
    <row r="39" customFormat="false" ht="15" hidden="false" customHeight="true" outlineLevel="0" collapsed="false">
      <c r="A39" s="7" t="s">
        <v>39</v>
      </c>
      <c r="B39" s="7" t="s">
        <v>40</v>
      </c>
      <c r="C39" s="7" t="s">
        <v>41</v>
      </c>
      <c r="D39" s="7" t="s">
        <v>42</v>
      </c>
      <c r="E39" s="7" t="s">
        <v>43</v>
      </c>
      <c r="F39" s="7" t="s">
        <v>44</v>
      </c>
      <c r="G39" s="7" t="s">
        <v>103</v>
      </c>
    </row>
    <row r="40" customFormat="false" ht="15" hidden="false" customHeight="true" outlineLevel="0" collapsed="false">
      <c r="A40" s="8" t="s">
        <v>104</v>
      </c>
      <c r="B40" s="9" t="n">
        <v>23.5</v>
      </c>
      <c r="C40" s="9" t="n">
        <v>19.4</v>
      </c>
      <c r="D40" s="9" t="n">
        <v>16.8</v>
      </c>
      <c r="E40" s="9" t="n">
        <v>30.2</v>
      </c>
      <c r="F40" s="9" t="n">
        <v>45.9</v>
      </c>
      <c r="G40" s="9" t="s">
        <v>105</v>
      </c>
    </row>
    <row r="41" customFormat="false" ht="15" hidden="false" customHeight="true" outlineLevel="0" collapsed="false">
      <c r="A41" s="8" t="s">
        <v>106</v>
      </c>
      <c r="B41" s="9" t="n">
        <v>38</v>
      </c>
      <c r="C41" s="9" t="n">
        <v>43.6</v>
      </c>
      <c r="D41" s="9" t="n">
        <v>41.1</v>
      </c>
      <c r="E41" s="9" t="n">
        <v>37.6</v>
      </c>
      <c r="F41" s="9" t="n">
        <v>41.4</v>
      </c>
      <c r="G41" s="9"/>
    </row>
    <row r="42" customFormat="false" ht="15" hidden="false" customHeight="true" outlineLevel="0" collapsed="false">
      <c r="A42" s="8" t="s">
        <v>107</v>
      </c>
      <c r="B42" s="9" t="n">
        <v>65</v>
      </c>
      <c r="C42" s="9" t="n">
        <v>68</v>
      </c>
      <c r="D42" s="9" t="n">
        <v>63</v>
      </c>
      <c r="E42" s="9" t="n">
        <v>74</v>
      </c>
      <c r="F42" s="9" t="n">
        <v>81.8</v>
      </c>
      <c r="G42" s="9"/>
    </row>
    <row r="43" customFormat="false" ht="15" hidden="false" customHeight="true" outlineLevel="0" collapsed="false">
      <c r="A43" s="8" t="s">
        <v>108</v>
      </c>
      <c r="B43" s="9" t="n">
        <v>175</v>
      </c>
      <c r="C43" s="9" t="n">
        <v>185</v>
      </c>
      <c r="D43" s="9" t="n">
        <v>195</v>
      </c>
      <c r="E43" s="9" t="n">
        <v>210</v>
      </c>
      <c r="F43" s="9" t="n">
        <v>219</v>
      </c>
      <c r="G43" s="9"/>
    </row>
    <row r="44" customFormat="false" ht="15" hidden="false" customHeight="true" outlineLevel="0" collapsed="false">
      <c r="A44" s="8" t="s">
        <v>109</v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s">
        <v>110</v>
      </c>
    </row>
    <row r="45" customFormat="false" ht="15" hidden="false" customHeight="true" outlineLevel="0" collapsed="false">
      <c r="A45" s="8" t="s">
        <v>111</v>
      </c>
      <c r="B45" s="9" t="n">
        <v>95</v>
      </c>
      <c r="C45" s="9" t="n">
        <v>100</v>
      </c>
      <c r="D45" s="9" t="n">
        <v>105</v>
      </c>
      <c r="E45" s="9" t="n">
        <v>110</v>
      </c>
      <c r="F45" s="9" t="n">
        <v>115.8</v>
      </c>
      <c r="G45" s="9" t="s">
        <v>112</v>
      </c>
    </row>
    <row r="46" customFormat="false" ht="15" hidden="false" customHeight="true" outlineLevel="0" collapsed="false">
      <c r="A46" s="8" t="s">
        <v>113</v>
      </c>
      <c r="B46" s="9" t="n">
        <v>80</v>
      </c>
      <c r="C46" s="9" t="n">
        <v>85</v>
      </c>
      <c r="D46" s="9" t="n">
        <v>90</v>
      </c>
      <c r="E46" s="9" t="n">
        <v>100</v>
      </c>
      <c r="F46" s="9" t="n">
        <v>103.2</v>
      </c>
      <c r="G46" s="9"/>
    </row>
    <row r="47" customFormat="false" ht="15" hidden="false" customHeight="true" outlineLevel="0" collapsed="false">
      <c r="A47" s="8" t="s">
        <v>114</v>
      </c>
      <c r="B47" s="9" t="n">
        <v>59.6</v>
      </c>
      <c r="C47" s="9" t="n">
        <v>59.6</v>
      </c>
      <c r="D47" s="9" t="n">
        <v>59.6</v>
      </c>
      <c r="E47" s="9" t="n">
        <v>59.6</v>
      </c>
      <c r="F47" s="9" t="n">
        <v>59.7</v>
      </c>
      <c r="G47" s="9" t="s">
        <v>115</v>
      </c>
    </row>
  </sheetData>
  <mergeCells count="4">
    <mergeCell ref="A1:G1"/>
    <mergeCell ref="A3:G3"/>
    <mergeCell ref="A24:G24"/>
    <mergeCell ref="A38:G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40"/>
    <col collapsed="false" customWidth="true" hidden="false" outlineLevel="0" max="8" min="4" style="1" width="12"/>
  </cols>
  <sheetData>
    <row r="1" customFormat="false" ht="17.25" hidden="false" customHeight="true" outlineLevel="0" collapsed="false">
      <c r="A1" s="6" t="s">
        <v>116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17.25" hidden="false" customHeight="true" outlineLevel="0" collapsed="false">
      <c r="A3" s="3" t="s">
        <v>117</v>
      </c>
      <c r="B3" s="3"/>
      <c r="C3" s="3"/>
      <c r="D3" s="3"/>
    </row>
    <row r="4" customFormat="false" ht="15" hidden="false" customHeight="true" outlineLevel="0" collapsed="false">
      <c r="A4" s="4" t="s">
        <v>118</v>
      </c>
      <c r="B4" s="10" t="n">
        <v>470.74</v>
      </c>
      <c r="C4" s="1" t="s">
        <v>119</v>
      </c>
    </row>
    <row r="5" customFormat="false" ht="15" hidden="false" customHeight="true" outlineLevel="0" collapsed="false">
      <c r="A5" s="4" t="s">
        <v>120</v>
      </c>
      <c r="B5" s="10" t="n">
        <v>72.78</v>
      </c>
      <c r="C5" s="1" t="s">
        <v>119</v>
      </c>
    </row>
    <row r="6" customFormat="false" ht="15" hidden="false" customHeight="true" outlineLevel="0" collapsed="false">
      <c r="A6" s="4" t="s">
        <v>121</v>
      </c>
      <c r="B6" s="10" t="s">
        <v>122</v>
      </c>
      <c r="C6" s="1" t="s">
        <v>123</v>
      </c>
    </row>
    <row r="7" customFormat="false" ht="15" hidden="false" customHeight="true" outlineLevel="0" collapsed="false">
      <c r="A7" s="4" t="s">
        <v>124</v>
      </c>
      <c r="B7" s="10" t="s">
        <v>125</v>
      </c>
      <c r="C7" s="1" t="s">
        <v>126</v>
      </c>
    </row>
    <row r="8" customFormat="false" ht="15" hidden="false" customHeight="true" outlineLevel="0" collapsed="false">
      <c r="A8" s="4" t="s">
        <v>127</v>
      </c>
      <c r="B8" s="10" t="s">
        <v>128</v>
      </c>
      <c r="C8" s="1" t="s">
        <v>129</v>
      </c>
    </row>
    <row r="9" customFormat="false" ht="15" hidden="false" customHeight="true" outlineLevel="0" collapsed="false">
      <c r="A9" s="4" t="s">
        <v>130</v>
      </c>
      <c r="B9" s="10" t="s">
        <v>131</v>
      </c>
      <c r="C9" s="1" t="s">
        <v>132</v>
      </c>
    </row>
    <row r="10" customFormat="false" ht="15" hidden="false" customHeight="true" outlineLevel="0" collapsed="false">
      <c r="A10" s="4" t="s">
        <v>133</v>
      </c>
      <c r="B10" s="10" t="s">
        <v>134</v>
      </c>
      <c r="C10" s="1" t="s">
        <v>135</v>
      </c>
    </row>
    <row r="11" customFormat="false" ht="15" hidden="false" customHeight="true" outlineLevel="0" collapsed="false">
      <c r="A11" s="4" t="s">
        <v>136</v>
      </c>
      <c r="B11" s="10" t="n">
        <v>1.17</v>
      </c>
      <c r="C11" s="1" t="s">
        <v>137</v>
      </c>
    </row>
    <row r="12" customFormat="false" ht="15" hidden="false" customHeight="true" outlineLevel="0" collapsed="false">
      <c r="A12" s="4" t="s">
        <v>138</v>
      </c>
      <c r="B12" s="10" t="s">
        <v>139</v>
      </c>
      <c r="C12" s="1" t="s">
        <v>140</v>
      </c>
    </row>
    <row r="13" customFormat="false" ht="15" hidden="false" customHeight="true" outlineLevel="0" collapsed="false">
      <c r="A13" s="4" t="s">
        <v>141</v>
      </c>
      <c r="B13" s="1" t="n">
        <f aca="false">B10+B11*B12</f>
        <v>0.10935</v>
      </c>
      <c r="C13" s="1" t="s">
        <v>142</v>
      </c>
    </row>
    <row r="14" customFormat="false" ht="15" hidden="false" customHeight="true" outlineLevel="0" collapsed="false">
      <c r="A14" s="4" t="s">
        <v>143</v>
      </c>
      <c r="B14" s="1" t="n">
        <f aca="false">B13</f>
        <v>0.10935</v>
      </c>
      <c r="C14" s="1" t="s">
        <v>144</v>
      </c>
    </row>
    <row r="15" customFormat="false" ht="15" hidden="false" customHeight="true" outlineLevel="0" collapsed="false">
      <c r="A15" s="4" t="s">
        <v>114</v>
      </c>
      <c r="B15" s="10" t="n">
        <v>59.7</v>
      </c>
      <c r="C15" s="1" t="s">
        <v>145</v>
      </c>
    </row>
    <row r="16" customFormat="false" ht="15" hidden="false" customHeight="true" outlineLevel="0" collapsed="false">
      <c r="A16" s="4" t="s">
        <v>146</v>
      </c>
      <c r="B16" s="10" t="n">
        <v>9.84</v>
      </c>
      <c r="C16" s="1" t="s">
        <v>147</v>
      </c>
    </row>
    <row r="19" customFormat="false" ht="17.25" hidden="false" customHeight="true" outlineLevel="0" collapsed="false">
      <c r="A19" s="3" t="s">
        <v>148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customFormat="false" ht="15" hidden="false" customHeight="true" outlineLevel="0" collapsed="false">
      <c r="A20" s="7" t="s">
        <v>39</v>
      </c>
      <c r="B20" s="7" t="s">
        <v>149</v>
      </c>
      <c r="C20" s="7" t="s">
        <v>150</v>
      </c>
      <c r="D20" s="7" t="s">
        <v>151</v>
      </c>
      <c r="E20" s="7" t="s">
        <v>152</v>
      </c>
      <c r="F20" s="7" t="s">
        <v>153</v>
      </c>
      <c r="G20" s="7" t="s">
        <v>154</v>
      </c>
      <c r="H20" s="7" t="s">
        <v>155</v>
      </c>
    </row>
    <row r="21" customFormat="false" ht="15" hidden="false" customHeight="true" outlineLevel="0" collapsed="false">
      <c r="A21" s="1" t="s">
        <v>46</v>
      </c>
      <c r="B21" s="1" t="n">
        <v>470.74</v>
      </c>
      <c r="C21" s="1" t="n">
        <f aca="false">B21*(1+$B$6)</f>
        <v>494.277</v>
      </c>
      <c r="D21" s="1" t="n">
        <f aca="false">C21*(1+$B$6)</f>
        <v>518.99085</v>
      </c>
      <c r="E21" s="1" t="n">
        <f aca="false">D21*(1+$B$6)</f>
        <v>544.9403925</v>
      </c>
      <c r="F21" s="1" t="n">
        <f aca="false">E21*(1+$B$7)</f>
        <v>564.0133062375</v>
      </c>
      <c r="G21" s="1" t="n">
        <f aca="false">F21*(1+$B$7)</f>
        <v>583.753771955812</v>
      </c>
    </row>
    <row r="22" customFormat="false" ht="15" hidden="false" customHeight="true" outlineLevel="0" collapsed="false">
      <c r="A22" s="1" t="s">
        <v>156</v>
      </c>
      <c r="C22" s="1" t="str">
        <f aca="false">$B$6</f>
        <v>5.0%</v>
      </c>
      <c r="D22" s="1" t="str">
        <f aca="false">$B$6</f>
        <v>5.0%</v>
      </c>
      <c r="E22" s="1" t="str">
        <f aca="false">$B$6</f>
        <v>5.0%</v>
      </c>
      <c r="F22" s="1" t="str">
        <f aca="false">$B$7</f>
        <v>3.5%</v>
      </c>
      <c r="G22" s="1" t="str">
        <f aca="false">$B$7</f>
        <v>3.5%</v>
      </c>
    </row>
    <row r="23" customFormat="false" ht="15" hidden="false" customHeight="true" outlineLevel="0" collapsed="false">
      <c r="A23" s="1" t="s">
        <v>157</v>
      </c>
      <c r="B23" s="1" t="n">
        <f aca="false">B5/B4</f>
        <v>0.154607639036411</v>
      </c>
      <c r="C23" s="1" t="str">
        <f aca="false">$B$9</f>
        <v>15.0%</v>
      </c>
      <c r="D23" s="1" t="str">
        <f aca="false">$B$9</f>
        <v>15.0%</v>
      </c>
      <c r="E23" s="1" t="str">
        <f aca="false">$B$9</f>
        <v>15.0%</v>
      </c>
      <c r="F23" s="1" t="str">
        <f aca="false">$B$9</f>
        <v>15.0%</v>
      </c>
      <c r="G23" s="1" t="str">
        <f aca="false">$B$9</f>
        <v>15.0%</v>
      </c>
    </row>
    <row r="24" customFormat="false" ht="15" hidden="false" customHeight="true" outlineLevel="0" collapsed="false">
      <c r="A24" s="1" t="s">
        <v>93</v>
      </c>
      <c r="B24" s="1" t="n">
        <v>72.78</v>
      </c>
      <c r="C24" s="1" t="n">
        <f aca="false">C21*C23</f>
        <v>74.14155</v>
      </c>
      <c r="D24" s="1" t="n">
        <f aca="false">D21*D23</f>
        <v>77.8486275</v>
      </c>
      <c r="E24" s="1" t="n">
        <f aca="false">E21*E23</f>
        <v>81.741058875</v>
      </c>
      <c r="F24" s="1" t="n">
        <f aca="false">F21*F23</f>
        <v>84.601995935625</v>
      </c>
      <c r="G24" s="1" t="n">
        <f aca="false">G21*G23</f>
        <v>87.5630657933719</v>
      </c>
    </row>
    <row r="27" customFormat="false" ht="17.25" hidden="false" customHeight="true" outlineLevel="0" collapsed="false">
      <c r="A27" s="3" t="s">
        <v>158</v>
      </c>
      <c r="B27" s="3"/>
      <c r="C27" s="3"/>
      <c r="D27" s="3"/>
    </row>
    <row r="28" customFormat="false" ht="15" hidden="false" customHeight="true" outlineLevel="0" collapsed="false">
      <c r="A28" s="1" t="s">
        <v>159</v>
      </c>
      <c r="B28" s="1" t="n">
        <f aca="false">G24</f>
        <v>87.5630657933719</v>
      </c>
    </row>
    <row r="29" customFormat="false" ht="15" hidden="false" customHeight="true" outlineLevel="0" collapsed="false">
      <c r="A29" s="1" t="s">
        <v>127</v>
      </c>
      <c r="B29" s="1" t="str">
        <f aca="false">$B$8</f>
        <v>2.5%</v>
      </c>
    </row>
    <row r="30" customFormat="false" ht="15" hidden="false" customHeight="true" outlineLevel="0" collapsed="false">
      <c r="A30" s="1" t="s">
        <v>160</v>
      </c>
      <c r="B30" s="1" t="n">
        <f aca="false">$B$14</f>
        <v>0.10935</v>
      </c>
    </row>
    <row r="31" customFormat="false" ht="15" hidden="false" customHeight="true" outlineLevel="0" collapsed="false">
      <c r="A31" s="1" t="s">
        <v>161</v>
      </c>
      <c r="B31" s="1" t="n">
        <f aca="false">B28*(1+B29)/(B30-B29)</f>
        <v>1064.04436796925</v>
      </c>
      <c r="C31" s="1" t="s">
        <v>162</v>
      </c>
    </row>
    <row r="34" customFormat="false" ht="17.25" hidden="false" customHeight="true" outlineLevel="0" collapsed="false">
      <c r="A34" s="3" t="s">
        <v>163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customFormat="false" ht="15" hidden="false" customHeight="true" outlineLevel="0" collapsed="false">
      <c r="A35" s="7"/>
      <c r="B35" s="7" t="s">
        <v>150</v>
      </c>
      <c r="C35" s="7" t="s">
        <v>151</v>
      </c>
      <c r="D35" s="7" t="s">
        <v>152</v>
      </c>
      <c r="E35" s="7" t="s">
        <v>153</v>
      </c>
      <c r="F35" s="7" t="s">
        <v>154</v>
      </c>
      <c r="G35" s="7" t="s">
        <v>155</v>
      </c>
      <c r="H35" s="7" t="s">
        <v>164</v>
      </c>
    </row>
    <row r="36" customFormat="false" ht="15" hidden="false" customHeight="true" outlineLevel="0" collapsed="false">
      <c r="A36" s="1" t="s">
        <v>165</v>
      </c>
      <c r="B36" s="1" t="n">
        <v>1</v>
      </c>
      <c r="C36" s="1" t="n">
        <v>2</v>
      </c>
      <c r="D36" s="1" t="n">
        <v>3</v>
      </c>
      <c r="E36" s="1" t="n">
        <v>4</v>
      </c>
      <c r="F36" s="1" t="n">
        <v>5</v>
      </c>
      <c r="G36" s="1" t="n">
        <v>5</v>
      </c>
    </row>
    <row r="37" customFormat="false" ht="15" hidden="false" customHeight="true" outlineLevel="0" collapsed="false">
      <c r="A37" s="1" t="s">
        <v>166</v>
      </c>
      <c r="B37" s="1" t="n">
        <f aca="false">1/(1+$B$14)^B36</f>
        <v>0.901428764591878</v>
      </c>
      <c r="C37" s="1" t="n">
        <f aca="false">1/(1+$B$14)^C36</f>
        <v>0.81257381763364</v>
      </c>
      <c r="D37" s="1" t="n">
        <f aca="false">1/(1+$B$14)^D36</f>
        <v>0.732477412569198</v>
      </c>
      <c r="E37" s="1" t="n">
        <f aca="false">1/(1+$B$14)^E36</f>
        <v>0.660276209103707</v>
      </c>
      <c r="F37" s="1" t="n">
        <f aca="false">1/(1+$B$14)^F36</f>
        <v>0.595191967461763</v>
      </c>
      <c r="G37" s="1" t="n">
        <f aca="false">1/(1+$B$14)^G36</f>
        <v>0.595191967461763</v>
      </c>
    </row>
    <row r="38" customFormat="false" ht="15" hidden="false" customHeight="true" outlineLevel="0" collapsed="false">
      <c r="A38" s="1" t="s">
        <v>167</v>
      </c>
      <c r="B38" s="1" t="n">
        <f aca="false">C24</f>
        <v>74.14155</v>
      </c>
      <c r="C38" s="1" t="n">
        <f aca="false">D24</f>
        <v>77.8486275</v>
      </c>
      <c r="D38" s="1" t="n">
        <f aca="false">E24</f>
        <v>81.741058875</v>
      </c>
      <c r="E38" s="1" t="n">
        <f aca="false">F24</f>
        <v>84.601995935625</v>
      </c>
      <c r="F38" s="1" t="n">
        <f aca="false">G24</f>
        <v>87.5630657933719</v>
      </c>
      <c r="G38" s="1" t="n">
        <f aca="false">$B$31</f>
        <v>1064.04436796925</v>
      </c>
    </row>
    <row r="39" customFormat="false" ht="15" hidden="false" customHeight="true" outlineLevel="0" collapsed="false">
      <c r="A39" s="1" t="s">
        <v>168</v>
      </c>
      <c r="B39" s="1" t="n">
        <f aca="false">B38*B37</f>
        <v>66.833325821427</v>
      </c>
      <c r="C39" s="1" t="n">
        <f aca="false">C38*C37</f>
        <v>63.2577564452141</v>
      </c>
      <c r="D39" s="1" t="n">
        <f aca="false">D38*D37</f>
        <v>59.8734793054265</v>
      </c>
      <c r="E39" s="1" t="n">
        <f aca="false">E38*E37</f>
        <v>55.8606851589817</v>
      </c>
      <c r="F39" s="1" t="n">
        <f aca="false">F38*F37</f>
        <v>52.1168334065408</v>
      </c>
      <c r="G39" s="1" t="n">
        <f aca="false">G38*G37</f>
        <v>633.310660838226</v>
      </c>
      <c r="H39" s="1" t="n">
        <f aca="false">SUM(B39:G39)</f>
        <v>931.252740975816</v>
      </c>
    </row>
    <row r="42" customFormat="false" ht="17.25" hidden="false" customHeight="true" outlineLevel="0" collapsed="false">
      <c r="A42" s="3" t="s">
        <v>169</v>
      </c>
      <c r="B42" s="3"/>
      <c r="C42" s="3"/>
      <c r="D42" s="3"/>
    </row>
    <row r="43" customFormat="false" ht="15" hidden="false" customHeight="true" outlineLevel="0" collapsed="false">
      <c r="A43" s="1" t="s">
        <v>170</v>
      </c>
      <c r="B43" s="1" t="n">
        <f aca="false">SUM(B39:F39)</f>
        <v>297.94208013759</v>
      </c>
    </row>
    <row r="44" customFormat="false" ht="15" hidden="false" customHeight="true" outlineLevel="0" collapsed="false">
      <c r="A44" s="1" t="s">
        <v>171</v>
      </c>
      <c r="B44" s="1" t="n">
        <f aca="false">G39</f>
        <v>633.310660838226</v>
      </c>
    </row>
    <row r="45" customFormat="false" ht="15" hidden="false" customHeight="true" outlineLevel="0" collapsed="false">
      <c r="A45" s="1" t="s">
        <v>172</v>
      </c>
      <c r="B45" s="1" t="n">
        <f aca="false">B43+B44</f>
        <v>931.252740975816</v>
      </c>
    </row>
    <row r="46" customFormat="false" ht="15" hidden="false" customHeight="true" outlineLevel="0" collapsed="false">
      <c r="A46" s="1" t="s">
        <v>173</v>
      </c>
      <c r="B46" s="1" t="n">
        <v>0</v>
      </c>
    </row>
    <row r="47" customFormat="false" ht="15" hidden="false" customHeight="true" outlineLevel="0" collapsed="false">
      <c r="A47" s="1" t="s">
        <v>174</v>
      </c>
      <c r="B47" s="10" t="n">
        <v>45.9</v>
      </c>
    </row>
    <row r="48" customFormat="false" ht="15" hidden="false" customHeight="true" outlineLevel="0" collapsed="false">
      <c r="A48" s="1" t="s">
        <v>175</v>
      </c>
      <c r="B48" s="1" t="n">
        <f aca="false">B45-B46+B47</f>
        <v>977.152740975816</v>
      </c>
    </row>
    <row r="49" customFormat="false" ht="15" hidden="false" customHeight="true" outlineLevel="0" collapsed="false">
      <c r="A49" s="1" t="s">
        <v>114</v>
      </c>
      <c r="B49" s="1" t="n">
        <f aca="false">$B$15</f>
        <v>59.7</v>
      </c>
    </row>
    <row r="50" customFormat="false" ht="15" hidden="false" customHeight="true" outlineLevel="0" collapsed="false">
      <c r="A50" s="1" t="s">
        <v>176</v>
      </c>
      <c r="B50" s="11" t="n">
        <f aca="false">B48/B49</f>
        <v>16.367717604285</v>
      </c>
    </row>
    <row r="52" customFormat="false" ht="15" hidden="false" customHeight="true" outlineLevel="0" collapsed="false">
      <c r="A52" s="1" t="s">
        <v>146</v>
      </c>
      <c r="B52" s="1" t="n">
        <f aca="false">$B$16</f>
        <v>9.84</v>
      </c>
    </row>
    <row r="53" customFormat="false" ht="15" hidden="false" customHeight="true" outlineLevel="0" collapsed="false">
      <c r="A53" s="1" t="s">
        <v>177</v>
      </c>
      <c r="B53" s="12" t="n">
        <f aca="false">(B50-B52)/B52</f>
        <v>0.663385935394819</v>
      </c>
    </row>
  </sheetData>
  <mergeCells count="6">
    <mergeCell ref="A1:L1"/>
    <mergeCell ref="A3:D3"/>
    <mergeCell ref="A19:L19"/>
    <mergeCell ref="A27:D27"/>
    <mergeCell ref="A34:L34"/>
    <mergeCell ref="A42:D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8" min="2" style="1" width="10"/>
  </cols>
  <sheetData>
    <row r="1" customFormat="false" ht="17.25" hidden="false" customHeight="true" outlineLevel="0" collapsed="false">
      <c r="A1" s="6" t="s">
        <v>178</v>
      </c>
      <c r="B1" s="6"/>
      <c r="C1" s="6"/>
      <c r="D1" s="6"/>
      <c r="E1" s="6"/>
      <c r="F1" s="6"/>
      <c r="G1" s="6"/>
      <c r="H1" s="6"/>
    </row>
    <row r="3" customFormat="false" ht="17.25" hidden="false" customHeight="true" outlineLevel="0" collapsed="false">
      <c r="A3" s="3" t="s">
        <v>179</v>
      </c>
      <c r="B3" s="3"/>
      <c r="C3" s="3"/>
      <c r="D3" s="3"/>
      <c r="E3" s="3"/>
      <c r="F3" s="3"/>
      <c r="G3" s="3"/>
      <c r="H3" s="3"/>
    </row>
    <row r="5" customFormat="false" ht="15" hidden="false" customHeight="true" outlineLevel="0" collapsed="false">
      <c r="A5" s="1" t="s">
        <v>180</v>
      </c>
      <c r="B5" s="1" t="s">
        <v>181</v>
      </c>
      <c r="C5" s="1" t="s">
        <v>182</v>
      </c>
      <c r="D5" s="1" t="s">
        <v>128</v>
      </c>
      <c r="E5" s="1" t="s">
        <v>183</v>
      </c>
      <c r="F5" s="1" t="s">
        <v>125</v>
      </c>
    </row>
    <row r="6" customFormat="false" ht="15" hidden="false" customHeight="true" outlineLevel="0" collapsed="false">
      <c r="A6" s="1" t="s">
        <v>184</v>
      </c>
    </row>
    <row r="7" customFormat="false" ht="15" hidden="false" customHeight="true" outlineLevel="0" collapsed="false">
      <c r="A7" s="4" t="s">
        <v>185</v>
      </c>
      <c r="B7" s="9" t="n">
        <v>11.24</v>
      </c>
      <c r="C7" s="9" t="n">
        <v>11.89</v>
      </c>
      <c r="D7" s="9" t="n">
        <v>12.68</v>
      </c>
      <c r="E7" s="9" t="n">
        <v>13.67</v>
      </c>
      <c r="F7" s="9" t="n">
        <v>14.96</v>
      </c>
    </row>
    <row r="8" customFormat="false" ht="15" hidden="false" customHeight="true" outlineLevel="0" collapsed="false">
      <c r="A8" s="4" t="s">
        <v>80</v>
      </c>
      <c r="B8" s="9" t="n">
        <v>10.42</v>
      </c>
      <c r="C8" s="9" t="n">
        <v>10.97</v>
      </c>
      <c r="D8" s="9" t="n">
        <v>11.62</v>
      </c>
      <c r="E8" s="9" t="n">
        <v>12.41</v>
      </c>
      <c r="F8" s="9" t="n">
        <v>13.42</v>
      </c>
    </row>
    <row r="9" customFormat="false" ht="15" hidden="false" customHeight="true" outlineLevel="0" collapsed="false">
      <c r="A9" s="4" t="s">
        <v>186</v>
      </c>
      <c r="B9" s="9" t="n">
        <v>9.7</v>
      </c>
      <c r="C9" s="9" t="n">
        <v>10.17</v>
      </c>
      <c r="D9" s="13" t="n">
        <v>10.72</v>
      </c>
      <c r="E9" s="9" t="n">
        <v>11.38</v>
      </c>
      <c r="F9" s="9" t="n">
        <v>12.21</v>
      </c>
    </row>
    <row r="10" customFormat="false" ht="15" hidden="false" customHeight="true" outlineLevel="0" collapsed="false">
      <c r="A10" s="4" t="s">
        <v>64</v>
      </c>
      <c r="B10" s="9" t="n">
        <v>9.05</v>
      </c>
      <c r="C10" s="9" t="n">
        <v>9.46</v>
      </c>
      <c r="D10" s="9" t="n">
        <v>9.94</v>
      </c>
      <c r="E10" s="9" t="n">
        <v>10.51</v>
      </c>
      <c r="F10" s="9" t="n">
        <v>11.21</v>
      </c>
    </row>
    <row r="11" customFormat="false" ht="15" hidden="false" customHeight="true" outlineLevel="0" collapsed="false">
      <c r="A11" s="4" t="s">
        <v>187</v>
      </c>
      <c r="B11" s="9" t="n">
        <v>8.48</v>
      </c>
      <c r="C11" s="9" t="n">
        <v>8.84</v>
      </c>
      <c r="D11" s="9" t="n">
        <v>9.25</v>
      </c>
      <c r="E11" s="9" t="n">
        <v>9.74</v>
      </c>
      <c r="F11" s="9" t="n">
        <v>10.33</v>
      </c>
    </row>
    <row r="15" customFormat="false" ht="17.25" hidden="false" customHeight="true" outlineLevel="0" collapsed="false">
      <c r="A15" s="3" t="s">
        <v>188</v>
      </c>
      <c r="B15" s="3"/>
      <c r="C15" s="3"/>
      <c r="D15" s="3"/>
      <c r="E15" s="3"/>
      <c r="F15" s="3"/>
      <c r="G15" s="3"/>
      <c r="H15" s="3"/>
    </row>
    <row r="17" customFormat="false" ht="15" hidden="false" customHeight="true" outlineLevel="0" collapsed="false">
      <c r="A17" s="1" t="s">
        <v>189</v>
      </c>
      <c r="B17" s="1" t="s">
        <v>183</v>
      </c>
      <c r="C17" s="1" t="s">
        <v>190</v>
      </c>
      <c r="D17" s="1" t="s">
        <v>122</v>
      </c>
      <c r="E17" s="1" t="s">
        <v>191</v>
      </c>
      <c r="F17" s="1" t="s">
        <v>192</v>
      </c>
    </row>
    <row r="18" customFormat="false" ht="15" hidden="false" customHeight="true" outlineLevel="0" collapsed="false">
      <c r="A18" s="1" t="s">
        <v>193</v>
      </c>
    </row>
    <row r="19" customFormat="false" ht="15" hidden="false" customHeight="true" outlineLevel="0" collapsed="false">
      <c r="A19" s="4" t="s">
        <v>97</v>
      </c>
      <c r="B19" s="9" t="n">
        <v>8.5</v>
      </c>
      <c r="C19" s="9" t="n">
        <v>8.92</v>
      </c>
      <c r="D19" s="9" t="n">
        <v>9.37</v>
      </c>
      <c r="E19" s="9" t="n">
        <v>9.85</v>
      </c>
      <c r="F19" s="9" t="n">
        <v>10.37</v>
      </c>
    </row>
    <row r="20" customFormat="false" ht="15" hidden="false" customHeight="true" outlineLevel="0" collapsed="false">
      <c r="A20" s="4" t="s">
        <v>63</v>
      </c>
      <c r="B20" s="9" t="n">
        <v>9.15</v>
      </c>
      <c r="C20" s="9" t="n">
        <v>9.62</v>
      </c>
      <c r="D20" s="9" t="n">
        <v>10.12</v>
      </c>
      <c r="E20" s="9" t="n">
        <v>10.66</v>
      </c>
      <c r="F20" s="9" t="n">
        <v>11.25</v>
      </c>
    </row>
    <row r="21" customFormat="false" ht="15" hidden="false" customHeight="true" outlineLevel="0" collapsed="false">
      <c r="A21" s="4" t="s">
        <v>131</v>
      </c>
      <c r="B21" s="9" t="n">
        <v>9.8</v>
      </c>
      <c r="C21" s="9" t="n">
        <v>10.32</v>
      </c>
      <c r="D21" s="13" t="n">
        <v>10.88</v>
      </c>
      <c r="E21" s="9" t="n">
        <v>11.48</v>
      </c>
      <c r="F21" s="9" t="n">
        <v>12.12</v>
      </c>
    </row>
    <row r="22" customFormat="false" ht="15" hidden="false" customHeight="true" outlineLevel="0" collapsed="false">
      <c r="A22" s="4" t="s">
        <v>194</v>
      </c>
      <c r="B22" s="9" t="n">
        <v>10.45</v>
      </c>
      <c r="C22" s="9" t="n">
        <v>11.02</v>
      </c>
      <c r="D22" s="9" t="n">
        <v>11.63</v>
      </c>
      <c r="E22" s="9" t="n">
        <v>12.29</v>
      </c>
      <c r="F22" s="9" t="n">
        <v>13</v>
      </c>
    </row>
    <row r="23" customFormat="false" ht="15" hidden="false" customHeight="true" outlineLevel="0" collapsed="false">
      <c r="A23" s="4" t="s">
        <v>195</v>
      </c>
      <c r="B23" s="9" t="n">
        <v>11.1</v>
      </c>
      <c r="C23" s="9" t="n">
        <v>11.72</v>
      </c>
      <c r="D23" s="9" t="n">
        <v>12.38</v>
      </c>
      <c r="E23" s="9" t="n">
        <v>13.1</v>
      </c>
      <c r="F23" s="9" t="n">
        <v>13.88</v>
      </c>
    </row>
    <row r="26" customFormat="false" ht="17.25" hidden="false" customHeight="true" outlineLevel="0" collapsed="false">
      <c r="A26" s="3" t="s">
        <v>196</v>
      </c>
      <c r="B26" s="3"/>
      <c r="C26" s="3"/>
      <c r="D26" s="3"/>
      <c r="E26" s="3"/>
      <c r="F26" s="3"/>
      <c r="G26" s="3"/>
      <c r="H26" s="3"/>
    </row>
    <row r="27" customFormat="false" ht="15" hidden="false" customHeight="true" outlineLevel="0" collapsed="false">
      <c r="A27" s="1" t="s">
        <v>197</v>
      </c>
    </row>
    <row r="28" customFormat="false" ht="15" hidden="false" customHeight="true" outlineLevel="0" collapsed="false">
      <c r="A28" s="1" t="s">
        <v>198</v>
      </c>
    </row>
    <row r="29" customFormat="false" ht="15" hidden="false" customHeight="true" outlineLevel="0" collapsed="false">
      <c r="A29" s="1" t="s">
        <v>199</v>
      </c>
    </row>
    <row r="30" customFormat="false" ht="15" hidden="false" customHeight="true" outlineLevel="0" collapsed="false">
      <c r="A30" s="1" t="s">
        <v>200</v>
      </c>
    </row>
    <row r="31" customFormat="false" ht="15" hidden="false" customHeight="true" outlineLevel="0" collapsed="false">
      <c r="A31" s="1" t="s">
        <v>201</v>
      </c>
    </row>
    <row r="32" customFormat="false" ht="15" hidden="false" customHeight="true" outlineLevel="0" collapsed="false">
      <c r="A32" s="1" t="s">
        <v>202</v>
      </c>
    </row>
  </sheetData>
  <mergeCells count="4">
    <mergeCell ref="A1:H1"/>
    <mergeCell ref="A3:H3"/>
    <mergeCell ref="A15:H15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12" min="4" style="1" width="12"/>
  </cols>
  <sheetData>
    <row r="1" customFormat="false" ht="17.25" hidden="false" customHeight="true" outlineLevel="0" collapsed="false">
      <c r="A1" s="6" t="s">
        <v>203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customFormat="false" ht="17.25" hidden="false" customHeight="true" outlineLevel="0" collapsed="false">
      <c r="A3" s="3" t="s">
        <v>204</v>
      </c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7" t="s">
        <v>39</v>
      </c>
      <c r="B4" s="7" t="s">
        <v>205</v>
      </c>
      <c r="C4" s="7" t="s">
        <v>206</v>
      </c>
    </row>
    <row r="5" customFormat="false" ht="15" hidden="false" customHeight="true" outlineLevel="0" collapsed="false">
      <c r="A5" s="9" t="s">
        <v>207</v>
      </c>
      <c r="B5" s="9" t="n">
        <v>9.84</v>
      </c>
      <c r="C5" s="9" t="s">
        <v>208</v>
      </c>
    </row>
    <row r="6" customFormat="false" ht="15" hidden="false" customHeight="true" outlineLevel="0" collapsed="false">
      <c r="A6" s="9" t="s">
        <v>209</v>
      </c>
      <c r="B6" s="9" t="n">
        <v>587</v>
      </c>
      <c r="C6" s="9" t="s">
        <v>210</v>
      </c>
    </row>
    <row r="7" customFormat="false" ht="15" hidden="false" customHeight="true" outlineLevel="0" collapsed="false">
      <c r="A7" s="9" t="s">
        <v>211</v>
      </c>
      <c r="B7" s="9" t="n">
        <v>608</v>
      </c>
      <c r="C7" s="9" t="s">
        <v>212</v>
      </c>
    </row>
    <row r="8" customFormat="false" ht="15" hidden="false" customHeight="true" outlineLevel="0" collapsed="false">
      <c r="A8" s="9" t="s">
        <v>213</v>
      </c>
      <c r="B8" s="9" t="n">
        <v>14.9</v>
      </c>
      <c r="C8" s="9" t="s">
        <v>214</v>
      </c>
    </row>
    <row r="9" customFormat="false" ht="15" hidden="false" customHeight="true" outlineLevel="0" collapsed="false">
      <c r="A9" s="9" t="s">
        <v>215</v>
      </c>
      <c r="B9" s="9" t="n">
        <v>8.4</v>
      </c>
      <c r="C9" s="9" t="s">
        <v>216</v>
      </c>
    </row>
    <row r="10" customFormat="false" ht="15" hidden="false" customHeight="true" outlineLevel="0" collapsed="false">
      <c r="A10" s="9" t="s">
        <v>217</v>
      </c>
      <c r="B10" s="9" t="n">
        <v>1.29</v>
      </c>
      <c r="C10" s="9" t="s">
        <v>218</v>
      </c>
    </row>
    <row r="11" customFormat="false" ht="15" hidden="false" customHeight="true" outlineLevel="0" collapsed="false">
      <c r="A11" s="9" t="s">
        <v>219</v>
      </c>
      <c r="B11" s="9" t="n">
        <v>5.7</v>
      </c>
      <c r="C11" s="9" t="s">
        <v>220</v>
      </c>
    </row>
    <row r="12" customFormat="false" ht="15" hidden="false" customHeight="true" outlineLevel="0" collapsed="false">
      <c r="A12" s="9" t="s">
        <v>221</v>
      </c>
      <c r="B12" s="9" t="s">
        <v>66</v>
      </c>
      <c r="C12" s="9" t="s">
        <v>222</v>
      </c>
    </row>
    <row r="13" customFormat="false" ht="15" hidden="false" customHeight="true" outlineLevel="0" collapsed="false">
      <c r="A13" s="9" t="s">
        <v>223</v>
      </c>
      <c r="B13" s="9" t="s">
        <v>224</v>
      </c>
      <c r="C13" s="9" t="s">
        <v>225</v>
      </c>
    </row>
    <row r="16" customFormat="false" ht="17.25" hidden="false" customHeight="true" outlineLevel="0" collapsed="false">
      <c r="A16" s="3" t="s">
        <v>226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customFormat="false" ht="15" hidden="false" customHeight="true" outlineLevel="0" collapsed="false">
      <c r="A17" s="7" t="s">
        <v>227</v>
      </c>
      <c r="B17" s="7" t="s">
        <v>228</v>
      </c>
      <c r="C17" s="7" t="s">
        <v>229</v>
      </c>
      <c r="D17" s="7" t="s">
        <v>230</v>
      </c>
      <c r="E17" s="7" t="s">
        <v>215</v>
      </c>
      <c r="F17" s="7" t="s">
        <v>217</v>
      </c>
      <c r="G17" s="7" t="s">
        <v>231</v>
      </c>
      <c r="H17" s="7" t="s">
        <v>103</v>
      </c>
    </row>
    <row r="18" customFormat="false" ht="15" hidden="false" customHeight="true" outlineLevel="0" collapsed="false">
      <c r="A18" s="14" t="s">
        <v>232</v>
      </c>
      <c r="B18" s="14" t="s">
        <v>205</v>
      </c>
      <c r="C18" s="14" t="s">
        <v>233</v>
      </c>
      <c r="D18" s="14" t="n">
        <v>14.9</v>
      </c>
      <c r="E18" s="14" t="n">
        <v>8.4</v>
      </c>
      <c r="F18" s="14" t="n">
        <v>1.29</v>
      </c>
      <c r="G18" s="14" t="s">
        <v>224</v>
      </c>
      <c r="H18" s="14" t="s">
        <v>234</v>
      </c>
    </row>
    <row r="19" customFormat="false" ht="15" hidden="false" customHeight="true" outlineLevel="0" collapsed="false">
      <c r="A19" s="9" t="s">
        <v>235</v>
      </c>
      <c r="B19" s="9" t="s">
        <v>236</v>
      </c>
      <c r="C19" s="9" t="s">
        <v>237</v>
      </c>
      <c r="D19" s="9" t="n">
        <v>18.2</v>
      </c>
      <c r="E19" s="9" t="n">
        <v>6.5</v>
      </c>
      <c r="F19" s="9" t="n">
        <v>0.65</v>
      </c>
      <c r="G19" s="9" t="s">
        <v>238</v>
      </c>
      <c r="H19" s="9" t="s">
        <v>239</v>
      </c>
    </row>
    <row r="20" customFormat="false" ht="15" hidden="false" customHeight="true" outlineLevel="0" collapsed="false">
      <c r="A20" s="9" t="s">
        <v>240</v>
      </c>
      <c r="B20" s="9" t="s">
        <v>241</v>
      </c>
      <c r="C20" s="9" t="s">
        <v>242</v>
      </c>
      <c r="D20" s="9" t="n">
        <v>12.5</v>
      </c>
      <c r="E20" s="9" t="n">
        <v>7.8</v>
      </c>
      <c r="F20" s="9" t="n">
        <v>1.15</v>
      </c>
      <c r="G20" s="9" t="s">
        <v>243</v>
      </c>
      <c r="H20" s="9" t="s">
        <v>244</v>
      </c>
    </row>
    <row r="21" customFormat="false" ht="15" hidden="false" customHeight="true" outlineLevel="0" collapsed="false">
      <c r="A21" s="9" t="s">
        <v>245</v>
      </c>
      <c r="B21" s="9" t="s">
        <v>246</v>
      </c>
      <c r="C21" s="9" t="s">
        <v>247</v>
      </c>
      <c r="D21" s="9" t="n">
        <v>25.3</v>
      </c>
      <c r="E21" s="9" t="n">
        <v>6.2</v>
      </c>
      <c r="F21" s="9" t="n">
        <v>0.35</v>
      </c>
      <c r="G21" s="9" t="s">
        <v>125</v>
      </c>
      <c r="H21" s="9" t="s">
        <v>248</v>
      </c>
    </row>
    <row r="22" customFormat="false" ht="15" hidden="false" customHeight="true" outlineLevel="0" collapsed="false">
      <c r="A22" s="9" t="s">
        <v>249</v>
      </c>
      <c r="B22" s="9" t="s">
        <v>250</v>
      </c>
      <c r="C22" s="9" t="s">
        <v>251</v>
      </c>
      <c r="D22" s="9" t="n">
        <v>15.8</v>
      </c>
      <c r="E22" s="9" t="n">
        <v>7.2</v>
      </c>
      <c r="F22" s="9" t="n">
        <v>0.95</v>
      </c>
      <c r="G22" s="9" t="s">
        <v>252</v>
      </c>
      <c r="H22" s="9" t="s">
        <v>253</v>
      </c>
    </row>
    <row r="23" customFormat="false" ht="15" hidden="false" customHeight="true" outlineLevel="0" collapsed="false">
      <c r="A23" s="9" t="s">
        <v>254</v>
      </c>
      <c r="B23" s="9" t="s">
        <v>255</v>
      </c>
      <c r="C23" s="9" t="s">
        <v>256</v>
      </c>
      <c r="D23" s="9" t="n">
        <v>9.5</v>
      </c>
      <c r="E23" s="9" t="n">
        <v>5.8</v>
      </c>
      <c r="F23" s="9" t="n">
        <v>1.85</v>
      </c>
      <c r="G23" s="9" t="s">
        <v>257</v>
      </c>
      <c r="H23" s="9" t="s">
        <v>258</v>
      </c>
    </row>
    <row r="26" customFormat="false" ht="17.25" hidden="false" customHeight="true" outlineLevel="0" collapsed="false">
      <c r="A26" s="3" t="s">
        <v>259</v>
      </c>
      <c r="B26" s="3"/>
      <c r="C26" s="3"/>
      <c r="D26" s="3"/>
      <c r="E26" s="3"/>
      <c r="F26" s="3"/>
    </row>
    <row r="27" customFormat="false" ht="15" hidden="false" customHeight="true" outlineLevel="0" collapsed="false">
      <c r="A27" s="7" t="s">
        <v>260</v>
      </c>
      <c r="B27" s="7" t="s">
        <v>261</v>
      </c>
      <c r="C27" s="7" t="s">
        <v>39</v>
      </c>
      <c r="D27" s="7" t="s">
        <v>262</v>
      </c>
      <c r="E27" s="7" t="s">
        <v>263</v>
      </c>
    </row>
    <row r="28" customFormat="false" ht="15" hidden="false" customHeight="true" outlineLevel="0" collapsed="false">
      <c r="A28" s="9" t="s">
        <v>264</v>
      </c>
      <c r="B28" s="9" t="n">
        <v>15</v>
      </c>
      <c r="C28" s="9" t="s">
        <v>265</v>
      </c>
      <c r="D28" s="9" t="n">
        <v>39.46</v>
      </c>
      <c r="E28" s="9" t="s">
        <v>266</v>
      </c>
    </row>
    <row r="29" customFormat="false" ht="15" hidden="false" customHeight="true" outlineLevel="0" collapsed="false">
      <c r="A29" s="9" t="s">
        <v>267</v>
      </c>
      <c r="B29" s="9" t="n">
        <v>7</v>
      </c>
      <c r="C29" s="9" t="s">
        <v>268</v>
      </c>
      <c r="D29" s="9" t="n">
        <v>506</v>
      </c>
      <c r="E29" s="9" t="s">
        <v>269</v>
      </c>
    </row>
    <row r="30" customFormat="false" ht="15" hidden="false" customHeight="true" outlineLevel="0" collapsed="false">
      <c r="A30" s="9" t="s">
        <v>270</v>
      </c>
      <c r="B30" s="9" t="n">
        <v>1</v>
      </c>
      <c r="C30" s="9" t="s">
        <v>271</v>
      </c>
      <c r="D30" s="9" t="n">
        <v>471</v>
      </c>
      <c r="E30" s="9" t="s">
        <v>272</v>
      </c>
    </row>
    <row r="31" customFormat="false" ht="15" hidden="false" customHeight="true" outlineLevel="0" collapsed="false">
      <c r="A31" s="9" t="s">
        <v>273</v>
      </c>
      <c r="B31" s="9" t="s">
        <v>274</v>
      </c>
      <c r="C31" s="9" t="s">
        <v>275</v>
      </c>
      <c r="D31" s="9" t="s">
        <v>274</v>
      </c>
      <c r="E31" s="9" t="s">
        <v>276</v>
      </c>
    </row>
    <row r="34" customFormat="false" ht="15" hidden="false" customHeight="true" outlineLevel="0" collapsed="false">
      <c r="A34" s="1" t="s">
        <v>277</v>
      </c>
      <c r="B34" s="15" t="s">
        <v>278</v>
      </c>
    </row>
    <row r="35" customFormat="false" ht="15" hidden="false" customHeight="true" outlineLevel="0" collapsed="false">
      <c r="A35" s="1" t="s">
        <v>279</v>
      </c>
      <c r="B35" s="1" t="s">
        <v>280</v>
      </c>
    </row>
    <row r="36" customFormat="false" ht="15" hidden="false" customHeight="true" outlineLevel="0" collapsed="false">
      <c r="A36" s="1" t="s">
        <v>281</v>
      </c>
      <c r="B36" s="1" t="s">
        <v>282</v>
      </c>
    </row>
  </sheetData>
  <mergeCells count="4">
    <mergeCell ref="A1:L1"/>
    <mergeCell ref="A3:H3"/>
    <mergeCell ref="A16:L16"/>
    <mergeCell ref="A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2026-01-02T05:13:35Z</dcterms:created>
  <dc:creator>openpyxl</dc:creator>
  <dc:description/>
  <dc:language>en-US</dc:language>
  <cp:lastModifiedBy/>
  <dcterms:modified xsi:type="dcterms:W3CDTF">2026-01-02T05:13:53Z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