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<sst xmlns="http://schemas.openxmlformats.org/spreadsheetml/2006/main" count="194" uniqueCount="130">
  <si>
    <t>PANW DCF Valuation Model</t>
  </si>
  <si>
    <t>Valuation Date: 2026-02-17 | All figures in USD millions unless noted</t>
  </si>
  <si>
    <t>Gray cells are INPUTS - adjust to see valuation change automatically</t>
  </si>
  <si>
    <t>KEY INPUTS</t>
  </si>
  <si>
    <t>Current Stock Price ($)</t>
  </si>
  <si>
    <t>Shares Outstanding (M, diluted)</t>
  </si>
  <si>
    <t>Cash &amp; Equivalents (M)</t>
  </si>
  <si>
    <t>Total Debt (M)</t>
  </si>
  <si>
    <t>Net Debt (M)  [Debt - Cash]</t>
  </si>
  <si>
    <t>Base Year FCF (M)</t>
  </si>
  <si>
    <t>WACC</t>
  </si>
  <si>
    <t>Tip: 10.5% base | range 8.5%-12.5% for high-growth tech</t>
  </si>
  <si>
    <t>Terminal Growth Rate</t>
  </si>
  <si>
    <t>Tip: 3%-3.5% reflects secular cybersecurity tailwinds</t>
  </si>
  <si>
    <t>FCF GROWTH ASSUMPTIONS (BASE CASE)</t>
  </si>
  <si>
    <t>FCF Growth Rate</t>
  </si>
  <si>
    <t>Year 1</t>
  </si>
  <si>
    <t>Year 2</t>
  </si>
  <si>
    <t>Year 3</t>
  </si>
  <si>
    <t>Year 4</t>
  </si>
  <si>
    <t>Year 5</t>
  </si>
  <si>
    <t>Historical FCF CAGRs:</t>
  </si>
  <si>
    <t>3yr: 24.64%  |  5yr: 33.4%</t>
  </si>
  <si>
    <t>PROJECTIONS</t>
  </si>
  <si>
    <t>FY2025 (Base)</t>
  </si>
  <si>
    <t>Free Cash Flow (M)</t>
  </si>
  <si>
    <t>Discount Factor</t>
  </si>
  <si>
    <t>PV of FCF (M)</t>
  </si>
  <si>
    <t>VALUATION</t>
  </si>
  <si>
    <t>Sum of PV of FCF (M)</t>
  </si>
  <si>
    <t>Terminal FCF  [Y5 FCF x (1+g)]</t>
  </si>
  <si>
    <t>Terminal Value  [TV FCF / (WACC - g)]</t>
  </si>
  <si>
    <t>PV of Terminal Value</t>
  </si>
  <si>
    <t>Enterprise Value (M)</t>
  </si>
  <si>
    <t>Less: Net Debt (M)  [negative = net cash]</t>
  </si>
  <si>
    <t>Equity Value (M)</t>
  </si>
  <si>
    <t>INTRINSIC VALUE PER SHARE</t>
  </si>
  <si>
    <t>Upside / (Downside) to IV</t>
  </si>
  <si>
    <t>ENTRY PRICE (15% CAGR TARGET)</t>
  </si>
  <si>
    <t>Terminal Value per Share</t>
  </si>
  <si>
    <t>Entry Price (15% CAGR over 5 years)</t>
  </si>
  <si>
    <t>Entry Discount from Current Price</t>
  </si>
  <si>
    <t>Entry price = price to pay today to earn 15% annualised return to terminal value</t>
  </si>
  <si>
    <t>SCENARIO COMPARISON</t>
  </si>
  <si>
    <t>BEAR</t>
  </si>
  <si>
    <t>BASE</t>
  </si>
  <si>
    <t>BULL</t>
  </si>
  <si>
    <t>PROBABILITY WEIGHTED</t>
  </si>
  <si>
    <t>Intrinsic Value/Share</t>
  </si>
  <si>
    <t>Upside / (Downside)</t>
  </si>
  <si>
    <t>FCF Growth Y1 -&gt; Y5</t>
  </si>
  <si>
    <t>10% -&gt; 4%</t>
  </si>
  <si>
    <t>18% -&gt; 10%</t>
  </si>
  <si>
    <t>25% -&gt; 12%</t>
  </si>
  <si>
    <t>Probability Weight</t>
  </si>
  <si>
    <t>Entry Price (15% CAGR)</t>
  </si>
  <si>
    <t>PANW Notes: FCF CAGR used as primary growth metric because equity CAGR is unreliable (FY2022 equity trough of $210M from heavy buybacks distorts 3yr CAGR to 234% and 5yr CAGR to 48%). EPS CAGRs are undefined due to GAAP losses through FY2022. PANW has NO debt (all convertible notes redeemed by FY2025) and holds $2.9B net cash. Shares outstanding: 710M diluted per management guidance. The pending $25B CyberArk acquisition (expected H2 FY2026) will cause stock dilution and integration complexity - factored into bear/base scenario assumptions. Revenue growth guided at ~14% for FY2026; FCF growth expected to outpace revenue as margins improve.</t>
  </si>
  <si>
    <t>Sensitivity Analysis - Base Case Intrinsic Value per Share</t>
  </si>
  <si>
    <t>Base FCF growth: 18%, 16%, 14%, 12%, 10% | Base year FCF: $3,469.8M</t>
  </si>
  <si>
    <t>Shares: 710M diluted | Net Cash: $2,903M | Updates automatically when you change DCF Model inputs</t>
  </si>
  <si>
    <t>WACC  \  Term Growth</t>
  </si>
  <si>
    <t>Yellow highlighted cell = Base Case assumptions (WACC 10.5%, Terminal Growth 3.0%)</t>
  </si>
  <si>
    <t>Matrix recalculates automatically when you change growth rates or FCF base in the DCF Model sheet.</t>
  </si>
  <si>
    <t>PANW - Full Scenario Workings</t>
  </si>
  <si>
    <t>All figures in USD millions | Shares: 710M diluted | Net Cash: $2,903M</t>
  </si>
  <si>
    <t>BASE CASE</t>
  </si>
  <si>
    <t>Y1 (FY2026)</t>
  </si>
  <si>
    <t>Y2 (FY2027)</t>
  </si>
  <si>
    <t>Y3 (FY2028)</t>
  </si>
  <si>
    <t>Y4 (FY2029)</t>
  </si>
  <si>
    <t>Y5 (FY2030)</t>
  </si>
  <si>
    <t>-</t>
  </si>
  <si>
    <t>Sum PV of FCF (M)</t>
  </si>
  <si>
    <t>WACC = 10.5%</t>
  </si>
  <si>
    <t>Terminal Value (M)</t>
  </si>
  <si>
    <t>Terminal g = 3.0%  |  TV = Y5 FCF x (1+g) / (WACC - g)</t>
  </si>
  <si>
    <t>PV of Terminal Value (M)</t>
  </si>
  <si>
    <t>Less: Net Debt (M)</t>
  </si>
  <si>
    <t>Negative = Net Cash ($2,903M cash, zero debt)</t>
  </si>
  <si>
    <t>Intrinsic Value per Share</t>
  </si>
  <si>
    <t>Entry Price (15% CAGR target)</t>
  </si>
  <si>
    <t>TV/share $129.03 discounted at 15% for 5 years</t>
  </si>
  <si>
    <t>BULL CASE</t>
  </si>
  <si>
    <t>WACC = 9.5%</t>
  </si>
  <si>
    <t>Terminal g = 3.5%  |  TV = Y5 FCF x (1+g) / (WACC - g)</t>
  </si>
  <si>
    <t>TV/share $195.39 discounted at 15% for 5 years</t>
  </si>
  <si>
    <t>BEAR CASE</t>
  </si>
  <si>
    <t>WACC = 12.0%</t>
  </si>
  <si>
    <t>Terminal g = 2.5%  |  TV = Y5 FCF x (1+g) / (WACC - g)</t>
  </si>
  <si>
    <t>TV/share $72.51 discounted at 15% for 5 years</t>
  </si>
  <si>
    <t>PANW Historical Financial Data (FY2015 - FY2025)</t>
  </si>
  <si>
    <t>USD millions | EPS is split-adjusted (3-for-1 Sep 2022 + 2-for-1 Dec 2024)</t>
  </si>
  <si>
    <t>Period</t>
  </si>
  <si>
    <t>Revenue</t>
  </si>
  <si>
    <t>Gross Profit</t>
  </si>
  <si>
    <t>Gross Margin</t>
  </si>
  <si>
    <t>Op. Income</t>
  </si>
  <si>
    <t>Net Income</t>
  </si>
  <si>
    <t>EPS (Diluted)</t>
  </si>
  <si>
    <t>Free Cash Flow</t>
  </si>
  <si>
    <t>Equity</t>
  </si>
  <si>
    <t>Shares (M)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</si>
  <si>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</si>
  <si>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</si>
  <si>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</si>
  <si>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</si>
  <si>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</si>
  <si>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</si>
  <si>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</si>
  <si>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</si>
  <si>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</si>
  <si>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</si>
  <si>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</si>
  <si>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GROWTH RATE SUMMARY</t>
  </si>
  <si>
    <t>Metric</t>
  </si>
  <si>
    <t>3-Year CAGR</t>
  </si>
  <si>
    <t>5-Year CAGR</t>
  </si>
  <si>
    <t>Notes</t>
  </si>
  <si>
    <t>FY2022-&gt;FY2025 | FY2020-&gt;FY2025</t>
  </si>
  <si>
    <t>Growing at ~22% 5yr; deceleration to ~14% guided FY2026</t>
  </si>
  <si>
    <t>SELECTED PRIMARY METRIC. Strong and consistent FCF generation</t>
  </si>
  <si>
    <t>Shareholders Equity</t>
  </si>
  <si>
    <t>UNRELIABLE. FY2022 near-zero base ($210M) distorts both CAGRs</t>
  </si>
  <si>
    <t>N/A</t>
  </si>
  <si>
    <t>N/A - negative base</t>
  </si>
  <si>
    <t>Undefined. GAAP losses through FY2022. FY2024 EPS inflated by one-time tax benefit.</t>
  </si>
  <si>
    <t>Selected Primary Metric:</t>
  </si>
  <si>
    <t>FCF 5yr CAGR</t>
  </si>
  <si>
    <t>Divergence Warning:</t>
  </si>
  <si>
    <t>Equity CAGR (48% 5yr, 234% 3yr) is unreliable due to FY2022 near-zero equity base ($210M trough from heavy buybacks and goodwill). EPS CAGRs are undefined due to negative earnings through FY2022. FCF CAGR is used as primary metric per Visa-precedent logic. Historical FCF 5yr CAGR of 33.4% is used as anchor but projected growth rates are set conservatively (18% to 10% base case) given revenue growth deceleration to ~14% guided for FY2026 and CyberArk acquisition integration uncertainty.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</si>
</sst>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D343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0" borderId="0" xfId="0" applyFont="1"/>
    <xf numFmtId="0" fontId="5" fillId="0" borderId="0" xfId="0" applyFont="1"/>
    <xf numFmtId="0" fontId="6" fillId="3" borderId="2" xfId="0" applyFont="1" applyFill="1" applyBorder="1"/>
    <xf numFmtId="0" fontId="6" fillId="4" borderId="2" xfId="0" applyFont="1" applyFill="1" applyBorder="1"/>
    <xf numFmtId="166" fontId="6" fillId="5" borderId="2" xfId="0" applyNumberFormat="1" applyFont="1" applyFill="1" applyBorder="1"/>
    <xf numFmtId="165" fontId="7" fillId="6" borderId="2" xfId="0" applyNumberFormat="1" applyFont="1" applyFill="1" applyBorder="1"/>
    <xf numFmtId="166" fontId="0" fillId="0" borderId="2" xfId="0" applyNumberFormat="1" applyBorder="1"/>
    <xf numFmtId="0" fontId="6" fillId="7" borderId="2" xfId="0" applyFont="1" applyFill="1" applyBorder="1"/>
    <xf numFmtId="0" fontId="6" fillId="5" borderId="2" xfId="0" applyFont="1" applyFill="1" applyBorder="1"/>
    <xf numFmtId="165" fontId="0" fillId="0" borderId="2" xfId="0" applyNumberFormat="1" applyBorder="1"/>
    <xf numFmtId="0" fontId="4" fillId="8" borderId="2" xfId="0" applyFont="1" applyFill="1" applyBorder="1" applyAlignment="1">
      <alignment vertical="top" wrapText="1"/>
    </xf>
    <xf numFmtId="165" fontId="6" fillId="3" borderId="2" xfId="0" applyNumberFormat="1" applyFont="1" applyFill="1" applyBorder="1" applyAlignment="1">
      <alignment horizontal="center"/>
    </xf>
    <xf numFmtId="165" fontId="6" fillId="3" borderId="2" xfId="0" applyNumberFormat="1" applyFont="1" applyFill="1" applyBorder="1"/>
    <xf numFmtId="166" fontId="5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zoomScale="90" zoomScaleNormal="90" workbookViewId="0"/>
  </sheetViews>
  <sheetFormatPr defaultRowHeight="15"/>
  <cols>
    <col min="1" max="1" width="32.7109375" customWidth="1"/>
    <col min="2" max="8" width="15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2" t="s">
        <v>2</v>
      </c>
    </row>
    <row r="5" spans="1:3">
      <c r="A5" s="3" t="s">
        <v>3</v>
      </c>
    </row>
    <row r="6" spans="1:3">
      <c r="A6" t="s">
        <v>4</v>
      </c>
      <c r="B6" s="4">
        <v>167</v>
      </c>
    </row>
    <row r="7" spans="1:3">
      <c r="A7" t="s">
        <v>5</v>
      </c>
      <c r="B7" s="4">
        <v>710</v>
      </c>
    </row>
    <row r="8" spans="1:3">
      <c r="A8" t="s">
        <v>6</v>
      </c>
      <c r="B8" s="4">
        <v>2903.2</v>
      </c>
    </row>
    <row r="9" spans="1:3">
      <c r="A9" t="s">
        <v>7</v>
      </c>
      <c r="B9" s="4">
        <v>0</v>
      </c>
    </row>
    <row r="10" spans="1:3">
      <c r="A10" t="s">
        <v>8</v>
      </c>
      <c r="B10" s="5">
        <f>B9-B8</f>
        <v>0</v>
      </c>
    </row>
    <row r="11" spans="1:3">
      <c r="A11" t="s">
        <v>9</v>
      </c>
      <c r="B11" s="4">
        <v>3469.8</v>
      </c>
    </row>
    <row r="13" spans="1:3">
      <c r="A13" t="s">
        <v>10</v>
      </c>
      <c r="B13" s="6">
        <v>0.105</v>
      </c>
      <c r="C13" s="7" t="s">
        <v>11</v>
      </c>
    </row>
    <row r="14" spans="1:3">
      <c r="A14" t="s">
        <v>12</v>
      </c>
      <c r="B14" s="6">
        <v>0.03</v>
      </c>
      <c r="C14" s="7" t="s">
        <v>13</v>
      </c>
    </row>
    <row r="16" spans="1:3">
      <c r="A16" s="3" t="s">
        <v>14</v>
      </c>
    </row>
    <row r="17" spans="1:7">
      <c r="A17" s="8" t="s">
        <v>15</v>
      </c>
      <c r="B17" s="9" t="s">
        <v>16</v>
      </c>
      <c r="C17" s="9" t="s">
        <v>17</v>
      </c>
      <c r="D17" s="9" t="s">
        <v>18</v>
      </c>
      <c r="E17" s="9" t="s">
        <v>19</v>
      </c>
      <c r="F17" s="9" t="s">
        <v>20</v>
      </c>
      <c r="G17" s="8" t="s">
        <v>21</v>
      </c>
    </row>
    <row r="18" spans="1:7">
      <c r="B18" s="6">
        <v>0.18</v>
      </c>
      <c r="C18" s="6">
        <v>0.16</v>
      </c>
      <c r="D18" s="6">
        <v>0.14</v>
      </c>
      <c r="E18" s="6">
        <v>0.12</v>
      </c>
      <c r="F18" s="6">
        <v>0.1</v>
      </c>
      <c r="G18" s="7" t="s">
        <v>22</v>
      </c>
    </row>
    <row r="20" spans="1:7">
      <c r="A20" s="3" t="s">
        <v>23</v>
      </c>
    </row>
    <row r="21" spans="1:7">
      <c r="A21" s="9"/>
      <c r="B21" s="10" t="s">
        <v>24</v>
      </c>
      <c r="C21" s="9" t="s">
        <v>16</v>
      </c>
      <c r="D21" s="9" t="s">
        <v>17</v>
      </c>
      <c r="E21" s="9" t="s">
        <v>18</v>
      </c>
      <c r="F21" s="9" t="s">
        <v>19</v>
      </c>
      <c r="G21" s="9" t="s">
        <v>20</v>
      </c>
    </row>
    <row r="22" spans="1:7">
      <c r="A22" t="s">
        <v>25</v>
      </c>
      <c r="B22" s="5">
        <f>B11</f>
        <v>0</v>
      </c>
      <c r="C22" s="5">
        <f>B22*(1+B18)</f>
        <v>0</v>
      </c>
      <c r="D22" s="5">
        <f>C22*(1+C18)</f>
        <v>0</v>
      </c>
      <c r="E22" s="5">
        <f>D22*(1+D18)</f>
        <v>0</v>
      </c>
      <c r="F22" s="5">
        <f>E22*(1+E18)</f>
        <v>0</v>
      </c>
      <c r="G22" s="5">
        <f>F22*(1+F18)</f>
        <v>0</v>
      </c>
    </row>
    <row r="23" spans="1:7">
      <c r="A23" t="s">
        <v>26</v>
      </c>
      <c r="B23" s="5">
        <v>1</v>
      </c>
      <c r="C23" s="5">
        <f>1/(1+$B$13)^1</f>
        <v>0</v>
      </c>
      <c r="D23" s="5">
        <f>1/(1+$B$13)^2</f>
        <v>0</v>
      </c>
      <c r="E23" s="5">
        <f>1/(1+$B$13)^3</f>
        <v>0</v>
      </c>
      <c r="F23" s="5">
        <f>1/(1+$B$13)^4</f>
        <v>0</v>
      </c>
      <c r="G23" s="5">
        <f>1/(1+$B$13)^5</f>
        <v>0</v>
      </c>
    </row>
    <row r="24" spans="1:7">
      <c r="A24" t="s">
        <v>27</v>
      </c>
      <c r="B24" s="5"/>
      <c r="C24" s="5">
        <f>C22*C23</f>
        <v>0</v>
      </c>
      <c r="D24" s="5">
        <f>D22*D23</f>
        <v>0</v>
      </c>
      <c r="E24" s="5">
        <f>E22*E23</f>
        <v>0</v>
      </c>
      <c r="F24" s="5">
        <f>F22*F23</f>
        <v>0</v>
      </c>
      <c r="G24" s="5">
        <f>G22*G23</f>
        <v>0</v>
      </c>
    </row>
    <row r="26" spans="1:7">
      <c r="A26" s="3" t="s">
        <v>28</v>
      </c>
    </row>
    <row r="27" spans="1:7">
      <c r="A27" t="s">
        <v>29</v>
      </c>
      <c r="B27" s="5">
        <f>SUM(C24:G24)</f>
        <v>0</v>
      </c>
    </row>
    <row r="28" spans="1:7">
      <c r="A28" t="s">
        <v>30</v>
      </c>
      <c r="B28" s="5">
        <f>G22*(1+$B$14)</f>
        <v>0</v>
      </c>
    </row>
    <row r="29" spans="1:7">
      <c r="A29" t="s">
        <v>31</v>
      </c>
      <c r="B29" s="5">
        <f>B28/($B$13-$B$14)</f>
        <v>0</v>
      </c>
    </row>
    <row r="30" spans="1:7">
      <c r="A30" t="s">
        <v>32</v>
      </c>
      <c r="B30" s="5">
        <f>B29*G23</f>
        <v>0</v>
      </c>
    </row>
    <row r="31" spans="1:7">
      <c r="A31" t="s">
        <v>33</v>
      </c>
      <c r="B31" s="5">
        <f>B27+B30</f>
        <v>0</v>
      </c>
    </row>
    <row r="32" spans="1:7">
      <c r="A32" t="s">
        <v>34</v>
      </c>
      <c r="B32" s="5">
        <f>B10</f>
        <v>0</v>
      </c>
    </row>
    <row r="33" spans="1:5">
      <c r="A33" t="s">
        <v>35</v>
      </c>
      <c r="B33" s="5">
        <f>B31-B32</f>
        <v>0</v>
      </c>
    </row>
    <row r="34" spans="1:5">
      <c r="A34" s="8" t="s">
        <v>36</v>
      </c>
      <c r="B34" s="11">
        <f>B33/B7</f>
        <v>0</v>
      </c>
    </row>
    <row r="35" spans="1:5">
      <c r="A35" t="s">
        <v>37</v>
      </c>
      <c r="B35" s="12">
        <f>(B34-B6)/B6</f>
        <v>0</v>
      </c>
    </row>
    <row r="37" spans="1:5">
      <c r="A37" s="3" t="s">
        <v>38</v>
      </c>
    </row>
    <row r="38" spans="1:5">
      <c r="A38" t="s">
        <v>39</v>
      </c>
      <c r="B38" s="13">
        <f>B29/B7</f>
        <v>0</v>
      </c>
      <c r="C38" s="7" t="s">
        <v>42</v>
      </c>
    </row>
    <row r="39" spans="1:5">
      <c r="A39" t="s">
        <v>40</v>
      </c>
      <c r="B39" s="11">
        <f>B38/(1.15^5)</f>
        <v>0</v>
      </c>
    </row>
    <row r="40" spans="1:5">
      <c r="A40" t="s">
        <v>41</v>
      </c>
      <c r="B40" s="12">
        <f>(B6-B39)/B6</f>
        <v>0</v>
      </c>
    </row>
    <row r="42" spans="1:5">
      <c r="A42" s="3" t="s">
        <v>43</v>
      </c>
    </row>
    <row r="43" spans="1:5">
      <c r="A43" s="9"/>
      <c r="B43" s="14" t="s">
        <v>44</v>
      </c>
      <c r="C43" s="10" t="s">
        <v>45</v>
      </c>
      <c r="D43" s="15" t="s">
        <v>46</v>
      </c>
      <c r="E43" s="9" t="s">
        <v>47</v>
      </c>
    </row>
    <row r="44" spans="1:5">
      <c r="A44" t="s">
        <v>48</v>
      </c>
      <c r="B44" s="13">
        <v>66.95999999999999</v>
      </c>
      <c r="C44" s="13">
        <v>110.19</v>
      </c>
      <c r="D44" s="13">
        <v>160.92</v>
      </c>
      <c r="E44" s="11">
        <v>112.06</v>
      </c>
    </row>
    <row r="45" spans="1:5">
      <c r="A45" t="s">
        <v>49</v>
      </c>
      <c r="B45" s="16">
        <v>-0.599</v>
      </c>
      <c r="C45" s="16">
        <v>-0.34</v>
      </c>
      <c r="D45" s="16">
        <v>-0.036</v>
      </c>
      <c r="E45" s="12">
        <v>-0.3289820359281437</v>
      </c>
    </row>
    <row r="46" spans="1:5">
      <c r="A46" t="s">
        <v>50</v>
      </c>
      <c r="B46" s="7" t="s">
        <v>51</v>
      </c>
      <c r="C46" s="7" t="s">
        <v>52</v>
      </c>
      <c r="D46" s="7" t="s">
        <v>53</v>
      </c>
    </row>
    <row r="47" spans="1:5">
      <c r="A47" t="s">
        <v>10</v>
      </c>
      <c r="B47" s="16">
        <v>0.12</v>
      </c>
      <c r="C47" s="16">
        <v>0.105</v>
      </c>
      <c r="D47" s="16">
        <v>0.095</v>
      </c>
    </row>
    <row r="48" spans="1:5">
      <c r="A48" t="s">
        <v>12</v>
      </c>
      <c r="B48" s="16">
        <v>0.025</v>
      </c>
      <c r="C48" s="16">
        <v>0.03</v>
      </c>
      <c r="D48" s="16">
        <v>0.035</v>
      </c>
    </row>
    <row r="49" spans="1:8">
      <c r="A49" t="s">
        <v>54</v>
      </c>
      <c r="B49" s="16">
        <v>0.25</v>
      </c>
      <c r="C49" s="16">
        <v>0.5</v>
      </c>
      <c r="D49" s="16">
        <v>0.25</v>
      </c>
    </row>
    <row r="50" spans="1:8">
      <c r="A50" t="s">
        <v>55</v>
      </c>
      <c r="B50" s="13">
        <v>36.05</v>
      </c>
      <c r="C50" s="13">
        <v>64.15000000000001</v>
      </c>
      <c r="D50" s="13">
        <v>97.14</v>
      </c>
    </row>
    <row r="53" spans="1:8" ht="80" customHeight="1">
      <c r="A53" s="17" t="s">
        <v>56</v>
      </c>
      <c r="B53" s="17"/>
      <c r="C53" s="17"/>
      <c r="D53" s="17"/>
      <c r="E53" s="17"/>
      <c r="F53" s="17"/>
      <c r="G53" s="17"/>
      <c r="H53" s="17"/>
    </row>
  </sheetData>
  <mergeCells count="1">
    <mergeCell ref="A53:H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zoomScale="90" zoomScaleNormal="90" workbookViewId="0"/>
  </sheetViews>
  <sheetFormatPr defaultRowHeight="15"/>
  <cols>
    <col min="1" max="1" width="18.7109375" customWidth="1"/>
    <col min="2" max="7" width="13.7109375" customWidth="1"/>
  </cols>
  <sheetData>
    <row r="1" spans="1:6">
      <c r="A1" s="1" t="s">
        <v>57</v>
      </c>
    </row>
    <row r="2" spans="1:6">
      <c r="A2" s="2" t="s">
        <v>58</v>
      </c>
    </row>
    <row r="3" spans="1:6">
      <c r="A3" s="2" t="s">
        <v>59</v>
      </c>
    </row>
    <row r="5" spans="1:6">
      <c r="A5" s="9" t="s">
        <v>60</v>
      </c>
      <c r="B5" s="18">
        <v>0.02</v>
      </c>
      <c r="C5" s="18">
        <v>0.025</v>
      </c>
      <c r="D5" s="18">
        <v>0.03</v>
      </c>
      <c r="E5" s="18">
        <v>0.035</v>
      </c>
      <c r="F5" s="18">
        <v>0.04</v>
      </c>
    </row>
    <row r="6" spans="1:6">
      <c r="A6" s="19">
        <v>0.08</v>
      </c>
      <c r="B6" s="13">
        <f>('DCF Model'!$B$11*(1+'DCF Model'!$B$18)/(1+0.08)^1+'DCF Model'!$B$11*(1+'DCF Model'!$B$18)*(1+'DCF Model'!$C$18)/(1+0.08)^2+'DCF Model'!$B$11*(1+'DCF Model'!$B$18)*(1+'DCF Model'!$C$18)*(1+'DCF Model'!$D$18)/(1+0.08)^3+'DCF Model'!$B$11*(1+'DCF Model'!$B$18)*(1+'DCF Model'!$C$18)*(1+'DCF Model'!$D$18)*(1+'DCF Model'!$E$18)/(1+0.08)^4+'DCF Model'!$B$11*(1+'DCF Model'!$B$18)*(1+'DCF Model'!$C$18)*(1+'DCF Model'!$D$18)*(1+'DCF Model'!$E$18)*(1+'DCF Model'!$F$18)/(1+0.08)^5+'DCF Model'!$B$11*(1+'DCF Model'!$B$18)*(1+'DCF Model'!$C$18)*(1+'DCF Model'!$D$18)*(1+'DCF Model'!$E$18)*(1+'DCF Model'!$F$18)*(1+0.02)/(0.08-0.02)/(1+0.08)^5-'DCF Model'!$B$10)/'DCF Model'!$B$7</f>
        <v>0</v>
      </c>
      <c r="C6" s="13">
        <f>('DCF Model'!$B$11*(1+'DCF Model'!$B$18)/(1+0.08)^1+'DCF Model'!$B$11*(1+'DCF Model'!$B$18)*(1+'DCF Model'!$C$18)/(1+0.08)^2+'DCF Model'!$B$11*(1+'DCF Model'!$B$18)*(1+'DCF Model'!$C$18)*(1+'DCF Model'!$D$18)/(1+0.08)^3+'DCF Model'!$B$11*(1+'DCF Model'!$B$18)*(1+'DCF Model'!$C$18)*(1+'DCF Model'!$D$18)*(1+'DCF Model'!$E$18)/(1+0.08)^4+'DCF Model'!$B$11*(1+'DCF Model'!$B$18)*(1+'DCF Model'!$C$18)*(1+'DCF Model'!$D$18)*(1+'DCF Model'!$E$18)*(1+'DCF Model'!$F$18)/(1+0.08)^5+'DCF Model'!$B$11*(1+'DCF Model'!$B$18)*(1+'DCF Model'!$C$18)*(1+'DCF Model'!$D$18)*(1+'DCF Model'!$E$18)*(1+'DCF Model'!$F$18)*(1+0.025)/(0.08-0.025)/(1+0.08)^5-'DCF Model'!$B$10)/'DCF Model'!$B$7</f>
        <v>0</v>
      </c>
      <c r="D6" s="13">
        <f>('DCF Model'!$B$11*(1+'DCF Model'!$B$18)/(1+0.08)^1+'DCF Model'!$B$11*(1+'DCF Model'!$B$18)*(1+'DCF Model'!$C$18)/(1+0.08)^2+'DCF Model'!$B$11*(1+'DCF Model'!$B$18)*(1+'DCF Model'!$C$18)*(1+'DCF Model'!$D$18)/(1+0.08)^3+'DCF Model'!$B$11*(1+'DCF Model'!$B$18)*(1+'DCF Model'!$C$18)*(1+'DCF Model'!$D$18)*(1+'DCF Model'!$E$18)/(1+0.08)^4+'DCF Model'!$B$11*(1+'DCF Model'!$B$18)*(1+'DCF Model'!$C$18)*(1+'DCF Model'!$D$18)*(1+'DCF Model'!$E$18)*(1+'DCF Model'!$F$18)/(1+0.08)^5+'DCF Model'!$B$11*(1+'DCF Model'!$B$18)*(1+'DCF Model'!$C$18)*(1+'DCF Model'!$D$18)*(1+'DCF Model'!$E$18)*(1+'DCF Model'!$F$18)*(1+0.03)/(0.08-0.03)/(1+0.08)^5-'DCF Model'!$B$10)/'DCF Model'!$B$7</f>
        <v>0</v>
      </c>
      <c r="E6" s="13">
        <f>('DCF Model'!$B$11*(1+'DCF Model'!$B$18)/(1+0.08)^1+'DCF Model'!$B$11*(1+'DCF Model'!$B$18)*(1+'DCF Model'!$C$18)/(1+0.08)^2+'DCF Model'!$B$11*(1+'DCF Model'!$B$18)*(1+'DCF Model'!$C$18)*(1+'DCF Model'!$D$18)/(1+0.08)^3+'DCF Model'!$B$11*(1+'DCF Model'!$B$18)*(1+'DCF Model'!$C$18)*(1+'DCF Model'!$D$18)*(1+'DCF Model'!$E$18)/(1+0.08)^4+'DCF Model'!$B$11*(1+'DCF Model'!$B$18)*(1+'DCF Model'!$C$18)*(1+'DCF Model'!$D$18)*(1+'DCF Model'!$E$18)*(1+'DCF Model'!$F$18)/(1+0.08)^5+'DCF Model'!$B$11*(1+'DCF Model'!$B$18)*(1+'DCF Model'!$C$18)*(1+'DCF Model'!$D$18)*(1+'DCF Model'!$E$18)*(1+'DCF Model'!$F$18)*(1+0.035)/(0.08-0.035)/(1+0.08)^5-'DCF Model'!$B$10)/'DCF Model'!$B$7</f>
        <v>0</v>
      </c>
      <c r="F6" s="13">
        <f>('DCF Model'!$B$11*(1+'DCF Model'!$B$18)/(1+0.08)^1+'DCF Model'!$B$11*(1+'DCF Model'!$B$18)*(1+'DCF Model'!$C$18)/(1+0.08)^2+'DCF Model'!$B$11*(1+'DCF Model'!$B$18)*(1+'DCF Model'!$C$18)*(1+'DCF Model'!$D$18)/(1+0.08)^3+'DCF Model'!$B$11*(1+'DCF Model'!$B$18)*(1+'DCF Model'!$C$18)*(1+'DCF Model'!$D$18)*(1+'DCF Model'!$E$18)/(1+0.08)^4+'DCF Model'!$B$11*(1+'DCF Model'!$B$18)*(1+'DCF Model'!$C$18)*(1+'DCF Model'!$D$18)*(1+'DCF Model'!$E$18)*(1+'DCF Model'!$F$18)/(1+0.08)^5+'DCF Model'!$B$11*(1+'DCF Model'!$B$18)*(1+'DCF Model'!$C$18)*(1+'DCF Model'!$D$18)*(1+'DCF Model'!$E$18)*(1+'DCF Model'!$F$18)*(1+0.04)/(0.08-0.04)/(1+0.08)^5-'DCF Model'!$B$10)/'DCF Model'!$B$7</f>
        <v>0</v>
      </c>
    </row>
    <row r="7" spans="1:6">
      <c r="A7" s="19">
        <v>0.09</v>
      </c>
      <c r="B7" s="13">
        <f>('DCF Model'!$B$11*(1+'DCF Model'!$B$18)/(1+0.09)^1+'DCF Model'!$B$11*(1+'DCF Model'!$B$18)*(1+'DCF Model'!$C$18)/(1+0.09)^2+'DCF Model'!$B$11*(1+'DCF Model'!$B$18)*(1+'DCF Model'!$C$18)*(1+'DCF Model'!$D$18)/(1+0.09)^3+'DCF Model'!$B$11*(1+'DCF Model'!$B$18)*(1+'DCF Model'!$C$18)*(1+'DCF Model'!$D$18)*(1+'DCF Model'!$E$18)/(1+0.09)^4+'DCF Model'!$B$11*(1+'DCF Model'!$B$18)*(1+'DCF Model'!$C$18)*(1+'DCF Model'!$D$18)*(1+'DCF Model'!$E$18)*(1+'DCF Model'!$F$18)/(1+0.09)^5+'DCF Model'!$B$11*(1+'DCF Model'!$B$18)*(1+'DCF Model'!$C$18)*(1+'DCF Model'!$D$18)*(1+'DCF Model'!$E$18)*(1+'DCF Model'!$F$18)*(1+0.02)/(0.09-0.02)/(1+0.09)^5-'DCF Model'!$B$10)/'DCF Model'!$B$7</f>
        <v>0</v>
      </c>
      <c r="C7" s="13">
        <f>('DCF Model'!$B$11*(1+'DCF Model'!$B$18)/(1+0.09)^1+'DCF Model'!$B$11*(1+'DCF Model'!$B$18)*(1+'DCF Model'!$C$18)/(1+0.09)^2+'DCF Model'!$B$11*(1+'DCF Model'!$B$18)*(1+'DCF Model'!$C$18)*(1+'DCF Model'!$D$18)/(1+0.09)^3+'DCF Model'!$B$11*(1+'DCF Model'!$B$18)*(1+'DCF Model'!$C$18)*(1+'DCF Model'!$D$18)*(1+'DCF Model'!$E$18)/(1+0.09)^4+'DCF Model'!$B$11*(1+'DCF Model'!$B$18)*(1+'DCF Model'!$C$18)*(1+'DCF Model'!$D$18)*(1+'DCF Model'!$E$18)*(1+'DCF Model'!$F$18)/(1+0.09)^5+'DCF Model'!$B$11*(1+'DCF Model'!$B$18)*(1+'DCF Model'!$C$18)*(1+'DCF Model'!$D$18)*(1+'DCF Model'!$E$18)*(1+'DCF Model'!$F$18)*(1+0.025)/(0.09-0.025)/(1+0.09)^5-'DCF Model'!$B$10)/'DCF Model'!$B$7</f>
        <v>0</v>
      </c>
      <c r="D7" s="13">
        <f>('DCF Model'!$B$11*(1+'DCF Model'!$B$18)/(1+0.09)^1+'DCF Model'!$B$11*(1+'DCF Model'!$B$18)*(1+'DCF Model'!$C$18)/(1+0.09)^2+'DCF Model'!$B$11*(1+'DCF Model'!$B$18)*(1+'DCF Model'!$C$18)*(1+'DCF Model'!$D$18)/(1+0.09)^3+'DCF Model'!$B$11*(1+'DCF Model'!$B$18)*(1+'DCF Model'!$C$18)*(1+'DCF Model'!$D$18)*(1+'DCF Model'!$E$18)/(1+0.09)^4+'DCF Model'!$B$11*(1+'DCF Model'!$B$18)*(1+'DCF Model'!$C$18)*(1+'DCF Model'!$D$18)*(1+'DCF Model'!$E$18)*(1+'DCF Model'!$F$18)/(1+0.09)^5+'DCF Model'!$B$11*(1+'DCF Model'!$B$18)*(1+'DCF Model'!$C$18)*(1+'DCF Model'!$D$18)*(1+'DCF Model'!$E$18)*(1+'DCF Model'!$F$18)*(1+0.03)/(0.09-0.03)/(1+0.09)^5-'DCF Model'!$B$10)/'DCF Model'!$B$7</f>
        <v>0</v>
      </c>
      <c r="E7" s="13">
        <f>('DCF Model'!$B$11*(1+'DCF Model'!$B$18)/(1+0.09)^1+'DCF Model'!$B$11*(1+'DCF Model'!$B$18)*(1+'DCF Model'!$C$18)/(1+0.09)^2+'DCF Model'!$B$11*(1+'DCF Model'!$B$18)*(1+'DCF Model'!$C$18)*(1+'DCF Model'!$D$18)/(1+0.09)^3+'DCF Model'!$B$11*(1+'DCF Model'!$B$18)*(1+'DCF Model'!$C$18)*(1+'DCF Model'!$D$18)*(1+'DCF Model'!$E$18)/(1+0.09)^4+'DCF Model'!$B$11*(1+'DCF Model'!$B$18)*(1+'DCF Model'!$C$18)*(1+'DCF Model'!$D$18)*(1+'DCF Model'!$E$18)*(1+'DCF Model'!$F$18)/(1+0.09)^5+'DCF Model'!$B$11*(1+'DCF Model'!$B$18)*(1+'DCF Model'!$C$18)*(1+'DCF Model'!$D$18)*(1+'DCF Model'!$E$18)*(1+'DCF Model'!$F$18)*(1+0.035)/(0.09-0.035)/(1+0.09)^5-'DCF Model'!$B$10)/'DCF Model'!$B$7</f>
        <v>0</v>
      </c>
      <c r="F7" s="13">
        <f>('DCF Model'!$B$11*(1+'DCF Model'!$B$18)/(1+0.09)^1+'DCF Model'!$B$11*(1+'DCF Model'!$B$18)*(1+'DCF Model'!$C$18)/(1+0.09)^2+'DCF Model'!$B$11*(1+'DCF Model'!$B$18)*(1+'DCF Model'!$C$18)*(1+'DCF Model'!$D$18)/(1+0.09)^3+'DCF Model'!$B$11*(1+'DCF Model'!$B$18)*(1+'DCF Model'!$C$18)*(1+'DCF Model'!$D$18)*(1+'DCF Model'!$E$18)/(1+0.09)^4+'DCF Model'!$B$11*(1+'DCF Model'!$B$18)*(1+'DCF Model'!$C$18)*(1+'DCF Model'!$D$18)*(1+'DCF Model'!$E$18)*(1+'DCF Model'!$F$18)/(1+0.09)^5+'DCF Model'!$B$11*(1+'DCF Model'!$B$18)*(1+'DCF Model'!$C$18)*(1+'DCF Model'!$D$18)*(1+'DCF Model'!$E$18)*(1+'DCF Model'!$F$18)*(1+0.04)/(0.09-0.04)/(1+0.09)^5-'DCF Model'!$B$10)/'DCF Model'!$B$7</f>
        <v>0</v>
      </c>
    </row>
    <row r="8" spans="1:6">
      <c r="A8" s="19">
        <v>0.1</v>
      </c>
      <c r="B8" s="13">
        <f>('DCF Model'!$B$11*(1+'DCF Model'!$B$18)/(1+0.1)^1+'DCF Model'!$B$11*(1+'DCF Model'!$B$18)*(1+'DCF Model'!$C$18)/(1+0.1)^2+'DCF Model'!$B$11*(1+'DCF Model'!$B$18)*(1+'DCF Model'!$C$18)*(1+'DCF Model'!$D$18)/(1+0.1)^3+'DCF Model'!$B$11*(1+'DCF Model'!$B$18)*(1+'DCF Model'!$C$18)*(1+'DCF Model'!$D$18)*(1+'DCF Model'!$E$18)/(1+0.1)^4+'DCF Model'!$B$11*(1+'DCF Model'!$B$18)*(1+'DCF Model'!$C$18)*(1+'DCF Model'!$D$18)*(1+'DCF Model'!$E$18)*(1+'DCF Model'!$F$18)/(1+0.1)^5+'DCF Model'!$B$11*(1+'DCF Model'!$B$18)*(1+'DCF Model'!$C$18)*(1+'DCF Model'!$D$18)*(1+'DCF Model'!$E$18)*(1+'DCF Model'!$F$18)*(1+0.02)/(0.1-0.02)/(1+0.1)^5-'DCF Model'!$B$10)/'DCF Model'!$B$7</f>
        <v>0</v>
      </c>
      <c r="C8" s="13">
        <f>('DCF Model'!$B$11*(1+'DCF Model'!$B$18)/(1+0.1)^1+'DCF Model'!$B$11*(1+'DCF Model'!$B$18)*(1+'DCF Model'!$C$18)/(1+0.1)^2+'DCF Model'!$B$11*(1+'DCF Model'!$B$18)*(1+'DCF Model'!$C$18)*(1+'DCF Model'!$D$18)/(1+0.1)^3+'DCF Model'!$B$11*(1+'DCF Model'!$B$18)*(1+'DCF Model'!$C$18)*(1+'DCF Model'!$D$18)*(1+'DCF Model'!$E$18)/(1+0.1)^4+'DCF Model'!$B$11*(1+'DCF Model'!$B$18)*(1+'DCF Model'!$C$18)*(1+'DCF Model'!$D$18)*(1+'DCF Model'!$E$18)*(1+'DCF Model'!$F$18)/(1+0.1)^5+'DCF Model'!$B$11*(1+'DCF Model'!$B$18)*(1+'DCF Model'!$C$18)*(1+'DCF Model'!$D$18)*(1+'DCF Model'!$E$18)*(1+'DCF Model'!$F$18)*(1+0.025)/(0.1-0.025)/(1+0.1)^5-'DCF Model'!$B$10)/'DCF Model'!$B$7</f>
        <v>0</v>
      </c>
      <c r="D8" s="13">
        <f>('DCF Model'!$B$11*(1+'DCF Model'!$B$18)/(1+0.1)^1+'DCF Model'!$B$11*(1+'DCF Model'!$B$18)*(1+'DCF Model'!$C$18)/(1+0.1)^2+'DCF Model'!$B$11*(1+'DCF Model'!$B$18)*(1+'DCF Model'!$C$18)*(1+'DCF Model'!$D$18)/(1+0.1)^3+'DCF Model'!$B$11*(1+'DCF Model'!$B$18)*(1+'DCF Model'!$C$18)*(1+'DCF Model'!$D$18)*(1+'DCF Model'!$E$18)/(1+0.1)^4+'DCF Model'!$B$11*(1+'DCF Model'!$B$18)*(1+'DCF Model'!$C$18)*(1+'DCF Model'!$D$18)*(1+'DCF Model'!$E$18)*(1+'DCF Model'!$F$18)/(1+0.1)^5+'DCF Model'!$B$11*(1+'DCF Model'!$B$18)*(1+'DCF Model'!$C$18)*(1+'DCF Model'!$D$18)*(1+'DCF Model'!$E$18)*(1+'DCF Model'!$F$18)*(1+0.03)/(0.1-0.03)/(1+0.1)^5-'DCF Model'!$B$10)/'DCF Model'!$B$7</f>
        <v>0</v>
      </c>
      <c r="E8" s="13">
        <f>('DCF Model'!$B$11*(1+'DCF Model'!$B$18)/(1+0.1)^1+'DCF Model'!$B$11*(1+'DCF Model'!$B$18)*(1+'DCF Model'!$C$18)/(1+0.1)^2+'DCF Model'!$B$11*(1+'DCF Model'!$B$18)*(1+'DCF Model'!$C$18)*(1+'DCF Model'!$D$18)/(1+0.1)^3+'DCF Model'!$B$11*(1+'DCF Model'!$B$18)*(1+'DCF Model'!$C$18)*(1+'DCF Model'!$D$18)*(1+'DCF Model'!$E$18)/(1+0.1)^4+'DCF Model'!$B$11*(1+'DCF Model'!$B$18)*(1+'DCF Model'!$C$18)*(1+'DCF Model'!$D$18)*(1+'DCF Model'!$E$18)*(1+'DCF Model'!$F$18)/(1+0.1)^5+'DCF Model'!$B$11*(1+'DCF Model'!$B$18)*(1+'DCF Model'!$C$18)*(1+'DCF Model'!$D$18)*(1+'DCF Model'!$E$18)*(1+'DCF Model'!$F$18)*(1+0.035)/(0.1-0.035)/(1+0.1)^5-'DCF Model'!$B$10)/'DCF Model'!$B$7</f>
        <v>0</v>
      </c>
      <c r="F8" s="13">
        <f>('DCF Model'!$B$11*(1+'DCF Model'!$B$18)/(1+0.1)^1+'DCF Model'!$B$11*(1+'DCF Model'!$B$18)*(1+'DCF Model'!$C$18)/(1+0.1)^2+'DCF Model'!$B$11*(1+'DCF Model'!$B$18)*(1+'DCF Model'!$C$18)*(1+'DCF Model'!$D$18)/(1+0.1)^3+'DCF Model'!$B$11*(1+'DCF Model'!$B$18)*(1+'DCF Model'!$C$18)*(1+'DCF Model'!$D$18)*(1+'DCF Model'!$E$18)/(1+0.1)^4+'DCF Model'!$B$11*(1+'DCF Model'!$B$18)*(1+'DCF Model'!$C$18)*(1+'DCF Model'!$D$18)*(1+'DCF Model'!$E$18)*(1+'DCF Model'!$F$18)/(1+0.1)^5+'DCF Model'!$B$11*(1+'DCF Model'!$B$18)*(1+'DCF Model'!$C$18)*(1+'DCF Model'!$D$18)*(1+'DCF Model'!$E$18)*(1+'DCF Model'!$F$18)*(1+0.04)/(0.1-0.04)/(1+0.1)^5-'DCF Model'!$B$10)/'DCF Model'!$B$7</f>
        <v>0</v>
      </c>
    </row>
    <row r="9" spans="1:6">
      <c r="A9" s="19">
        <v>0.105</v>
      </c>
      <c r="B9" s="13">
        <f>('DCF Model'!$B$11*(1+'DCF Model'!$B$18)/(1+0.105)^1+'DCF Model'!$B$11*(1+'DCF Model'!$B$18)*(1+'DCF Model'!$C$18)/(1+0.105)^2+'DCF Model'!$B$11*(1+'DCF Model'!$B$18)*(1+'DCF Model'!$C$18)*(1+'DCF Model'!$D$18)/(1+0.105)^3+'DCF Model'!$B$11*(1+'DCF Model'!$B$18)*(1+'DCF Model'!$C$18)*(1+'DCF Model'!$D$18)*(1+'DCF Model'!$E$18)/(1+0.105)^4+'DCF Model'!$B$11*(1+'DCF Model'!$B$18)*(1+'DCF Model'!$C$18)*(1+'DCF Model'!$D$18)*(1+'DCF Model'!$E$18)*(1+'DCF Model'!$F$18)/(1+0.105)^5+'DCF Model'!$B$11*(1+'DCF Model'!$B$18)*(1+'DCF Model'!$C$18)*(1+'DCF Model'!$D$18)*(1+'DCF Model'!$E$18)*(1+'DCF Model'!$F$18)*(1+0.02)/(0.105-0.02)/(1+0.105)^5-'DCF Model'!$B$10)/'DCF Model'!$B$7</f>
        <v>0</v>
      </c>
      <c r="C9" s="13">
        <f>('DCF Model'!$B$11*(1+'DCF Model'!$B$18)/(1+0.105)^1+'DCF Model'!$B$11*(1+'DCF Model'!$B$18)*(1+'DCF Model'!$C$18)/(1+0.105)^2+'DCF Model'!$B$11*(1+'DCF Model'!$B$18)*(1+'DCF Model'!$C$18)*(1+'DCF Model'!$D$18)/(1+0.105)^3+'DCF Model'!$B$11*(1+'DCF Model'!$B$18)*(1+'DCF Model'!$C$18)*(1+'DCF Model'!$D$18)*(1+'DCF Model'!$E$18)/(1+0.105)^4+'DCF Model'!$B$11*(1+'DCF Model'!$B$18)*(1+'DCF Model'!$C$18)*(1+'DCF Model'!$D$18)*(1+'DCF Model'!$E$18)*(1+'DCF Model'!$F$18)/(1+0.105)^5+'DCF Model'!$B$11*(1+'DCF Model'!$B$18)*(1+'DCF Model'!$C$18)*(1+'DCF Model'!$D$18)*(1+'DCF Model'!$E$18)*(1+'DCF Model'!$F$18)*(1+0.025)/(0.105-0.025)/(1+0.105)^5-'DCF Model'!$B$10)/'DCF Model'!$B$7</f>
        <v>0</v>
      </c>
      <c r="D9" s="20">
        <f>('DCF Model'!$B$11*(1+'DCF Model'!$B$18)/(1+0.105)^1+'DCF Model'!$B$11*(1+'DCF Model'!$B$18)*(1+'DCF Model'!$C$18)/(1+0.105)^2+'DCF Model'!$B$11*(1+'DCF Model'!$B$18)*(1+'DCF Model'!$C$18)*(1+'DCF Model'!$D$18)/(1+0.105)^3+'DCF Model'!$B$11*(1+'DCF Model'!$B$18)*(1+'DCF Model'!$C$18)*(1+'DCF Model'!$D$18)*(1+'DCF Model'!$E$18)/(1+0.105)^4+'DCF Model'!$B$11*(1+'DCF Model'!$B$18)*(1+'DCF Model'!$C$18)*(1+'DCF Model'!$D$18)*(1+'DCF Model'!$E$18)*(1+'DCF Model'!$F$18)/(1+0.105)^5+'DCF Model'!$B$11*(1+'DCF Model'!$B$18)*(1+'DCF Model'!$C$18)*(1+'DCF Model'!$D$18)*(1+'DCF Model'!$E$18)*(1+'DCF Model'!$F$18)*(1+0.03)/(0.105-0.03)/(1+0.105)^5-'DCF Model'!$B$10)/'DCF Model'!$B$7</f>
        <v>0</v>
      </c>
      <c r="E9" s="13">
        <f>('DCF Model'!$B$11*(1+'DCF Model'!$B$18)/(1+0.105)^1+'DCF Model'!$B$11*(1+'DCF Model'!$B$18)*(1+'DCF Model'!$C$18)/(1+0.105)^2+'DCF Model'!$B$11*(1+'DCF Model'!$B$18)*(1+'DCF Model'!$C$18)*(1+'DCF Model'!$D$18)/(1+0.105)^3+'DCF Model'!$B$11*(1+'DCF Model'!$B$18)*(1+'DCF Model'!$C$18)*(1+'DCF Model'!$D$18)*(1+'DCF Model'!$E$18)/(1+0.105)^4+'DCF Model'!$B$11*(1+'DCF Model'!$B$18)*(1+'DCF Model'!$C$18)*(1+'DCF Model'!$D$18)*(1+'DCF Model'!$E$18)*(1+'DCF Model'!$F$18)/(1+0.105)^5+'DCF Model'!$B$11*(1+'DCF Model'!$B$18)*(1+'DCF Model'!$C$18)*(1+'DCF Model'!$D$18)*(1+'DCF Model'!$E$18)*(1+'DCF Model'!$F$18)*(1+0.035)/(0.105-0.035)/(1+0.105)^5-'DCF Model'!$B$10)/'DCF Model'!$B$7</f>
        <v>0</v>
      </c>
      <c r="F9" s="13">
        <f>('DCF Model'!$B$11*(1+'DCF Model'!$B$18)/(1+0.105)^1+'DCF Model'!$B$11*(1+'DCF Model'!$B$18)*(1+'DCF Model'!$C$18)/(1+0.105)^2+'DCF Model'!$B$11*(1+'DCF Model'!$B$18)*(1+'DCF Model'!$C$18)*(1+'DCF Model'!$D$18)/(1+0.105)^3+'DCF Model'!$B$11*(1+'DCF Model'!$B$18)*(1+'DCF Model'!$C$18)*(1+'DCF Model'!$D$18)*(1+'DCF Model'!$E$18)/(1+0.105)^4+'DCF Model'!$B$11*(1+'DCF Model'!$B$18)*(1+'DCF Model'!$C$18)*(1+'DCF Model'!$D$18)*(1+'DCF Model'!$E$18)*(1+'DCF Model'!$F$18)/(1+0.105)^5+'DCF Model'!$B$11*(1+'DCF Model'!$B$18)*(1+'DCF Model'!$C$18)*(1+'DCF Model'!$D$18)*(1+'DCF Model'!$E$18)*(1+'DCF Model'!$F$18)*(1+0.04)/(0.105-0.04)/(1+0.105)^5-'DCF Model'!$B$10)/'DCF Model'!$B$7</f>
        <v>0</v>
      </c>
    </row>
    <row r="10" spans="1:6">
      <c r="A10" s="19">
        <v>0.11</v>
      </c>
      <c r="B10" s="13">
        <f>('DCF Model'!$B$11*(1+'DCF Model'!$B$18)/(1+0.11)^1+'DCF Model'!$B$11*(1+'DCF Model'!$B$18)*(1+'DCF Model'!$C$18)/(1+0.11)^2+'DCF Model'!$B$11*(1+'DCF Model'!$B$18)*(1+'DCF Model'!$C$18)*(1+'DCF Model'!$D$18)/(1+0.11)^3+'DCF Model'!$B$11*(1+'DCF Model'!$B$18)*(1+'DCF Model'!$C$18)*(1+'DCF Model'!$D$18)*(1+'DCF Model'!$E$18)/(1+0.11)^4+'DCF Model'!$B$11*(1+'DCF Model'!$B$18)*(1+'DCF Model'!$C$18)*(1+'DCF Model'!$D$18)*(1+'DCF Model'!$E$18)*(1+'DCF Model'!$F$18)/(1+0.11)^5+'DCF Model'!$B$11*(1+'DCF Model'!$B$18)*(1+'DCF Model'!$C$18)*(1+'DCF Model'!$D$18)*(1+'DCF Model'!$E$18)*(1+'DCF Model'!$F$18)*(1+0.02)/(0.11-0.02)/(1+0.11)^5-'DCF Model'!$B$10)/'DCF Model'!$B$7</f>
        <v>0</v>
      </c>
      <c r="C10" s="13">
        <f>('DCF Model'!$B$11*(1+'DCF Model'!$B$18)/(1+0.11)^1+'DCF Model'!$B$11*(1+'DCF Model'!$B$18)*(1+'DCF Model'!$C$18)/(1+0.11)^2+'DCF Model'!$B$11*(1+'DCF Model'!$B$18)*(1+'DCF Model'!$C$18)*(1+'DCF Model'!$D$18)/(1+0.11)^3+'DCF Model'!$B$11*(1+'DCF Model'!$B$18)*(1+'DCF Model'!$C$18)*(1+'DCF Model'!$D$18)*(1+'DCF Model'!$E$18)/(1+0.11)^4+'DCF Model'!$B$11*(1+'DCF Model'!$B$18)*(1+'DCF Model'!$C$18)*(1+'DCF Model'!$D$18)*(1+'DCF Model'!$E$18)*(1+'DCF Model'!$F$18)/(1+0.11)^5+'DCF Model'!$B$11*(1+'DCF Model'!$B$18)*(1+'DCF Model'!$C$18)*(1+'DCF Model'!$D$18)*(1+'DCF Model'!$E$18)*(1+'DCF Model'!$F$18)*(1+0.025)/(0.11-0.025)/(1+0.11)^5-'DCF Model'!$B$10)/'DCF Model'!$B$7</f>
        <v>0</v>
      </c>
      <c r="D10" s="13">
        <f>('DCF Model'!$B$11*(1+'DCF Model'!$B$18)/(1+0.11)^1+'DCF Model'!$B$11*(1+'DCF Model'!$B$18)*(1+'DCF Model'!$C$18)/(1+0.11)^2+'DCF Model'!$B$11*(1+'DCF Model'!$B$18)*(1+'DCF Model'!$C$18)*(1+'DCF Model'!$D$18)/(1+0.11)^3+'DCF Model'!$B$11*(1+'DCF Model'!$B$18)*(1+'DCF Model'!$C$18)*(1+'DCF Model'!$D$18)*(1+'DCF Model'!$E$18)/(1+0.11)^4+'DCF Model'!$B$11*(1+'DCF Model'!$B$18)*(1+'DCF Model'!$C$18)*(1+'DCF Model'!$D$18)*(1+'DCF Model'!$E$18)*(1+'DCF Model'!$F$18)/(1+0.11)^5+'DCF Model'!$B$11*(1+'DCF Model'!$B$18)*(1+'DCF Model'!$C$18)*(1+'DCF Model'!$D$18)*(1+'DCF Model'!$E$18)*(1+'DCF Model'!$F$18)*(1+0.03)/(0.11-0.03)/(1+0.11)^5-'DCF Model'!$B$10)/'DCF Model'!$B$7</f>
        <v>0</v>
      </c>
      <c r="E10" s="13">
        <f>('DCF Model'!$B$11*(1+'DCF Model'!$B$18)/(1+0.11)^1+'DCF Model'!$B$11*(1+'DCF Model'!$B$18)*(1+'DCF Model'!$C$18)/(1+0.11)^2+'DCF Model'!$B$11*(1+'DCF Model'!$B$18)*(1+'DCF Model'!$C$18)*(1+'DCF Model'!$D$18)/(1+0.11)^3+'DCF Model'!$B$11*(1+'DCF Model'!$B$18)*(1+'DCF Model'!$C$18)*(1+'DCF Model'!$D$18)*(1+'DCF Model'!$E$18)/(1+0.11)^4+'DCF Model'!$B$11*(1+'DCF Model'!$B$18)*(1+'DCF Model'!$C$18)*(1+'DCF Model'!$D$18)*(1+'DCF Model'!$E$18)*(1+'DCF Model'!$F$18)/(1+0.11)^5+'DCF Model'!$B$11*(1+'DCF Model'!$B$18)*(1+'DCF Model'!$C$18)*(1+'DCF Model'!$D$18)*(1+'DCF Model'!$E$18)*(1+'DCF Model'!$F$18)*(1+0.035)/(0.11-0.035)/(1+0.11)^5-'DCF Model'!$B$10)/'DCF Model'!$B$7</f>
        <v>0</v>
      </c>
      <c r="F10" s="13">
        <f>('DCF Model'!$B$11*(1+'DCF Model'!$B$18)/(1+0.11)^1+'DCF Model'!$B$11*(1+'DCF Model'!$B$18)*(1+'DCF Model'!$C$18)/(1+0.11)^2+'DCF Model'!$B$11*(1+'DCF Model'!$B$18)*(1+'DCF Model'!$C$18)*(1+'DCF Model'!$D$18)/(1+0.11)^3+'DCF Model'!$B$11*(1+'DCF Model'!$B$18)*(1+'DCF Model'!$C$18)*(1+'DCF Model'!$D$18)*(1+'DCF Model'!$E$18)/(1+0.11)^4+'DCF Model'!$B$11*(1+'DCF Model'!$B$18)*(1+'DCF Model'!$C$18)*(1+'DCF Model'!$D$18)*(1+'DCF Model'!$E$18)*(1+'DCF Model'!$F$18)/(1+0.11)^5+'DCF Model'!$B$11*(1+'DCF Model'!$B$18)*(1+'DCF Model'!$C$18)*(1+'DCF Model'!$D$18)*(1+'DCF Model'!$E$18)*(1+'DCF Model'!$F$18)*(1+0.04)/(0.11-0.04)/(1+0.11)^5-'DCF Model'!$B$10)/'DCF Model'!$B$7</f>
        <v>0</v>
      </c>
    </row>
    <row r="11" spans="1:6">
      <c r="A11" s="19">
        <v>0.12</v>
      </c>
      <c r="B11" s="13">
        <f>('DCF Model'!$B$11*(1+'DCF Model'!$B$18)/(1+0.12)^1+'DCF Model'!$B$11*(1+'DCF Model'!$B$18)*(1+'DCF Model'!$C$18)/(1+0.12)^2+'DCF Model'!$B$11*(1+'DCF Model'!$B$18)*(1+'DCF Model'!$C$18)*(1+'DCF Model'!$D$18)/(1+0.12)^3+'DCF Model'!$B$11*(1+'DCF Model'!$B$18)*(1+'DCF Model'!$C$18)*(1+'DCF Model'!$D$18)*(1+'DCF Model'!$E$18)/(1+0.12)^4+'DCF Model'!$B$11*(1+'DCF Model'!$B$18)*(1+'DCF Model'!$C$18)*(1+'DCF Model'!$D$18)*(1+'DCF Model'!$E$18)*(1+'DCF Model'!$F$18)/(1+0.12)^5+'DCF Model'!$B$11*(1+'DCF Model'!$B$18)*(1+'DCF Model'!$C$18)*(1+'DCF Model'!$D$18)*(1+'DCF Model'!$E$18)*(1+'DCF Model'!$F$18)*(1+0.02)/(0.12-0.02)/(1+0.12)^5-'DCF Model'!$B$10)/'DCF Model'!$B$7</f>
        <v>0</v>
      </c>
      <c r="C11" s="13">
        <f>('DCF Model'!$B$11*(1+'DCF Model'!$B$18)/(1+0.12)^1+'DCF Model'!$B$11*(1+'DCF Model'!$B$18)*(1+'DCF Model'!$C$18)/(1+0.12)^2+'DCF Model'!$B$11*(1+'DCF Model'!$B$18)*(1+'DCF Model'!$C$18)*(1+'DCF Model'!$D$18)/(1+0.12)^3+'DCF Model'!$B$11*(1+'DCF Model'!$B$18)*(1+'DCF Model'!$C$18)*(1+'DCF Model'!$D$18)*(1+'DCF Model'!$E$18)/(1+0.12)^4+'DCF Model'!$B$11*(1+'DCF Model'!$B$18)*(1+'DCF Model'!$C$18)*(1+'DCF Model'!$D$18)*(1+'DCF Model'!$E$18)*(1+'DCF Model'!$F$18)/(1+0.12)^5+'DCF Model'!$B$11*(1+'DCF Model'!$B$18)*(1+'DCF Model'!$C$18)*(1+'DCF Model'!$D$18)*(1+'DCF Model'!$E$18)*(1+'DCF Model'!$F$18)*(1+0.025)/(0.12-0.025)/(1+0.12)^5-'DCF Model'!$B$10)/'DCF Model'!$B$7</f>
        <v>0</v>
      </c>
      <c r="D11" s="13">
        <f>('DCF Model'!$B$11*(1+'DCF Model'!$B$18)/(1+0.12)^1+'DCF Model'!$B$11*(1+'DCF Model'!$B$18)*(1+'DCF Model'!$C$18)/(1+0.12)^2+'DCF Model'!$B$11*(1+'DCF Model'!$B$18)*(1+'DCF Model'!$C$18)*(1+'DCF Model'!$D$18)/(1+0.12)^3+'DCF Model'!$B$11*(1+'DCF Model'!$B$18)*(1+'DCF Model'!$C$18)*(1+'DCF Model'!$D$18)*(1+'DCF Model'!$E$18)/(1+0.12)^4+'DCF Model'!$B$11*(1+'DCF Model'!$B$18)*(1+'DCF Model'!$C$18)*(1+'DCF Model'!$D$18)*(1+'DCF Model'!$E$18)*(1+'DCF Model'!$F$18)/(1+0.12)^5+'DCF Model'!$B$11*(1+'DCF Model'!$B$18)*(1+'DCF Model'!$C$18)*(1+'DCF Model'!$D$18)*(1+'DCF Model'!$E$18)*(1+'DCF Model'!$F$18)*(1+0.03)/(0.12-0.03)/(1+0.12)^5-'DCF Model'!$B$10)/'DCF Model'!$B$7</f>
        <v>0</v>
      </c>
      <c r="E11" s="13">
        <f>('DCF Model'!$B$11*(1+'DCF Model'!$B$18)/(1+0.12)^1+'DCF Model'!$B$11*(1+'DCF Model'!$B$18)*(1+'DCF Model'!$C$18)/(1+0.12)^2+'DCF Model'!$B$11*(1+'DCF Model'!$B$18)*(1+'DCF Model'!$C$18)*(1+'DCF Model'!$D$18)/(1+0.12)^3+'DCF Model'!$B$11*(1+'DCF Model'!$B$18)*(1+'DCF Model'!$C$18)*(1+'DCF Model'!$D$18)*(1+'DCF Model'!$E$18)/(1+0.12)^4+'DCF Model'!$B$11*(1+'DCF Model'!$B$18)*(1+'DCF Model'!$C$18)*(1+'DCF Model'!$D$18)*(1+'DCF Model'!$E$18)*(1+'DCF Model'!$F$18)/(1+0.12)^5+'DCF Model'!$B$11*(1+'DCF Model'!$B$18)*(1+'DCF Model'!$C$18)*(1+'DCF Model'!$D$18)*(1+'DCF Model'!$E$18)*(1+'DCF Model'!$F$18)*(1+0.035)/(0.12-0.035)/(1+0.12)^5-'DCF Model'!$B$10)/'DCF Model'!$B$7</f>
        <v>0</v>
      </c>
      <c r="F11" s="13">
        <f>('DCF Model'!$B$11*(1+'DCF Model'!$B$18)/(1+0.12)^1+'DCF Model'!$B$11*(1+'DCF Model'!$B$18)*(1+'DCF Model'!$C$18)/(1+0.12)^2+'DCF Model'!$B$11*(1+'DCF Model'!$B$18)*(1+'DCF Model'!$C$18)*(1+'DCF Model'!$D$18)/(1+0.12)^3+'DCF Model'!$B$11*(1+'DCF Model'!$B$18)*(1+'DCF Model'!$C$18)*(1+'DCF Model'!$D$18)*(1+'DCF Model'!$E$18)/(1+0.12)^4+'DCF Model'!$B$11*(1+'DCF Model'!$B$18)*(1+'DCF Model'!$C$18)*(1+'DCF Model'!$D$18)*(1+'DCF Model'!$E$18)*(1+'DCF Model'!$F$18)/(1+0.12)^5+'DCF Model'!$B$11*(1+'DCF Model'!$B$18)*(1+'DCF Model'!$C$18)*(1+'DCF Model'!$D$18)*(1+'DCF Model'!$E$18)*(1+'DCF Model'!$F$18)*(1+0.04)/(0.12-0.04)/(1+0.12)^5-'DCF Model'!$B$10)/'DCF Model'!$B$7</f>
        <v>0</v>
      </c>
    </row>
    <row r="12" spans="1:6">
      <c r="A12" s="7" t="s">
        <v>61</v>
      </c>
    </row>
    <row r="13" spans="1:6">
      <c r="A13" s="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"/>
  <sheetViews>
    <sheetView zoomScale="90" zoomScaleNormal="90" workbookViewId="0"/>
  </sheetViews>
  <sheetFormatPr defaultRowHeight="15"/>
  <cols>
    <col min="1" max="1" width="30.7109375" customWidth="1"/>
    <col min="2" max="8" width="15.7109375" customWidth="1"/>
  </cols>
  <sheetData>
    <row r="1" spans="1:7">
      <c r="A1" s="1" t="s">
        <v>63</v>
      </c>
    </row>
    <row r="2" spans="1:7">
      <c r="A2" s="2" t="s">
        <v>64</v>
      </c>
    </row>
    <row r="5" spans="1:7">
      <c r="A5" s="10" t="s">
        <v>65</v>
      </c>
      <c r="B5" s="10" t="s">
        <v>24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</row>
    <row r="6" spans="1:7">
      <c r="A6" t="s">
        <v>15</v>
      </c>
      <c r="B6" s="7" t="s">
        <v>71</v>
      </c>
      <c r="C6" s="16">
        <v>0.18</v>
      </c>
      <c r="D6" s="16">
        <v>0.16</v>
      </c>
      <c r="E6" s="16">
        <v>0.14</v>
      </c>
      <c r="F6" s="16">
        <v>0.12</v>
      </c>
      <c r="G6" s="16">
        <v>0.1</v>
      </c>
    </row>
    <row r="7" spans="1:7">
      <c r="A7" t="s">
        <v>25</v>
      </c>
      <c r="B7" s="5">
        <v>3469.8</v>
      </c>
      <c r="C7" s="5">
        <v>4094.4</v>
      </c>
      <c r="D7" s="5">
        <v>4749.5</v>
      </c>
      <c r="E7" s="5">
        <v>5414.4</v>
      </c>
      <c r="F7" s="5">
        <v>6064.1</v>
      </c>
      <c r="G7" s="5">
        <v>6670.5</v>
      </c>
    </row>
    <row r="8" spans="1:7">
      <c r="A8" t="s">
        <v>26</v>
      </c>
      <c r="B8" s="5">
        <v>1</v>
      </c>
      <c r="C8" s="5">
        <v>0.905</v>
      </c>
      <c r="D8" s="5">
        <v>0.819</v>
      </c>
      <c r="E8" s="5">
        <v>0.7412</v>
      </c>
      <c r="F8" s="5">
        <v>0.6707</v>
      </c>
      <c r="G8" s="5">
        <v>0.607</v>
      </c>
    </row>
    <row r="9" spans="1:7">
      <c r="A9" t="s">
        <v>27</v>
      </c>
      <c r="B9" s="5"/>
      <c r="C9" s="5">
        <v>3705.4</v>
      </c>
      <c r="D9" s="5">
        <v>3889.8</v>
      </c>
      <c r="E9" s="5">
        <v>4013.2</v>
      </c>
      <c r="F9" s="5">
        <v>4067.2</v>
      </c>
      <c r="G9" s="5">
        <v>4049</v>
      </c>
    </row>
    <row r="11" spans="1:7">
      <c r="A11" t="s">
        <v>72</v>
      </c>
      <c r="B11" s="5">
        <v>19724.6</v>
      </c>
      <c r="C11" s="7" t="s">
        <v>73</v>
      </c>
    </row>
    <row r="12" spans="1:7">
      <c r="A12" t="s">
        <v>74</v>
      </c>
      <c r="B12" s="5">
        <v>91608.2</v>
      </c>
      <c r="C12" s="7" t="s">
        <v>75</v>
      </c>
    </row>
    <row r="13" spans="1:7">
      <c r="A13" t="s">
        <v>76</v>
      </c>
      <c r="B13" s="5">
        <v>55606.2</v>
      </c>
    </row>
    <row r="14" spans="1:7">
      <c r="A14" t="s">
        <v>33</v>
      </c>
      <c r="B14" s="5">
        <v>75330.8</v>
      </c>
    </row>
    <row r="15" spans="1:7">
      <c r="A15" t="s">
        <v>77</v>
      </c>
      <c r="B15" s="5">
        <v>-2903.2</v>
      </c>
      <c r="C15" s="7" t="s">
        <v>78</v>
      </c>
    </row>
    <row r="16" spans="1:7">
      <c r="A16" t="s">
        <v>35</v>
      </c>
      <c r="B16" s="5">
        <v>78234</v>
      </c>
    </row>
    <row r="17" spans="1:7">
      <c r="A17" s="8" t="s">
        <v>79</v>
      </c>
      <c r="B17" s="11">
        <v>110.19</v>
      </c>
    </row>
    <row r="18" spans="1:7">
      <c r="A18" t="s">
        <v>49</v>
      </c>
      <c r="B18" s="12">
        <v>-0.34</v>
      </c>
    </row>
    <row r="19" spans="1:7">
      <c r="A19" t="s">
        <v>80</v>
      </c>
      <c r="B19" s="11">
        <v>64.15000000000001</v>
      </c>
      <c r="C19" s="7" t="s">
        <v>81</v>
      </c>
    </row>
    <row r="25" spans="1:7">
      <c r="A25" s="15" t="s">
        <v>82</v>
      </c>
      <c r="B25" s="15" t="s">
        <v>24</v>
      </c>
      <c r="C25" s="15" t="s">
        <v>66</v>
      </c>
      <c r="D25" s="15" t="s">
        <v>67</v>
      </c>
      <c r="E25" s="15" t="s">
        <v>68</v>
      </c>
      <c r="F25" s="15" t="s">
        <v>69</v>
      </c>
      <c r="G25" s="15" t="s">
        <v>70</v>
      </c>
    </row>
    <row r="26" spans="1:7">
      <c r="A26" t="s">
        <v>15</v>
      </c>
      <c r="B26" s="7" t="s">
        <v>71</v>
      </c>
      <c r="C26" s="16">
        <v>0.25</v>
      </c>
      <c r="D26" s="16">
        <v>0.22</v>
      </c>
      <c r="E26" s="16">
        <v>0.18</v>
      </c>
      <c r="F26" s="16">
        <v>0.15</v>
      </c>
      <c r="G26" s="16">
        <v>0.12</v>
      </c>
    </row>
    <row r="27" spans="1:7">
      <c r="A27" t="s">
        <v>25</v>
      </c>
      <c r="B27" s="5">
        <v>3469.8</v>
      </c>
      <c r="C27" s="5">
        <v>4337.2</v>
      </c>
      <c r="D27" s="5">
        <v>5291.4</v>
      </c>
      <c r="E27" s="5">
        <v>6243.9</v>
      </c>
      <c r="F27" s="5">
        <v>7180.5</v>
      </c>
      <c r="G27" s="5">
        <v>8042.1</v>
      </c>
    </row>
    <row r="28" spans="1:7">
      <c r="A28" t="s">
        <v>26</v>
      </c>
      <c r="B28" s="5">
        <v>1</v>
      </c>
      <c r="C28" s="5">
        <v>0.9132</v>
      </c>
      <c r="D28" s="5">
        <v>0.834</v>
      </c>
      <c r="E28" s="5">
        <v>0.7617</v>
      </c>
      <c r="F28" s="5">
        <v>0.6956</v>
      </c>
      <c r="G28" s="5">
        <v>0.6352</v>
      </c>
    </row>
    <row r="29" spans="1:7">
      <c r="A29" t="s">
        <v>27</v>
      </c>
      <c r="B29" s="5"/>
      <c r="C29" s="5">
        <v>3960.7</v>
      </c>
      <c r="D29" s="5">
        <v>4413</v>
      </c>
      <c r="E29" s="5">
        <v>4756</v>
      </c>
      <c r="F29" s="5">
        <v>4994.8</v>
      </c>
      <c r="G29" s="5">
        <v>5108.3</v>
      </c>
    </row>
    <row r="31" spans="1:7">
      <c r="A31" t="s">
        <v>72</v>
      </c>
      <c r="B31" s="5">
        <v>23232.8</v>
      </c>
      <c r="C31" s="7" t="s">
        <v>83</v>
      </c>
    </row>
    <row r="32" spans="1:7">
      <c r="A32" t="s">
        <v>74</v>
      </c>
      <c r="B32" s="5">
        <v>138726.2</v>
      </c>
      <c r="C32" s="7" t="s">
        <v>84</v>
      </c>
    </row>
    <row r="33" spans="1:7">
      <c r="A33" t="s">
        <v>76</v>
      </c>
      <c r="B33" s="5">
        <v>88118.89999999999</v>
      </c>
    </row>
    <row r="34" spans="1:7">
      <c r="A34" t="s">
        <v>33</v>
      </c>
      <c r="B34" s="5">
        <v>111351.7</v>
      </c>
    </row>
    <row r="35" spans="1:7">
      <c r="A35" t="s">
        <v>77</v>
      </c>
      <c r="B35" s="5">
        <v>-2903.2</v>
      </c>
      <c r="C35" s="7" t="s">
        <v>78</v>
      </c>
    </row>
    <row r="36" spans="1:7">
      <c r="A36" t="s">
        <v>35</v>
      </c>
      <c r="B36" s="5">
        <v>114254.9</v>
      </c>
    </row>
    <row r="37" spans="1:7">
      <c r="A37" s="8" t="s">
        <v>79</v>
      </c>
      <c r="B37" s="11">
        <v>160.92</v>
      </c>
    </row>
    <row r="38" spans="1:7">
      <c r="A38" t="s">
        <v>49</v>
      </c>
      <c r="B38" s="12">
        <v>-0.036</v>
      </c>
    </row>
    <row r="39" spans="1:7">
      <c r="A39" t="s">
        <v>80</v>
      </c>
      <c r="B39" s="11">
        <v>97.14</v>
      </c>
      <c r="C39" s="7" t="s">
        <v>85</v>
      </c>
    </row>
    <row r="45" spans="1:7">
      <c r="A45" s="14" t="s">
        <v>86</v>
      </c>
      <c r="B45" s="14" t="s">
        <v>24</v>
      </c>
      <c r="C45" s="14" t="s">
        <v>66</v>
      </c>
      <c r="D45" s="14" t="s">
        <v>67</v>
      </c>
      <c r="E45" s="14" t="s">
        <v>68</v>
      </c>
      <c r="F45" s="14" t="s">
        <v>69</v>
      </c>
      <c r="G45" s="14" t="s">
        <v>70</v>
      </c>
    </row>
    <row r="46" spans="1:7">
      <c r="A46" t="s">
        <v>15</v>
      </c>
      <c r="B46" s="7" t="s">
        <v>71</v>
      </c>
      <c r="C46" s="16">
        <v>0.1</v>
      </c>
      <c r="D46" s="16">
        <v>0.08</v>
      </c>
      <c r="E46" s="16">
        <v>0.06</v>
      </c>
      <c r="F46" s="16">
        <v>0.05</v>
      </c>
      <c r="G46" s="16">
        <v>0.04</v>
      </c>
    </row>
    <row r="47" spans="1:7">
      <c r="A47" t="s">
        <v>25</v>
      </c>
      <c r="B47" s="5">
        <v>3469.8</v>
      </c>
      <c r="C47" s="5">
        <v>3816.8</v>
      </c>
      <c r="D47" s="5">
        <v>4122.1</v>
      </c>
      <c r="E47" s="5">
        <v>4369.4</v>
      </c>
      <c r="F47" s="5">
        <v>4587.9</v>
      </c>
      <c r="G47" s="5">
        <v>4771.4</v>
      </c>
    </row>
    <row r="48" spans="1:7">
      <c r="A48" t="s">
        <v>26</v>
      </c>
      <c r="B48" s="5">
        <v>1</v>
      </c>
      <c r="C48" s="5">
        <v>0.8929</v>
      </c>
      <c r="D48" s="5">
        <v>0.7972</v>
      </c>
      <c r="E48" s="5">
        <v>0.7118</v>
      </c>
      <c r="F48" s="5">
        <v>0.6355</v>
      </c>
      <c r="G48" s="5">
        <v>0.5674</v>
      </c>
    </row>
    <row r="49" spans="1:7">
      <c r="A49" t="s">
        <v>27</v>
      </c>
      <c r="B49" s="5"/>
      <c r="C49" s="5">
        <v>3408</v>
      </c>
      <c r="D49" s="5">
        <v>3286.1</v>
      </c>
      <c r="E49" s="5">
        <v>3110.1</v>
      </c>
      <c r="F49" s="5">
        <v>2915.6</v>
      </c>
      <c r="G49" s="5">
        <v>2707.3</v>
      </c>
    </row>
    <row r="51" spans="1:7">
      <c r="A51" t="s">
        <v>72</v>
      </c>
      <c r="B51" s="5">
        <v>15427.1</v>
      </c>
      <c r="C51" s="7" t="s">
        <v>87</v>
      </c>
    </row>
    <row r="52" spans="1:7">
      <c r="A52" t="s">
        <v>74</v>
      </c>
      <c r="B52" s="5">
        <v>51480.9</v>
      </c>
      <c r="C52" s="7" t="s">
        <v>88</v>
      </c>
    </row>
    <row r="53" spans="1:7">
      <c r="A53" t="s">
        <v>76</v>
      </c>
      <c r="B53" s="5">
        <v>29210.3</v>
      </c>
    </row>
    <row r="54" spans="1:7">
      <c r="A54" t="s">
        <v>33</v>
      </c>
      <c r="B54" s="5">
        <v>44637.4</v>
      </c>
    </row>
    <row r="55" spans="1:7">
      <c r="A55" t="s">
        <v>77</v>
      </c>
      <c r="B55" s="5">
        <v>-2903.2</v>
      </c>
      <c r="C55" s="7" t="s">
        <v>78</v>
      </c>
    </row>
    <row r="56" spans="1:7">
      <c r="A56" t="s">
        <v>35</v>
      </c>
      <c r="B56" s="5">
        <v>47540.6</v>
      </c>
    </row>
    <row r="57" spans="1:7">
      <c r="A57" s="8" t="s">
        <v>79</v>
      </c>
      <c r="B57" s="11">
        <v>66.95999999999999</v>
      </c>
    </row>
    <row r="58" spans="1:7">
      <c r="A58" t="s">
        <v>49</v>
      </c>
      <c r="B58" s="12">
        <v>-0.599</v>
      </c>
    </row>
    <row r="59" spans="1:7">
      <c r="A59" t="s">
        <v>80</v>
      </c>
      <c r="B59" s="11">
        <v>36.05</v>
      </c>
      <c r="C59" s="7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zoomScale="90" zoomScaleNormal="90" workbookViewId="0"/>
  </sheetViews>
  <sheetFormatPr defaultRowHeight="15"/>
  <cols>
    <col min="1" max="1" width="22.7109375" customWidth="1"/>
    <col min="2" max="3" width="14.7109375" customWidth="1"/>
    <col min="4" max="4" width="13.7109375" customWidth="1"/>
    <col min="5" max="5" width="55.7109375" customWidth="1"/>
    <col min="6" max="11" width="14.7109375" customWidth="1"/>
  </cols>
  <sheetData>
    <row r="1" spans="1:10">
      <c r="A1" s="1" t="s">
        <v>90</v>
      </c>
    </row>
    <row r="2" spans="1:10">
      <c r="A2" s="2" t="s">
        <v>91</v>
      </c>
    </row>
    <row r="4" spans="1:10">
      <c r="A4" s="9" t="s">
        <v>92</v>
      </c>
      <c r="B4" s="9" t="s">
        <v>93</v>
      </c>
      <c r="C4" s="9" t="s">
        <v>94</v>
      </c>
      <c r="D4" s="9" t="s">
        <v>95</v>
      </c>
      <c r="E4" s="9" t="s">
        <v>96</v>
      </c>
      <c r="F4" s="9" t="s">
        <v>97</v>
      </c>
      <c r="G4" s="9" t="s">
        <v>98</v>
      </c>
      <c r="H4" s="9" t="s">
        <v>99</v>
      </c>
      <c r="I4" s="9" t="s">
        <v>100</v>
      </c>
      <c r="J4" s="9" t="s">
        <v>101</v>
      </c>
    </row>
    <row r="5" spans="1:10">
      <c r="A5" t="s">
        <v>102</v>
      </c>
      <c r="B5" s="5">
        <v>928.1</v>
      </c>
      <c r="C5" s="5">
        <v>676.6</v>
      </c>
      <c r="D5" s="16">
        <v>0.7290000000000001</v>
      </c>
      <c r="E5" s="5">
        <v>-133.5</v>
      </c>
      <c r="F5" s="5">
        <v>-165</v>
      </c>
      <c r="G5" s="13">
        <v>-0.32</v>
      </c>
      <c r="H5" s="5">
        <v>316.5</v>
      </c>
      <c r="I5" s="5">
        <v>487.9</v>
      </c>
      <c r="J5" s="5">
        <v>508.8</v>
      </c>
    </row>
    <row r="6" spans="1:10">
      <c r="A6" t="s">
        <v>103</v>
      </c>
      <c r="B6" s="5">
        <v>1378.5</v>
      </c>
      <c r="C6" s="5">
        <v>1008.5</v>
      </c>
      <c r="D6" s="16">
        <v>0.732</v>
      </c>
      <c r="E6" s="5">
        <v>-190.1</v>
      </c>
      <c r="F6" s="5">
        <v>-225.9</v>
      </c>
      <c r="G6" s="13">
        <v>-0.43</v>
      </c>
      <c r="H6" s="5">
        <v>585.6</v>
      </c>
      <c r="I6" s="5">
        <v>789.9</v>
      </c>
      <c r="J6" s="5">
        <v>543</v>
      </c>
    </row>
    <row r="7" spans="1:10">
      <c r="A7" t="s">
        <v>104</v>
      </c>
      <c r="B7" s="5">
        <v>1761.6</v>
      </c>
      <c r="C7" s="5">
        <v>1285</v>
      </c>
      <c r="D7" s="16">
        <v>0.7290000000000001</v>
      </c>
      <c r="E7" s="5">
        <v>-179.8</v>
      </c>
      <c r="F7" s="5">
        <v>-216.6</v>
      </c>
      <c r="G7" s="13">
        <v>-0.4</v>
      </c>
      <c r="H7" s="5">
        <v>705.1</v>
      </c>
      <c r="I7" s="5">
        <v>759.6</v>
      </c>
      <c r="J7" s="5">
        <v>549</v>
      </c>
    </row>
    <row r="8" spans="1:10">
      <c r="A8" t="s">
        <v>105</v>
      </c>
      <c r="B8" s="5">
        <v>2273.1</v>
      </c>
      <c r="C8" s="5">
        <v>1627.8</v>
      </c>
      <c r="D8" s="16">
        <v>0.716</v>
      </c>
      <c r="E8" s="5">
        <v>-129.1</v>
      </c>
      <c r="F8" s="5">
        <v>-147.9</v>
      </c>
      <c r="G8" s="13">
        <v>-0.27</v>
      </c>
      <c r="H8" s="5">
        <v>925</v>
      </c>
      <c r="I8" s="5">
        <v>966.4</v>
      </c>
      <c r="J8" s="5">
        <v>561.6</v>
      </c>
    </row>
    <row r="9" spans="1:10">
      <c r="A9" t="s">
        <v>106</v>
      </c>
      <c r="B9" s="5">
        <v>2899.6</v>
      </c>
      <c r="C9" s="5">
        <v>2091.2</v>
      </c>
      <c r="D9" s="16">
        <v>0.721</v>
      </c>
      <c r="E9" s="5">
        <v>-54.1</v>
      </c>
      <c r="F9" s="5">
        <v>-81.90000000000001</v>
      </c>
      <c r="G9" s="13">
        <v>-0.14</v>
      </c>
      <c r="H9" s="5">
        <v>924.4</v>
      </c>
      <c r="I9" s="5">
        <v>1586.3</v>
      </c>
      <c r="J9" s="5">
        <v>580.8</v>
      </c>
    </row>
    <row r="10" spans="1:10">
      <c r="A10" t="s">
        <v>107</v>
      </c>
      <c r="B10" s="5">
        <v>3408.4</v>
      </c>
      <c r="C10" s="5">
        <v>2408.9</v>
      </c>
      <c r="D10" s="16">
        <v>0.7070000000000001</v>
      </c>
      <c r="E10" s="5">
        <v>-179</v>
      </c>
      <c r="F10" s="5">
        <v>-267</v>
      </c>
      <c r="G10" s="13">
        <v>-0.46</v>
      </c>
      <c r="H10" s="5">
        <v>821.3</v>
      </c>
      <c r="I10" s="5">
        <v>1101.8</v>
      </c>
      <c r="J10" s="5">
        <v>577.8</v>
      </c>
    </row>
    <row r="11" spans="1:10">
      <c r="A11" t="s">
        <v>108</v>
      </c>
      <c r="B11" s="5">
        <v>4256.1</v>
      </c>
      <c r="C11" s="5">
        <v>2981.2</v>
      </c>
      <c r="D11" s="16">
        <v>0.701</v>
      </c>
      <c r="E11" s="5">
        <v>-304.1</v>
      </c>
      <c r="F11" s="5">
        <v>-498.9</v>
      </c>
      <c r="G11" s="13">
        <v>-0.86</v>
      </c>
      <c r="H11" s="5">
        <v>1387</v>
      </c>
      <c r="I11" s="5">
        <v>634.5</v>
      </c>
      <c r="J11" s="5">
        <v>583.8</v>
      </c>
    </row>
    <row r="12" spans="1:10">
      <c r="A12" t="s">
        <v>109</v>
      </c>
      <c r="B12" s="5">
        <v>5501.5</v>
      </c>
      <c r="C12" s="5">
        <v>3782.8</v>
      </c>
      <c r="D12" s="16">
        <v>0.6879999999999999</v>
      </c>
      <c r="E12" s="5">
        <v>-188.8</v>
      </c>
      <c r="F12" s="5">
        <v>-267</v>
      </c>
      <c r="G12" s="13">
        <v>-0.45</v>
      </c>
      <c r="H12" s="5">
        <v>1791.9</v>
      </c>
      <c r="I12" s="5">
        <v>210</v>
      </c>
      <c r="J12" s="5">
        <v>597.6</v>
      </c>
    </row>
    <row r="13" spans="1:10">
      <c r="A13" t="s">
        <v>110</v>
      </c>
      <c r="B13" s="5">
        <v>6892.7</v>
      </c>
      <c r="C13" s="5">
        <v>4983</v>
      </c>
      <c r="D13" s="16">
        <v>0.723</v>
      </c>
      <c r="E13" s="5">
        <v>387.3</v>
      </c>
      <c r="F13" s="5">
        <v>439.7</v>
      </c>
      <c r="G13" s="13">
        <v>0.64</v>
      </c>
      <c r="H13" s="5">
        <v>2631.2</v>
      </c>
      <c r="I13" s="5">
        <v>1748.4</v>
      </c>
      <c r="J13" s="5">
        <v>616.6</v>
      </c>
    </row>
    <row r="14" spans="1:10">
      <c r="A14" t="s">
        <v>111</v>
      </c>
      <c r="B14" s="5">
        <v>8027.5</v>
      </c>
      <c r="C14" s="5">
        <v>5968.3</v>
      </c>
      <c r="D14" s="16">
        <v>0.743</v>
      </c>
      <c r="E14" s="5">
        <v>683.9</v>
      </c>
      <c r="F14" s="5">
        <v>2577.6</v>
      </c>
      <c r="G14" s="13">
        <v>3.64</v>
      </c>
      <c r="H14" s="5">
        <v>3100.8</v>
      </c>
      <c r="I14" s="5">
        <v>5169.7</v>
      </c>
      <c r="J14" s="5">
        <v>650.2</v>
      </c>
    </row>
    <row r="15" spans="1:10">
      <c r="A15" t="s">
        <v>112</v>
      </c>
      <c r="B15" s="5">
        <v>9221.5</v>
      </c>
      <c r="C15" s="5">
        <v>6769.9</v>
      </c>
      <c r="D15" s="16">
        <v>0.7340000000000001</v>
      </c>
      <c r="E15" s="5">
        <v>1242.9</v>
      </c>
      <c r="F15" s="5">
        <v>1133.9</v>
      </c>
      <c r="G15" s="13">
        <v>1.6</v>
      </c>
      <c r="H15" s="5">
        <v>3469.8</v>
      </c>
      <c r="I15" s="5">
        <v>7824.4</v>
      </c>
      <c r="J15" s="5">
        <v>667.9</v>
      </c>
    </row>
    <row r="17" spans="1:5">
      <c r="A17" s="3" t="s">
        <v>113</v>
      </c>
    </row>
    <row r="18" spans="1:5">
      <c r="A18" s="9" t="s">
        <v>114</v>
      </c>
      <c r="B18" s="9" t="s">
        <v>115</v>
      </c>
      <c r="C18" s="9" t="s">
        <v>116</v>
      </c>
      <c r="D18" s="9" t="s">
        <v>92</v>
      </c>
      <c r="E18" s="9" t="s">
        <v>117</v>
      </c>
    </row>
    <row r="19" spans="1:5">
      <c r="A19" t="s">
        <v>93</v>
      </c>
      <c r="B19" s="16">
        <v>0.1879</v>
      </c>
      <c r="C19" s="16">
        <v>0.2203</v>
      </c>
      <c r="D19" s="7" t="s">
        <v>118</v>
      </c>
      <c r="E19" s="7" t="s">
        <v>119</v>
      </c>
    </row>
    <row r="20" spans="1:5">
      <c r="A20" t="s">
        <v>99</v>
      </c>
      <c r="B20" s="16">
        <v>0.2464</v>
      </c>
      <c r="C20" s="16">
        <v>0.334</v>
      </c>
      <c r="D20" s="7" t="s">
        <v>118</v>
      </c>
      <c r="E20" s="7" t="s">
        <v>120</v>
      </c>
    </row>
    <row r="21" spans="1:5">
      <c r="A21" t="s">
        <v>121</v>
      </c>
      <c r="B21" s="16">
        <v>2.34</v>
      </c>
      <c r="C21" s="16">
        <v>0.48</v>
      </c>
      <c r="D21" s="7" t="s">
        <v>118</v>
      </c>
      <c r="E21" s="7" t="s">
        <v>122</v>
      </c>
    </row>
    <row r="22" spans="1:5">
      <c r="A22" t="s">
        <v>98</v>
      </c>
      <c r="B22" s="7" t="s">
        <v>123</v>
      </c>
      <c r="C22" s="7" t="s">
        <v>123</v>
      </c>
      <c r="D22" s="7" t="s">
        <v>124</v>
      </c>
      <c r="E22" s="7" t="s">
        <v>125</v>
      </c>
    </row>
    <row r="23" spans="1:5">
      <c r="A23" s="8" t="s">
        <v>126</v>
      </c>
      <c r="B23" s="8" t="s">
        <v>127</v>
      </c>
      <c r="C23" s="16">
        <v>0.334</v>
      </c>
    </row>
    <row r="24" spans="1:5">
      <c r="A24" t="s">
        <v>128</v>
      </c>
    </row>
    <row r="25" spans="1:5" ht="50" customHeight="1">
      <c r="B25" s="17" t="s">
        <v>129</v>
      </c>
      <c r="C25" s="17"/>
      <c r="D25" s="17"/>
      <c r="E25" s="17"/>
    </row>
  </sheetData>
  <mergeCells count="1">
    <mergeCell ref="B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Scenarios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2026-02-17T07:43:45Z</dcterms:created>
  <dcterms:modified xsi:type="dcterms:W3CDTF">2026-02-17T07:43:45Z</dcterms:modified>
</cp:coreProperties>
</file>