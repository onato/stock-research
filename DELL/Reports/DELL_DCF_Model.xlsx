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s" sheetId="2" r:id="rId2"/>
    <sheet name="Sensitivity" sheetId="3" r:id="rId3"/>
    <sheet name="Historical" sheetId="4" r:id="rId4"/>
    <sheet name="Notes" sheetId="5" r:id="rId5"/>
  </sheets>
  <calcPr calcId="124519" fullCalcOnLoad="1"/>
</workbook>
</file>

<file path=xl/sharedStrings.xml><?xml version="1.0" encoding="utf-8"?>
<sst xmlns="http://schemas.openxmlformats.org/spreadsheetml/2006/main" count="238" uniqueCount="221">
  <si>
    <t>DELL DCF Valuation Model (Base Case)</t>
  </si>
  <si>
    <t>Gray cells are INPUTS - change them to see the valuation update automatically  |  Units: USD Millions</t>
  </si>
  <si>
    <t>IMPORTANT: Dell has negative shareholders equity since 2016 EMC leveraged acquisition, making equity CAGR unusable. Historical FCF CAGRs are distorted by VMware spinoff (2021) and AI server working capital dynamics. Growth rates anchored to management FY2026 guidance (+17% revenue) and AI infrastructure cycle analysis. Base FCF normalized to $5,500M vs. reported FY2025 of $1,869M (which was depressed by rapid AI server inventory/AR build).</t>
  </si>
  <si>
    <t>KEY INPUTS</t>
  </si>
  <si>
    <t>Current Stock Price ($)</t>
  </si>
  <si>
    <t>Shares Outstanding (M)</t>
  </si>
  <si>
    <t>Cash &amp; Equivalents (M)</t>
  </si>
  <si>
    <t>Total Debt (M)</t>
  </si>
  <si>
    <t>Net Debt = Debt - Cash (M)</t>
  </si>
  <si>
    <t>Normalized Base Year FCF (M)</t>
  </si>
  <si>
    <t>FY2025 reported FCF was $1,869M - normalized to $5,500M; see Notes sheet</t>
  </si>
  <si>
    <t>WACC (Discount Rate)</t>
  </si>
  <si>
    <t>Terminal Growth Rate</t>
  </si>
  <si>
    <t>BASE CASE FCF GROWTH RATES (EDITABLE)</t>
  </si>
  <si>
    <t>Year 1</t>
  </si>
  <si>
    <t>Year 2</t>
  </si>
  <si>
    <t>Year 3</t>
  </si>
  <si>
    <t>Year 4</t>
  </si>
  <si>
    <t>Year 5</t>
  </si>
  <si>
    <t>FCF Growth Rate</t>
  </si>
  <si>
    <t>Context</t>
  </si>
  <si>
    <t>AI ramp +17% rev</t>
  </si>
  <si>
    <t>Strong AI+CSG refresh</t>
  </si>
  <si>
    <t>AI cycle maturing</t>
  </si>
  <si>
    <t>Deceleration</t>
  </si>
  <si>
    <t>Normalizing</t>
  </si>
  <si>
    <t>FREE CASH FLOW PROJECTIONS</t>
  </si>
  <si>
    <t>Free Cash Flow (M)</t>
  </si>
  <si>
    <t>Discount Factor</t>
  </si>
  <si>
    <t>PV of FCF (M)</t>
  </si>
  <si>
    <t>VALUATION SUMMARY</t>
  </si>
  <si>
    <t>Sum of PV of FCF (M)</t>
  </si>
  <si>
    <t>Terminal FCF = Y5 x (1 + Terminal g)</t>
  </si>
  <si>
    <t>Terminal Value = Terminal FCF / (WACC - g)</t>
  </si>
  <si>
    <t>PV of Terminal Value (M)</t>
  </si>
  <si>
    <t>Enterprise Value (M)</t>
  </si>
  <si>
    <t>Less: Net Debt (M)</t>
  </si>
  <si>
    <t>Equity Value (M)</t>
  </si>
  <si>
    <t>INTRINSIC VALUE PER SHARE</t>
  </si>
  <si>
    <t>ENTRY PRICE ANALYSIS (Target: 15% Annual Return)</t>
  </si>
  <si>
    <t>Terminal Value per Share</t>
  </si>
  <si>
    <t>Entry Price for 15% CAGR (5yr)</t>
  </si>
  <si>
    <t>RETURN METRICS</t>
  </si>
  <si>
    <t>Upside / (Downside) to Intrinsic Value</t>
  </si>
  <si>
    <t>Stock vs. Entry Price (negative = stock above entry)</t>
  </si>
  <si>
    <t>PV Terminal as % of Enterprise Value</t>
  </si>
  <si>
    <t>Net Debt / Enterprise Value</t>
  </si>
  <si>
    <t>DELL - Base / Bull / Bear Scenario Comparison</t>
  </si>
  <si>
    <t>All values USD Millions. FCF projections based on normalized base FCF of $5,500M. Net debt $20,934M. Shares 720M.</t>
  </si>
  <si>
    <t>Metric</t>
  </si>
  <si>
    <t>BASE CASE</t>
  </si>
  <si>
    <t>BULL CASE</t>
  </si>
  <si>
    <t>BEAR CASE</t>
  </si>
  <si>
    <t>--- ASSUMPTIONS ---</t>
  </si>
  <si>
    <t>Growth Rates (Y1-Y5)</t>
  </si>
  <si>
    <t>15%, 13%, 11%, 9%, 7%</t>
  </si>
  <si>
    <t>20%, 18%, 15%, 12%, 10%</t>
  </si>
  <si>
    <t>8%, 5%, 3%, 2%, 1%</t>
  </si>
  <si>
    <t>WACC</t>
  </si>
  <si>
    <t>10.0%</t>
  </si>
  <si>
    <t>9.0%</t>
  </si>
  <si>
    <t>12.0%</t>
  </si>
  <si>
    <t>3.0%</t>
  </si>
  <si>
    <t>3.5%</t>
  </si>
  <si>
    <t>2.0%</t>
  </si>
  <si>
    <t>--- FCF PROJECTIONS ---</t>
  </si>
  <si>
    <t>Year 1 FCF (M)</t>
  </si>
  <si>
    <t>$6,325</t>
  </si>
  <si>
    <t>$6,600</t>
  </si>
  <si>
    <t>$5,940</t>
  </si>
  <si>
    <t>Year 2 FCF (M)</t>
  </si>
  <si>
    <t>$7,147</t>
  </si>
  <si>
    <t>$7,788</t>
  </si>
  <si>
    <t>$6,237</t>
  </si>
  <si>
    <t>Year 3 FCF (M)</t>
  </si>
  <si>
    <t>$7,933</t>
  </si>
  <si>
    <t>$8,956</t>
  </si>
  <si>
    <t>$6,424</t>
  </si>
  <si>
    <t>Year 4 FCF (M)</t>
  </si>
  <si>
    <t>$8,647</t>
  </si>
  <si>
    <t>$10,031</t>
  </si>
  <si>
    <t>$6,553</t>
  </si>
  <si>
    <t>Year 5 FCF (M)</t>
  </si>
  <si>
    <t>$9,253</t>
  </si>
  <si>
    <t>$11,034</t>
  </si>
  <si>
    <t>$6,618</t>
  </si>
  <si>
    <t>--- VALUATION ---</t>
  </si>
  <si>
    <t>Sum PV of FCF (M)</t>
  </si>
  <si>
    <t>$29,267</t>
  </si>
  <si>
    <t>$33,807</t>
  </si>
  <si>
    <t>$22,765</t>
  </si>
  <si>
    <t>Terminal Value (M)</t>
  </si>
  <si>
    <t>$136,148</t>
  </si>
  <si>
    <t>$207,641</t>
  </si>
  <si>
    <t>$67,505</t>
  </si>
  <si>
    <t>$84,537</t>
  </si>
  <si>
    <t>$134,952</t>
  </si>
  <si>
    <t>$38,304</t>
  </si>
  <si>
    <t>$113,804</t>
  </si>
  <si>
    <t>$168,759</t>
  </si>
  <si>
    <t>$61,069</t>
  </si>
  <si>
    <t>$20,934</t>
  </si>
  <si>
    <t>$92,870</t>
  </si>
  <si>
    <t>$147,825</t>
  </si>
  <si>
    <t>$40,135</t>
  </si>
  <si>
    <t>--- OUTPUT ---</t>
  </si>
  <si>
    <t>Intrinsic Value per Share</t>
  </si>
  <si>
    <t>$128.99</t>
  </si>
  <si>
    <t>$205.31</t>
  </si>
  <si>
    <t>$55.74</t>
  </si>
  <si>
    <t>Upside / Downside vs. $117</t>
  </si>
  <si>
    <t>+10.2%</t>
  </si>
  <si>
    <t>+75.5%</t>
  </si>
  <si>
    <t>-52.4%</t>
  </si>
  <si>
    <t>Entry Price (15% CAGR Target)</t>
  </si>
  <si>
    <t>$94.01</t>
  </si>
  <si>
    <t>$143.38</t>
  </si>
  <si>
    <t>$46.61</t>
  </si>
  <si>
    <t>--- PROBABILITY WEIGHTING ---</t>
  </si>
  <si>
    <t>Scenario Weight</t>
  </si>
  <si>
    <t>50%</t>
  </si>
  <si>
    <t>25%</t>
  </si>
  <si>
    <t>Probability-Weighted IV</t>
  </si>
  <si>
    <t>$129.76</t>
  </si>
  <si>
    <t>vs. $117.00 current</t>
  </si>
  <si>
    <t>+10.9% upside</t>
  </si>
  <si>
    <t>DELL Sensitivity Analysis - Intrinsic Value per Share (Base Case)</t>
  </si>
  <si>
    <t>Rows = WACC | Columns = Terminal Growth Rate | Values = Intrinsic Value per Share. Formulas reference DCF Model inputs automatically.</t>
  </si>
  <si>
    <t>WACC \ Term G</t>
  </si>
  <si>
    <t>Color key:</t>
  </si>
  <si>
    <t>&gt;15% above $117</t>
  </si>
  <si>
    <t>Above $117</t>
  </si>
  <si>
    <t>Within 15% below $117</t>
  </si>
  <si>
    <t>Below $99.45 (&gt;15% down)</t>
  </si>
  <si>
    <t>DELL Historical Financial Data (FY2020-FY2025)</t>
  </si>
  <si>
    <t>Source: Dell Technologies 10-K filings. All USD Millions. FY2021/prior includes VMware as continuing operations.</t>
  </si>
  <si>
    <t>Period</t>
  </si>
  <si>
    <t>Revenue</t>
  </si>
  <si>
    <t>Gross Profit</t>
  </si>
  <si>
    <t>Op. Income</t>
  </si>
  <si>
    <t>Net Income</t>
  </si>
  <si>
    <t>EPS Diluted</t>
  </si>
  <si>
    <t>Op. Cash Flow</t>
  </si>
  <si>
    <t>CapEx</t>
  </si>
  <si>
    <t>Free Cash Flow</t>
  </si>
  <si>
    <t>FY2020</t>
  </si>
  <si>
    <t>FY2021*</t>
  </si>
  <si>
    <t>FY2022</t>
  </si>
  <si>
    <t>FY2023</t>
  </si>
  <si>
    <t>FY2024</t>
  </si>
  <si>
    <t>FY2025</t>
  </si>
  <si>
    <t>* FY2021 includes VMware as continuing operations (spun off Nov 2021). FY2022 restated to exclude VMware. FY2023 FCF depressed by post-spinoff CapEx surge. FY2025 FCF depressed by AI server inventory and receivables build during rapid growth phase. DCF normalized base FCF = $5,500M.</t>
  </si>
  <si>
    <t>GROWTH RATES</t>
  </si>
  <si>
    <t>3-Year CAGR</t>
  </si>
  <si>
    <t>5-Year CAGR</t>
  </si>
  <si>
    <t>Status</t>
  </si>
  <si>
    <t>Revenue (FY2022/FY2020 -&gt; FY2025)</t>
  </si>
  <si>
    <t>Distorted by VMware spinoff and PC cycle decline</t>
  </si>
  <si>
    <t>Distorted by post-spinoff structure changes</t>
  </si>
  <si>
    <t>Shareholders Equity</t>
  </si>
  <si>
    <t>N/A</t>
  </si>
  <si>
    <t>NOT APPLICABLE - Negative equity from EMC leverage</t>
  </si>
  <si>
    <t>Severely distorted by FCF volatility ($562M to $9,325M range)</t>
  </si>
  <si>
    <t>Selected Growth Rate:</t>
  </si>
  <si>
    <t>Source: forward_guidance_adjusted</t>
  </si>
  <si>
    <t>Base case Y1 growth of 15% aligned with FY2026 management guidance of +17% revenue growth</t>
  </si>
  <si>
    <t>DELL DCF Model - Key Assumptions and Analyst Notes</t>
  </si>
  <si>
    <t>Valuation Date</t>
  </si>
  <si>
    <t>2026-02-18</t>
  </si>
  <si>
    <t>Current Stock Price</t>
  </si>
  <si>
    <t>$117.00</t>
  </si>
  <si>
    <t>Shares Outstanding</t>
  </si>
  <si>
    <t>720M diluted</t>
  </si>
  <si>
    <t>Cash &amp; Equivalents</t>
  </si>
  <si>
    <t>$3,633M (FY2025 year-end)</t>
  </si>
  <si>
    <t>Total Debt</t>
  </si>
  <si>
    <t>$24,567M (FY2025 year-end)</t>
  </si>
  <si>
    <t>Net Debt</t>
  </si>
  <si>
    <t>$20,934M = Total Debt - Cash</t>
  </si>
  <si>
    <t>Normalized Base FCF</t>
  </si>
  <si>
    <t>$5,500M | FY2025 reported FCF was $1,869M (depressed by AI server working capital build). Historical FCFs: FY2020 $6,715M | FY2021 $9,325M | FY2022 $7,511M | FY2023 $562M | FY2024 $5,920M | FY2025 $1,869M. Conservative normalized estimate of $5,500M used vs. 4-year average of ~$7,368M.</t>
  </si>
  <si>
    <t>EQUITY CAGR WARNING</t>
  </si>
  <si>
    <t>EQUITY CAGR UNUSABLE: Dell has had negative shareholders equity in every year since the 2016 EMC leveraged acquisition. Equity deficit as of FY2025: -$1,482M. Equity CAGR cannot be calculated and has been excluded from the growth rate selection process. FCF CAGRs are also distorted by VMware spinoff (FY2021-FY2022) and AI server working capital dynamics (FY2023, FY2025). Growth rate anchored to forward revenue guidance and AI infrastructure cycle analysis instead of historical CAGRs.</t>
  </si>
  <si>
    <t>Growth Rate Rationale</t>
  </si>
  <si>
    <t>Historical CAGRs are severely distorted: Dell spun off VMware in Nov 2021 causing apparent revenue contraction; FCF depressed in FY2023 by post-spinoff CapEx spike and in FY2025 by working capital consumption from rapid AI server growth. Management guidance for FY2026 is +17% revenue growth with AI server shipments of ~$25B (up 150%+ YoY). Forward-looking growth is anchored to management guidance and the AI infrastructure cycle with deceleration toward terminal rate over 5 years. Base case Y1 growth of 15% is slightly below the guided +17%, reflecting FCF vs. revenue timing differences. Selected blended growth rate of 12% represents a mid-cycle average across the 5-year projection period.</t>
  </si>
  <si>
    <t>Base Case Narrative</t>
  </si>
  <si>
    <t>AI server demand drives strong near-term ISG growth aligned with management guidance (~+17% revenue); Windows 10 end-of-life refresh cycle supports CSG recovery; FCF gradually recovers from depressed FY2025 as working capital normalizes; AI server margins stable-to-slightly improving post-Blackwell ramp; growth decelerates as AI capex cycle matures by FY2029-FY2030.</t>
  </si>
  <si>
    <t>Bull Case Narrative</t>
  </si>
  <si>
    <t>AI infrastructure buildout accelerates beyond current expectations; Dell captures enterprise AI wallet share with full-stack solutions (servers, storage, networking, services); margin expansion as AI server mix shifts toward enterprise and sovereign customers with better pricing; robust Windows 11 refresh and AI PC adoption drive CSG outperformance; international sovereign AI programs add incremental ISG revenue; FCF conversion improves materially as working capital normalizes and services attach revenue grows.</t>
  </si>
  <si>
    <t>Bear Case Narrative</t>
  </si>
  <si>
    <t>Hyperscaler AI capex moderates sharply as DeepSeek-style model efficiency improvements reduce hardware demand; tariff escalation adds supply chain cost pressure not fully passable to customers; AI server margins remain structurally compressed with SMCI and ODM competition intensifying; CSG commercial refresh weaker than expected; high debt burden ($20.9B net debt) constrains financial flexibility; FCF remains below historical norms due to persistent working capital pressures and elevated interest expense.</t>
  </si>
  <si>
    <t>Key Risk: AI Margin Dilution</t>
  </si>
  <si>
    <t>High GPU content (primarily NVIDIA) means Dell captures relatively thin margins on AI servers. ISG operating margin dipped to 8.8% in Q2 FY2026 during aggressive Blackwell GPU deployments. At scale, AI server revenue growth may not translate proportionally to earnings growth.</t>
  </si>
  <si>
    <t>Key Risk: Hyperscaler Concentration</t>
  </si>
  <si>
    <t>A significant portion of AI server orders come from a handful of hyperscalers and large neocloud customers (xAI, Microsoft, Google, etc.). Order patterns are lumpy - strong backlog today does not guarantee sustained future orders.</t>
  </si>
  <si>
    <t>Key Risk: Legacy Debt</t>
  </si>
  <si>
    <t>~$20.9B net debt from 2016 EMC acquisition. Interest expense ~$1.5B+ annually. Net debt is a significant value detractor even in the base case.</t>
  </si>
  <si>
    <t>Key Risk: FCF Conversion</t>
  </si>
  <si>
    <t>Rapid AI server revenue growth ties up working capital in GPU inventory and accounts receivable. Working capital normalization is a key swing factor in FCF recovery.</t>
  </si>
  <si>
    <t>Key Risk: Tariffs</t>
  </si>
  <si>
    <t>U.S.-China tariffs (up to 145%) create supply chain cost pressures. Dell diversifying manufacturing to Vietnam, Poland, Mexico but transition creates costs and risks.</t>
  </si>
  <si>
    <t>FY2026 Revenue Guidance</t>
  </si>
  <si>
    <t>~$111.7B (+17% YoY; raised at Q3 FY2026 earnings Nov 25, 2025)</t>
  </si>
  <si>
    <t>FY2026 GAAP EPS Guidance</t>
  </si>
  <si>
    <t>~$8.38 (+31% YoY)</t>
  </si>
  <si>
    <t>FY2026 Non-GAAP EPS Guidance</t>
  </si>
  <si>
    <t>~$9.92 (+22% YoY)</t>
  </si>
  <si>
    <t>AI Server Shipment Guidance</t>
  </si>
  <si>
    <t>~$25B FY2026, up 150%+ YoY; record $18.4B backlog as of Q3 FY2026</t>
  </si>
  <si>
    <t>Capital Return</t>
  </si>
  <si>
    <t>$10B buyback authorization; $2.10/share annual dividend (18% increase)</t>
  </si>
  <si>
    <t>Analyst Note 1</t>
  </si>
  <si>
    <t>Dell's historical financials are severely disrupted by the VMware spinoff (Nov 2021), making trailing CAGRs unreliable for forward projection. The AI server business represents a structural inflection that historical averages cannot capture. Growth rates are therefore anchored to FY2026 management guidance (+17% revenue) rather than backward-looking CAGRs.</t>
  </si>
  <si>
    <t>Analyst Note 2</t>
  </si>
  <si>
    <t>Net debt of ~$20.9B is a significant value detractor. In the base case, enterprise value of ~$113.8B minus net debt of $20.9B yields equity value of ~$92.9B or ~$129/share - only modestly above the current $117, highlighting a thin margin of safety. FCF recovery is the key catalyst to expand intrinsic value.</t>
  </si>
  <si>
    <t>Analyst Note 3</t>
  </si>
  <si>
    <t>FCF conversion is the pivotal swing factor. FY2025 FCF of $1,869M (1.9% FCF margin) vs. FY2024 FCF of $5,920M (6.7% margin) demonstrates the working capital drag from rapid AI server growth. If Dell reverts to mid-cycle FCF margins of 5-7%, the normalized FCF base could be $5-7B rather than the $5.5B used here, materially increasing intrinsic value.</t>
  </si>
  <si>
    <t>Analyst Note 4</t>
  </si>
  <si>
    <t>The bull case ($205/share) requires sustained AI infrastructure spending through FY2030 and FCF growth above 10% annually. Given the record $18.4B backlog and $30B YTD FY2026 orders, near-term visibility is strong, but 5-year sustainability across hyperscaler budget cycles is uncertain.</t>
  </si>
  <si>
    <t>Analyst Note 5</t>
  </si>
  <si>
    <t>At $117/share, Dell trades at approximately 13.5x FY2026 guided GAAP EPS of ~$8.38 and ~12x non-GAAP EPS of ~$9.92. For a hardware company with thin blended operating margins (~6.5% GAAP), significant debt, and commodity-exposed revenue streams, this multiple is not obviously cheap without clear FCF improvement.</t>
  </si>
</sst>
</file>

<file path=xl/styles.xml><?xml version="1.0" encoding="utf-8"?>
<styleSheet xmlns="http://schemas.openxmlformats.org/spreadsheetml/2006/main">
  <numFmts count="6">
    <numFmt numFmtId="164" formatCode="#,##0.0"/>
    <numFmt numFmtId="165" formatCode="0.0%"/>
    <numFmt numFmtId="166" formatCode="#,##0.0000"/>
    <numFmt numFmtId="167" formatCode="&quot;$&quot;#,##0.00"/>
    <numFmt numFmtId="168" formatCode="+0.0%;-0.0%"/>
    <numFmt numFmtId="169" formatCode="#,##0.00"/>
  </numFmts>
  <fonts count="12">
    <font>
      <sz val="11"/>
      <color theme="1"/>
      <name val="Calibri"/>
      <family val="2"/>
      <scheme val="minor"/>
    </font>
    <font>
      <b/>
      <sz val="16"/>
      <color rgb="FF2D3436"/>
      <name val="Calibri"/>
      <family val="2"/>
      <scheme val="minor"/>
    </font>
    <font>
      <i/>
      <sz val="10"/>
      <color rgb="FF636E72"/>
      <name val="Calibri"/>
      <family val="2"/>
      <scheme val="minor"/>
    </font>
    <font>
      <b/>
      <sz val="11"/>
      <color rgb="FF2D3436"/>
      <name val="Calibri"/>
      <family val="2"/>
      <scheme val="minor"/>
    </font>
    <font>
      <b/>
      <sz val="12"/>
      <color rgb="FF2D3436"/>
      <name val="Calibri"/>
      <family val="2"/>
      <scheme val="minor"/>
    </font>
    <font>
      <i/>
      <sz val="9"/>
      <color rgb="FF636E72"/>
      <name val="Calibri"/>
      <family val="2"/>
      <scheme val="minor"/>
    </font>
    <font>
      <b/>
      <sz val="11"/>
      <color rgb="FFFFFFFF"/>
      <name val="Calibri"/>
      <family val="2"/>
      <scheme val="minor"/>
    </font>
    <font>
      <b/>
      <sz val="11"/>
      <color theme="1"/>
      <name val="Calibri"/>
      <family val="2"/>
      <scheme val="minor"/>
    </font>
    <font>
      <b/>
      <sz val="11"/>
      <color rgb="FF636E72"/>
      <name val="Calibri"/>
      <family val="2"/>
      <scheme val="minor"/>
    </font>
    <font>
      <sz val="11"/>
      <color rgb="FFFFFFFF"/>
      <name val="Calibri"/>
      <family val="2"/>
      <scheme val="minor"/>
    </font>
    <font>
      <i/>
      <sz val="11"/>
      <color rgb="FF636E72"/>
      <name val="Calibri"/>
      <family val="2"/>
      <scheme val="minor"/>
    </font>
    <font>
      <b/>
      <sz val="12"/>
      <color theme="1"/>
      <name val="Calibri"/>
      <family val="2"/>
      <scheme val="minor"/>
    </font>
  </fonts>
  <fills count="12">
    <fill>
      <patternFill patternType="none"/>
    </fill>
    <fill>
      <patternFill patternType="gray125"/>
    </fill>
    <fill>
      <patternFill patternType="solid">
        <fgColor rgb="FFFDCB6E"/>
        <bgColor indexed="64"/>
      </patternFill>
    </fill>
    <fill>
      <patternFill patternType="solid">
        <fgColor rgb="FFF8F9FA"/>
        <bgColor indexed="64"/>
      </patternFill>
    </fill>
    <fill>
      <patternFill patternType="solid">
        <fgColor rgb="FFDFE6E9"/>
        <bgColor indexed="64"/>
      </patternFill>
    </fill>
    <fill>
      <patternFill patternType="solid">
        <fgColor rgb="FF2D3436"/>
        <bgColor indexed="64"/>
      </patternFill>
    </fill>
    <fill>
      <patternFill patternType="solid">
        <fgColor rgb="FF00B894"/>
        <bgColor indexed="64"/>
      </patternFill>
    </fill>
    <fill>
      <patternFill patternType="solid">
        <fgColor rgb="FF0984E3"/>
        <bgColor indexed="64"/>
      </patternFill>
    </fill>
    <fill>
      <patternFill patternType="solid">
        <fgColor rgb="FFD63031"/>
        <bgColor indexed="64"/>
      </patternFill>
    </fill>
    <fill>
      <patternFill patternType="solid">
        <fgColor rgb="FF55EFC4"/>
        <bgColor indexed="64"/>
      </patternFill>
    </fill>
    <fill>
      <patternFill patternType="solid">
        <fgColor rgb="FFFFEAA7"/>
        <bgColor indexed="64"/>
      </patternFill>
    </fill>
    <fill>
      <patternFill patternType="solid">
        <fgColor rgb="FFFAB1A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top" wrapText="1"/>
    </xf>
    <xf numFmtId="0" fontId="4" fillId="3" borderId="2" xfId="0" applyFont="1" applyFill="1" applyBorder="1"/>
    <xf numFmtId="164" fontId="0" fillId="4" borderId="1" xfId="0" applyNumberFormat="1" applyFill="1" applyBorder="1" applyAlignment="1">
      <alignment horizontal="right"/>
    </xf>
    <xf numFmtId="164" fontId="0" fillId="0" borderId="1" xfId="0" applyNumberFormat="1" applyBorder="1" applyAlignment="1">
      <alignment horizontal="right"/>
    </xf>
    <xf numFmtId="0" fontId="5" fillId="0" borderId="0" xfId="0" applyFont="1" applyAlignment="1">
      <alignment horizontal="left" wrapText="1"/>
    </xf>
    <xf numFmtId="165" fontId="0" fillId="4" borderId="1" xfId="0" applyNumberFormat="1" applyFill="1" applyBorder="1" applyAlignment="1">
      <alignment horizontal="right"/>
    </xf>
    <xf numFmtId="0" fontId="6" fillId="5" borderId="1" xfId="0" applyFont="1" applyFill="1" applyBorder="1" applyAlignment="1">
      <alignment horizontal="center"/>
    </xf>
    <xf numFmtId="166" fontId="0" fillId="0" borderId="1" xfId="0" applyNumberFormat="1" applyBorder="1" applyAlignment="1">
      <alignment horizontal="right"/>
    </xf>
    <xf numFmtId="0" fontId="7" fillId="0" borderId="0" xfId="0" applyFont="1" applyAlignment="1">
      <alignment horizontal="left"/>
    </xf>
    <xf numFmtId="167" fontId="6" fillId="6" borderId="1" xfId="0" applyNumberFormat="1" applyFont="1" applyFill="1" applyBorder="1" applyAlignment="1">
      <alignment horizontal="right"/>
    </xf>
    <xf numFmtId="167" fontId="0" fillId="0" borderId="1" xfId="0" applyNumberFormat="1" applyBorder="1" applyAlignment="1">
      <alignment horizontal="right"/>
    </xf>
    <xf numFmtId="168" fontId="0" fillId="0" borderId="1" xfId="0" applyNumberFormat="1" applyBorder="1" applyAlignment="1">
      <alignment horizontal="right"/>
    </xf>
    <xf numFmtId="165" fontId="0" fillId="0" borderId="1" xfId="0" applyNumberFormat="1" applyBorder="1" applyAlignment="1">
      <alignment horizontal="right"/>
    </xf>
    <xf numFmtId="0" fontId="6" fillId="7" borderId="1" xfId="0" applyFont="1" applyFill="1" applyBorder="1" applyAlignment="1">
      <alignment horizontal="center"/>
    </xf>
    <xf numFmtId="0" fontId="6" fillId="6" borderId="1" xfId="0" applyFont="1" applyFill="1" applyBorder="1" applyAlignment="1">
      <alignment horizontal="center"/>
    </xf>
    <xf numFmtId="0" fontId="6" fillId="8" borderId="1" xfId="0" applyFont="1" applyFill="1" applyBorder="1" applyAlignment="1">
      <alignment horizontal="center"/>
    </xf>
    <xf numFmtId="0" fontId="8" fillId="3" borderId="1" xfId="0" applyFont="1" applyFill="1" applyBorder="1"/>
    <xf numFmtId="0" fontId="0" fillId="0" borderId="1" xfId="0" applyBorder="1" applyAlignment="1">
      <alignment horizontal="left"/>
    </xf>
    <xf numFmtId="0" fontId="0" fillId="0" borderId="1" xfId="0" applyBorder="1" applyAlignment="1">
      <alignment horizontal="right"/>
    </xf>
    <xf numFmtId="0" fontId="6" fillId="7" borderId="1" xfId="0" applyFont="1" applyFill="1" applyBorder="1" applyAlignment="1">
      <alignment horizontal="right"/>
    </xf>
    <xf numFmtId="0" fontId="6" fillId="6" borderId="1" xfId="0" applyFont="1" applyFill="1" applyBorder="1" applyAlignment="1">
      <alignment horizontal="right"/>
    </xf>
    <xf numFmtId="0" fontId="6" fillId="8" borderId="1" xfId="0" applyFont="1" applyFill="1" applyBorder="1" applyAlignment="1">
      <alignment horizontal="right"/>
    </xf>
    <xf numFmtId="165" fontId="6" fillId="5" borderId="1" xfId="0" applyNumberFormat="1" applyFont="1" applyFill="1" applyBorder="1" applyAlignment="1">
      <alignment horizontal="center"/>
    </xf>
    <xf numFmtId="167" fontId="9" fillId="6" borderId="1" xfId="0" applyNumberFormat="1" applyFont="1" applyFill="1" applyBorder="1" applyAlignment="1">
      <alignment horizontal="right"/>
    </xf>
    <xf numFmtId="167" fontId="0" fillId="9" borderId="1" xfId="0" applyNumberFormat="1" applyFill="1" applyBorder="1" applyAlignment="1">
      <alignment horizontal="right"/>
    </xf>
    <xf numFmtId="167" fontId="0" fillId="10" borderId="1" xfId="0" applyNumberFormat="1" applyFill="1" applyBorder="1" applyAlignment="1">
      <alignment horizontal="right"/>
    </xf>
    <xf numFmtId="167" fontId="0" fillId="11" borderId="1" xfId="0" applyNumberFormat="1" applyFill="1" applyBorder="1" applyAlignment="1">
      <alignment horizontal="right"/>
    </xf>
    <xf numFmtId="0" fontId="7" fillId="0" borderId="0" xfId="0" applyFont="1"/>
    <xf numFmtId="0" fontId="9" fillId="6" borderId="1" xfId="0" applyFont="1"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11" borderId="1" xfId="0" applyFill="1" applyBorder="1" applyAlignment="1">
      <alignment horizontal="center"/>
    </xf>
    <xf numFmtId="0" fontId="7" fillId="0" borderId="1" xfId="0" applyFont="1" applyBorder="1"/>
    <xf numFmtId="169" fontId="0" fillId="0" borderId="1" xfId="0" applyNumberFormat="1" applyBorder="1" applyAlignment="1">
      <alignment horizontal="right"/>
    </xf>
    <xf numFmtId="0" fontId="10" fillId="0" borderId="1" xfId="0" applyFont="1" applyBorder="1" applyAlignment="1">
      <alignment vertical="top" wrapText="1"/>
    </xf>
    <xf numFmtId="0" fontId="11" fillId="0" borderId="0" xfId="0" applyFont="1"/>
    <xf numFmtId="0" fontId="0" fillId="0" borderId="1" xfId="0" applyBorder="1"/>
    <xf numFmtId="0" fontId="10" fillId="0" borderId="1" xfId="0" applyFont="1" applyBorder="1" applyAlignment="1">
      <alignment wrapText="1"/>
    </xf>
    <xf numFmtId="0" fontId="7" fillId="2" borderId="1" xfId="0" applyFont="1" applyFill="1" applyBorder="1" applyAlignment="1">
      <alignment horizontal="center"/>
    </xf>
    <xf numFmtId="0" fontId="10" fillId="0" borderId="1" xfId="0" applyFont="1" applyBorder="1"/>
    <xf numFmtId="0" fontId="7" fillId="0" borderId="1" xfId="0" applyFont="1" applyBorder="1" applyAlignment="1">
      <alignment horizontal="left" vertical="top" wrapText="1"/>
    </xf>
    <xf numFmtId="0" fontId="0" fillId="0" borderId="1" xfId="0" applyBorder="1" applyAlignment="1">
      <alignment horizontal="left" vertical="top" wrapText="1"/>
    </xf>
    <xf numFmtId="0" fontId="7" fillId="2" borderId="1" xfId="0" applyFont="1" applyFill="1" applyBorder="1" applyAlignment="1">
      <alignment horizontal="left" vertical="top"/>
    </xf>
    <xf numFmtId="0" fontId="0" fillId="2" borderId="1" xfId="0" applyFill="1" applyBorder="1" applyAlignment="1">
      <alignment horizontal="left" vertical="top" wrapText="1"/>
    </xf>
    <xf numFmtId="0" fontId="0" fillId="3" borderId="1" xfId="0"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7"/>
  <sheetViews>
    <sheetView tabSelected="1" zoomScale="90" zoomScaleNormal="90" workbookViewId="0"/>
  </sheetViews>
  <sheetFormatPr defaultRowHeight="15"/>
  <cols>
    <col min="1" max="1" width="30.7109375" customWidth="1"/>
    <col min="2" max="2" width="16.7109375" customWidth="1"/>
    <col min="3" max="7" width="14.7109375" customWidth="1"/>
    <col min="8" max="8" width="2.7109375" customWidth="1"/>
    <col min="9" max="9" width="35.7109375" customWidth="1"/>
  </cols>
  <sheetData>
    <row r="1" spans="1:7">
      <c r="A1" s="1" t="s">
        <v>0</v>
      </c>
      <c r="B1" s="1"/>
      <c r="C1" s="1"/>
      <c r="D1" s="1"/>
      <c r="E1" s="1"/>
      <c r="F1" s="1"/>
      <c r="G1" s="1"/>
    </row>
    <row r="2" spans="1:7">
      <c r="A2" s="2" t="s">
        <v>1</v>
      </c>
      <c r="B2" s="2"/>
      <c r="C2" s="2"/>
      <c r="D2" s="2"/>
      <c r="E2" s="2"/>
      <c r="F2" s="2"/>
      <c r="G2" s="2"/>
    </row>
    <row r="3" spans="1:7" ht="40" customHeight="1">
      <c r="A3" s="3" t="s">
        <v>2</v>
      </c>
      <c r="B3" s="3"/>
      <c r="C3" s="3"/>
      <c r="D3" s="3"/>
      <c r="E3" s="3"/>
      <c r="F3" s="3"/>
      <c r="G3" s="3"/>
    </row>
    <row r="4" spans="1:7" ht="20" customHeight="1">
      <c r="A4" s="3"/>
      <c r="B4" s="3"/>
      <c r="C4" s="3"/>
      <c r="D4" s="3"/>
      <c r="E4" s="3"/>
      <c r="F4" s="3"/>
      <c r="G4" s="3"/>
    </row>
    <row r="5" spans="1:7" ht="20" customHeight="1">
      <c r="A5" s="3"/>
      <c r="B5" s="3"/>
      <c r="C5" s="3"/>
      <c r="D5" s="3"/>
      <c r="E5" s="3"/>
      <c r="F5" s="3"/>
      <c r="G5" s="3"/>
    </row>
    <row r="7" spans="1:7">
      <c r="A7" s="4" t="s">
        <v>3</v>
      </c>
      <c r="B7" s="4"/>
      <c r="C7" s="4"/>
      <c r="D7" s="4"/>
      <c r="E7" s="4"/>
      <c r="F7" s="4"/>
      <c r="G7" s="4"/>
    </row>
    <row r="8" spans="1:7">
      <c r="A8" t="s">
        <v>4</v>
      </c>
      <c r="B8" s="5">
        <v>117</v>
      </c>
    </row>
    <row r="9" spans="1:7">
      <c r="A9" t="s">
        <v>5</v>
      </c>
      <c r="B9" s="5">
        <v>720</v>
      </c>
    </row>
    <row r="10" spans="1:7">
      <c r="A10" t="s">
        <v>6</v>
      </c>
      <c r="B10" s="5">
        <v>3633</v>
      </c>
    </row>
    <row r="11" spans="1:7">
      <c r="A11" t="s">
        <v>7</v>
      </c>
      <c r="B11" s="5">
        <v>24567</v>
      </c>
    </row>
    <row r="12" spans="1:7">
      <c r="A12" t="s">
        <v>8</v>
      </c>
      <c r="B12" s="6">
        <f>B11-B10</f>
        <v>0</v>
      </c>
    </row>
    <row r="13" spans="1:7">
      <c r="A13" t="s">
        <v>9</v>
      </c>
      <c r="B13" s="5">
        <v>5500</v>
      </c>
      <c r="C13" s="7" t="s">
        <v>10</v>
      </c>
    </row>
    <row r="15" spans="1:7">
      <c r="A15" t="s">
        <v>11</v>
      </c>
      <c r="B15" s="8">
        <v>0.1</v>
      </c>
    </row>
    <row r="16" spans="1:7">
      <c r="A16" t="s">
        <v>12</v>
      </c>
      <c r="B16" s="8">
        <v>0.03</v>
      </c>
    </row>
    <row r="18" spans="1:7">
      <c r="A18" s="4" t="s">
        <v>13</v>
      </c>
      <c r="B18" s="4"/>
      <c r="C18" s="4"/>
      <c r="D18" s="4"/>
      <c r="E18" s="4"/>
      <c r="F18" s="4"/>
      <c r="G18" s="4"/>
    </row>
    <row r="19" spans="1:7">
      <c r="A19" s="9"/>
      <c r="B19" s="9" t="s">
        <v>14</v>
      </c>
      <c r="C19" s="9" t="s">
        <v>15</v>
      </c>
      <c r="D19" s="9" t="s">
        <v>16</v>
      </c>
      <c r="E19" s="9" t="s">
        <v>17</v>
      </c>
      <c r="F19" s="9" t="s">
        <v>18</v>
      </c>
    </row>
    <row r="20" spans="1:7">
      <c r="A20" t="s">
        <v>19</v>
      </c>
      <c r="B20" s="8">
        <v>0.15</v>
      </c>
      <c r="C20" s="8">
        <v>0.13</v>
      </c>
      <c r="D20" s="8">
        <v>0.11</v>
      </c>
      <c r="E20" s="8">
        <v>0.09</v>
      </c>
      <c r="F20" s="8">
        <v>0.07000000000000001</v>
      </c>
    </row>
    <row r="21" spans="1:7">
      <c r="A21" t="s">
        <v>20</v>
      </c>
      <c r="B21" s="7" t="s">
        <v>21</v>
      </c>
      <c r="C21" s="7" t="s">
        <v>22</v>
      </c>
      <c r="D21" s="7" t="s">
        <v>23</v>
      </c>
      <c r="E21" s="7" t="s">
        <v>24</v>
      </c>
      <c r="F21" s="7" t="s">
        <v>25</v>
      </c>
    </row>
    <row r="23" spans="1:7">
      <c r="A23" s="4" t="s">
        <v>26</v>
      </c>
      <c r="B23" s="4"/>
      <c r="C23" s="4"/>
      <c r="D23" s="4"/>
      <c r="E23" s="4"/>
      <c r="F23" s="4"/>
      <c r="G23" s="4"/>
    </row>
    <row r="24" spans="1:7">
      <c r="A24" s="9"/>
      <c r="B24" s="9" t="s">
        <v>14</v>
      </c>
      <c r="C24" s="9" t="s">
        <v>15</v>
      </c>
      <c r="D24" s="9" t="s">
        <v>16</v>
      </c>
      <c r="E24" s="9" t="s">
        <v>17</v>
      </c>
      <c r="F24" s="9" t="s">
        <v>18</v>
      </c>
    </row>
    <row r="25" spans="1:7">
      <c r="A25" t="s">
        <v>27</v>
      </c>
      <c r="B25" s="6">
        <f>B13*(1+B20)</f>
        <v>0</v>
      </c>
      <c r="C25" s="6">
        <f>B25*(1+C20)</f>
        <v>0</v>
      </c>
      <c r="D25" s="6">
        <f>C25*(1+D20)</f>
        <v>0</v>
      </c>
      <c r="E25" s="6">
        <f>D25*(1+E20)</f>
        <v>0</v>
      </c>
      <c r="F25" s="6">
        <f>E25*(1+F20)</f>
        <v>0</v>
      </c>
    </row>
    <row r="26" spans="1:7">
      <c r="A26" t="s">
        <v>28</v>
      </c>
      <c r="B26" s="10">
        <f>1/(1+$B$15)^1</f>
        <v>0</v>
      </c>
      <c r="C26" s="10">
        <f>1/(1+$B$15)^2</f>
        <v>0</v>
      </c>
      <c r="D26" s="10">
        <f>1/(1+$B$15)^3</f>
        <v>0</v>
      </c>
      <c r="E26" s="10">
        <f>1/(1+$B$15)^4</f>
        <v>0</v>
      </c>
      <c r="F26" s="10">
        <f>1/(1+$B$15)^5</f>
        <v>0</v>
      </c>
    </row>
    <row r="27" spans="1:7">
      <c r="A27" t="s">
        <v>29</v>
      </c>
      <c r="B27" s="6">
        <f>B25*B26</f>
        <v>0</v>
      </c>
      <c r="C27" s="6">
        <f>C25*C26</f>
        <v>0</v>
      </c>
      <c r="D27" s="6">
        <f>D25*D26</f>
        <v>0</v>
      </c>
      <c r="E27" s="6">
        <f>E25*E26</f>
        <v>0</v>
      </c>
      <c r="F27" s="6">
        <f>F25*F26</f>
        <v>0</v>
      </c>
    </row>
    <row r="29" spans="1:7">
      <c r="A29" s="4" t="s">
        <v>30</v>
      </c>
      <c r="B29" s="4"/>
      <c r="C29" s="4"/>
      <c r="D29" s="4"/>
      <c r="E29" s="4"/>
      <c r="F29" s="4"/>
      <c r="G29" s="4"/>
    </row>
    <row r="30" spans="1:7">
      <c r="A30" t="s">
        <v>31</v>
      </c>
      <c r="B30" s="6">
        <f>SUM(B27:F27)</f>
        <v>0</v>
      </c>
    </row>
    <row r="31" spans="1:7">
      <c r="A31" t="s">
        <v>32</v>
      </c>
      <c r="B31" s="6">
        <f>F25*(1+$B$16)</f>
        <v>0</v>
      </c>
    </row>
    <row r="32" spans="1:7">
      <c r="A32" t="s">
        <v>33</v>
      </c>
      <c r="B32" s="6">
        <f>B31/($B$15-$B$16)</f>
        <v>0</v>
      </c>
    </row>
    <row r="33" spans="1:7">
      <c r="A33" t="s">
        <v>34</v>
      </c>
      <c r="B33" s="6">
        <f>B32*F26</f>
        <v>0</v>
      </c>
    </row>
    <row r="34" spans="1:7">
      <c r="A34" t="s">
        <v>35</v>
      </c>
      <c r="B34" s="6">
        <f>B30+B33</f>
        <v>0</v>
      </c>
    </row>
    <row r="35" spans="1:7">
      <c r="A35" t="s">
        <v>36</v>
      </c>
      <c r="B35" s="6">
        <f>B12</f>
        <v>0</v>
      </c>
    </row>
    <row r="36" spans="1:7">
      <c r="A36" t="s">
        <v>37</v>
      </c>
      <c r="B36" s="6">
        <f>B34-B35</f>
        <v>0</v>
      </c>
    </row>
    <row r="37" spans="1:7">
      <c r="A37" s="11" t="s">
        <v>38</v>
      </c>
      <c r="B37" s="12">
        <f>B36/B9</f>
        <v>0</v>
      </c>
    </row>
    <row r="39" spans="1:7">
      <c r="A39" s="4" t="s">
        <v>39</v>
      </c>
      <c r="B39" s="4"/>
      <c r="C39" s="4"/>
      <c r="D39" s="4"/>
      <c r="E39" s="4"/>
      <c r="F39" s="4"/>
      <c r="G39" s="4"/>
    </row>
    <row r="40" spans="1:7">
      <c r="A40" t="s">
        <v>40</v>
      </c>
      <c r="B40" s="13">
        <f>B32/B9</f>
        <v>0</v>
      </c>
    </row>
    <row r="41" spans="1:7">
      <c r="A41" t="s">
        <v>41</v>
      </c>
      <c r="B41" s="12">
        <f>B40/(1.15^5)</f>
        <v>0</v>
      </c>
    </row>
    <row r="43" spans="1:7">
      <c r="A43" s="4" t="s">
        <v>42</v>
      </c>
      <c r="B43" s="4"/>
      <c r="C43" s="4"/>
      <c r="D43" s="4"/>
      <c r="E43" s="4"/>
      <c r="F43" s="4"/>
      <c r="G43" s="4"/>
    </row>
    <row r="44" spans="1:7">
      <c r="A44" t="s">
        <v>43</v>
      </c>
      <c r="B44" s="14">
        <f>(B37-B8)/B8</f>
        <v>0</v>
      </c>
    </row>
    <row r="45" spans="1:7">
      <c r="A45" t="s">
        <v>44</v>
      </c>
      <c r="B45" s="14">
        <f>(B41-B8)/B8</f>
        <v>0</v>
      </c>
    </row>
    <row r="46" spans="1:7">
      <c r="A46" t="s">
        <v>45</v>
      </c>
      <c r="B46" s="15">
        <f>B33/B34</f>
        <v>0</v>
      </c>
    </row>
    <row r="47" spans="1:7">
      <c r="A47" t="s">
        <v>46</v>
      </c>
      <c r="B47" s="15">
        <f>B12/B34</f>
        <v>0</v>
      </c>
    </row>
  </sheetData>
  <mergeCells count="9">
    <mergeCell ref="A1:G1"/>
    <mergeCell ref="A2:G2"/>
    <mergeCell ref="A3:G5"/>
    <mergeCell ref="A7:G7"/>
    <mergeCell ref="A18:G18"/>
    <mergeCell ref="A23:G23"/>
    <mergeCell ref="A29:G29"/>
    <mergeCell ref="A39:G39"/>
    <mergeCell ref="A43:G4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8"/>
  <sheetViews>
    <sheetView zoomScale="90" zoomScaleNormal="90" workbookViewId="0"/>
  </sheetViews>
  <sheetFormatPr defaultRowHeight="15"/>
  <cols>
    <col min="1" max="1" width="32.7109375" customWidth="1"/>
    <col min="2" max="4" width="20.7109375" customWidth="1"/>
  </cols>
  <sheetData>
    <row r="1" spans="1:4">
      <c r="A1" s="1" t="s">
        <v>47</v>
      </c>
      <c r="B1" s="1"/>
      <c r="C1" s="1"/>
      <c r="D1" s="1"/>
    </row>
    <row r="2" spans="1:4">
      <c r="A2" s="2" t="s">
        <v>48</v>
      </c>
      <c r="B2" s="2"/>
      <c r="C2" s="2"/>
      <c r="D2" s="2"/>
    </row>
    <row r="4" spans="1:4">
      <c r="A4" s="9" t="s">
        <v>49</v>
      </c>
      <c r="B4" s="16" t="s">
        <v>50</v>
      </c>
      <c r="C4" s="17" t="s">
        <v>51</v>
      </c>
      <c r="D4" s="18" t="s">
        <v>52</v>
      </c>
    </row>
    <row r="5" spans="1:4">
      <c r="A5" s="19" t="s">
        <v>53</v>
      </c>
      <c r="B5" s="19"/>
      <c r="C5" s="19"/>
      <c r="D5" s="19"/>
    </row>
    <row r="6" spans="1:4">
      <c r="A6" s="20" t="s">
        <v>54</v>
      </c>
      <c r="B6" s="21" t="s">
        <v>55</v>
      </c>
      <c r="C6" s="21" t="s">
        <v>56</v>
      </c>
      <c r="D6" s="21" t="s">
        <v>57</v>
      </c>
    </row>
    <row r="7" spans="1:4">
      <c r="A7" s="20" t="s">
        <v>58</v>
      </c>
      <c r="B7" s="21" t="s">
        <v>59</v>
      </c>
      <c r="C7" s="21" t="s">
        <v>60</v>
      </c>
      <c r="D7" s="21" t="s">
        <v>61</v>
      </c>
    </row>
    <row r="8" spans="1:4">
      <c r="A8" s="20" t="s">
        <v>12</v>
      </c>
      <c r="B8" s="21" t="s">
        <v>62</v>
      </c>
      <c r="C8" s="21" t="s">
        <v>63</v>
      </c>
      <c r="D8" s="21" t="s">
        <v>64</v>
      </c>
    </row>
    <row r="9" spans="1:4">
      <c r="A9" s="19" t="s">
        <v>65</v>
      </c>
      <c r="B9" s="19"/>
      <c r="C9" s="19"/>
      <c r="D9" s="19"/>
    </row>
    <row r="10" spans="1:4">
      <c r="A10" s="20" t="s">
        <v>66</v>
      </c>
      <c r="B10" s="21" t="s">
        <v>67</v>
      </c>
      <c r="C10" s="21" t="s">
        <v>68</v>
      </c>
      <c r="D10" s="21" t="s">
        <v>69</v>
      </c>
    </row>
    <row r="11" spans="1:4">
      <c r="A11" s="20" t="s">
        <v>70</v>
      </c>
      <c r="B11" s="21" t="s">
        <v>71</v>
      </c>
      <c r="C11" s="21" t="s">
        <v>72</v>
      </c>
      <c r="D11" s="21" t="s">
        <v>73</v>
      </c>
    </row>
    <row r="12" spans="1:4">
      <c r="A12" s="20" t="s">
        <v>74</v>
      </c>
      <c r="B12" s="21" t="s">
        <v>75</v>
      </c>
      <c r="C12" s="21" t="s">
        <v>76</v>
      </c>
      <c r="D12" s="21" t="s">
        <v>77</v>
      </c>
    </row>
    <row r="13" spans="1:4">
      <c r="A13" s="20" t="s">
        <v>78</v>
      </c>
      <c r="B13" s="21" t="s">
        <v>79</v>
      </c>
      <c r="C13" s="21" t="s">
        <v>80</v>
      </c>
      <c r="D13" s="21" t="s">
        <v>81</v>
      </c>
    </row>
    <row r="14" spans="1:4">
      <c r="A14" s="20" t="s">
        <v>82</v>
      </c>
      <c r="B14" s="21" t="s">
        <v>83</v>
      </c>
      <c r="C14" s="21" t="s">
        <v>84</v>
      </c>
      <c r="D14" s="21" t="s">
        <v>85</v>
      </c>
    </row>
    <row r="15" spans="1:4">
      <c r="A15" s="19" t="s">
        <v>86</v>
      </c>
      <c r="B15" s="19"/>
      <c r="C15" s="19"/>
      <c r="D15" s="19"/>
    </row>
    <row r="16" spans="1:4">
      <c r="A16" s="20" t="s">
        <v>87</v>
      </c>
      <c r="B16" s="21" t="s">
        <v>88</v>
      </c>
      <c r="C16" s="21" t="s">
        <v>89</v>
      </c>
      <c r="D16" s="21" t="s">
        <v>90</v>
      </c>
    </row>
    <row r="17" spans="1:4">
      <c r="A17" s="20" t="s">
        <v>91</v>
      </c>
      <c r="B17" s="21" t="s">
        <v>92</v>
      </c>
      <c r="C17" s="21" t="s">
        <v>93</v>
      </c>
      <c r="D17" s="21" t="s">
        <v>94</v>
      </c>
    </row>
    <row r="18" spans="1:4">
      <c r="A18" s="20" t="s">
        <v>34</v>
      </c>
      <c r="B18" s="21" t="s">
        <v>95</v>
      </c>
      <c r="C18" s="21" t="s">
        <v>96</v>
      </c>
      <c r="D18" s="21" t="s">
        <v>97</v>
      </c>
    </row>
    <row r="19" spans="1:4">
      <c r="A19" s="20" t="s">
        <v>35</v>
      </c>
      <c r="B19" s="21" t="s">
        <v>98</v>
      </c>
      <c r="C19" s="21" t="s">
        <v>99</v>
      </c>
      <c r="D19" s="21" t="s">
        <v>100</v>
      </c>
    </row>
    <row r="20" spans="1:4">
      <c r="A20" s="20" t="s">
        <v>36</v>
      </c>
      <c r="B20" s="21" t="s">
        <v>101</v>
      </c>
      <c r="C20" s="21" t="s">
        <v>101</v>
      </c>
      <c r="D20" s="21" t="s">
        <v>101</v>
      </c>
    </row>
    <row r="21" spans="1:4">
      <c r="A21" s="20" t="s">
        <v>37</v>
      </c>
      <c r="B21" s="21" t="s">
        <v>102</v>
      </c>
      <c r="C21" s="21" t="s">
        <v>103</v>
      </c>
      <c r="D21" s="21" t="s">
        <v>104</v>
      </c>
    </row>
    <row r="22" spans="1:4">
      <c r="A22" s="19" t="s">
        <v>105</v>
      </c>
      <c r="B22" s="19"/>
      <c r="C22" s="19"/>
      <c r="D22" s="19"/>
    </row>
    <row r="23" spans="1:4">
      <c r="A23" s="11" t="s">
        <v>106</v>
      </c>
      <c r="B23" s="22" t="s">
        <v>107</v>
      </c>
      <c r="C23" s="23" t="s">
        <v>108</v>
      </c>
      <c r="D23" s="24" t="s">
        <v>109</v>
      </c>
    </row>
    <row r="24" spans="1:4">
      <c r="A24" s="20" t="s">
        <v>110</v>
      </c>
      <c r="B24" s="21" t="s">
        <v>111</v>
      </c>
      <c r="C24" s="21" t="s">
        <v>112</v>
      </c>
      <c r="D24" s="21" t="s">
        <v>113</v>
      </c>
    </row>
    <row r="25" spans="1:4">
      <c r="A25" s="20" t="s">
        <v>114</v>
      </c>
      <c r="B25" s="21" t="s">
        <v>115</v>
      </c>
      <c r="C25" s="21" t="s">
        <v>116</v>
      </c>
      <c r="D25" s="21" t="s">
        <v>117</v>
      </c>
    </row>
    <row r="26" spans="1:4">
      <c r="A26" s="19" t="s">
        <v>118</v>
      </c>
      <c r="B26" s="19"/>
      <c r="C26" s="19"/>
      <c r="D26" s="19"/>
    </row>
    <row r="27" spans="1:4">
      <c r="A27" s="20" t="s">
        <v>119</v>
      </c>
      <c r="B27" s="21" t="s">
        <v>120</v>
      </c>
      <c r="C27" s="21" t="s">
        <v>121</v>
      </c>
      <c r="D27" s="21" t="s">
        <v>121</v>
      </c>
    </row>
    <row r="28" spans="1:4">
      <c r="A28" s="11" t="s">
        <v>122</v>
      </c>
      <c r="B28" s="22" t="s">
        <v>123</v>
      </c>
      <c r="C28" s="23" t="s">
        <v>124</v>
      </c>
      <c r="D28" s="24" t="s">
        <v>125</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zoomScale="90" zoomScaleNormal="90" workbookViewId="0"/>
  </sheetViews>
  <sheetFormatPr defaultRowHeight="15"/>
  <cols>
    <col min="1" max="6" width="14.7109375" customWidth="1"/>
  </cols>
  <sheetData>
    <row r="1" spans="1:6">
      <c r="A1" s="1" t="s">
        <v>126</v>
      </c>
      <c r="B1" s="1"/>
      <c r="C1" s="1"/>
      <c r="D1" s="1"/>
      <c r="E1" s="1"/>
      <c r="F1" s="1"/>
    </row>
    <row r="2" spans="1:6">
      <c r="A2" s="2" t="s">
        <v>127</v>
      </c>
      <c r="B2" s="2"/>
      <c r="C2" s="2"/>
      <c r="D2" s="2"/>
      <c r="E2" s="2"/>
      <c r="F2" s="2"/>
    </row>
    <row r="4" spans="1:6">
      <c r="A4" s="9" t="s">
        <v>128</v>
      </c>
      <c r="B4" s="25">
        <v>0.02</v>
      </c>
      <c r="C4" s="25">
        <v>0.025</v>
      </c>
      <c r="D4" s="25">
        <v>0.03</v>
      </c>
      <c r="E4" s="25">
        <v>0.035</v>
      </c>
      <c r="F4" s="25">
        <v>0.04</v>
      </c>
    </row>
    <row r="5" spans="1:6">
      <c r="A5" s="25">
        <v>0.08</v>
      </c>
      <c r="B5" s="26">
        <f>('DCF Model'!$B$13*(1+'DCF Model'!$B$20)*(1+'DCF Model'!$C$20)*(1+'DCF Model'!$D$20)*(1+'DCF Model'!$E$20)*(1+'DCF Model'!$F$20)*(1+0.02)/(0.08-0.02)/(1+0.08)^5+'DCF Model'!$B$13*(1+'DCF Model'!$B$20)/(1+0.08)^1+'DCF Model'!$B$13*(1+'DCF Model'!$B$20)*(1+'DCF Model'!$C$20)/(1+0.08)^2+'DCF Model'!$B$13*(1+'DCF Model'!$B$20)*(1+'DCF Model'!$C$20)*(1+'DCF Model'!$D$20)/(1+0.08)^3+'DCF Model'!$B$13*(1+'DCF Model'!$B$20)*(1+'DCF Model'!$C$20)*(1+'DCF Model'!$D$20)*(1+'DCF Model'!$E$20)/(1+0.08)^4+'DCF Model'!$B$13*(1+'DCF Model'!$B$20)*(1+'DCF Model'!$C$20)*(1+'DCF Model'!$D$20)*(1+'DCF Model'!$E$20)*(1+'DCF Model'!$F$20)/(1+0.08)^5-'DCF Model'!$B$12)/'DCF Model'!$B$9</f>
        <v>0</v>
      </c>
      <c r="C5" s="26">
        <f>('DCF Model'!$B$13*(1+'DCF Model'!$B$20)*(1+'DCF Model'!$C$20)*(1+'DCF Model'!$D$20)*(1+'DCF Model'!$E$20)*(1+'DCF Model'!$F$20)*(1+0.025)/(0.08-0.025)/(1+0.08)^5+'DCF Model'!$B$13*(1+'DCF Model'!$B$20)/(1+0.08)^1+'DCF Model'!$B$13*(1+'DCF Model'!$B$20)*(1+'DCF Model'!$C$20)/(1+0.08)^2+'DCF Model'!$B$13*(1+'DCF Model'!$B$20)*(1+'DCF Model'!$C$20)*(1+'DCF Model'!$D$20)/(1+0.08)^3+'DCF Model'!$B$13*(1+'DCF Model'!$B$20)*(1+'DCF Model'!$C$20)*(1+'DCF Model'!$D$20)*(1+'DCF Model'!$E$20)/(1+0.08)^4+'DCF Model'!$B$13*(1+'DCF Model'!$B$20)*(1+'DCF Model'!$C$20)*(1+'DCF Model'!$D$20)*(1+'DCF Model'!$E$20)*(1+'DCF Model'!$F$20)/(1+0.08)^5-'DCF Model'!$B$12)/'DCF Model'!$B$9</f>
        <v>0</v>
      </c>
      <c r="D5" s="26">
        <f>('DCF Model'!$B$13*(1+'DCF Model'!$B$20)*(1+'DCF Model'!$C$20)*(1+'DCF Model'!$D$20)*(1+'DCF Model'!$E$20)*(1+'DCF Model'!$F$20)*(1+0.03)/(0.08-0.03)/(1+0.08)^5+'DCF Model'!$B$13*(1+'DCF Model'!$B$20)/(1+0.08)^1+'DCF Model'!$B$13*(1+'DCF Model'!$B$20)*(1+'DCF Model'!$C$20)/(1+0.08)^2+'DCF Model'!$B$13*(1+'DCF Model'!$B$20)*(1+'DCF Model'!$C$20)*(1+'DCF Model'!$D$20)/(1+0.08)^3+'DCF Model'!$B$13*(1+'DCF Model'!$B$20)*(1+'DCF Model'!$C$20)*(1+'DCF Model'!$D$20)*(1+'DCF Model'!$E$20)/(1+0.08)^4+'DCF Model'!$B$13*(1+'DCF Model'!$B$20)*(1+'DCF Model'!$C$20)*(1+'DCF Model'!$D$20)*(1+'DCF Model'!$E$20)*(1+'DCF Model'!$F$20)/(1+0.08)^5-'DCF Model'!$B$12)/'DCF Model'!$B$9</f>
        <v>0</v>
      </c>
      <c r="E5" s="26">
        <f>('DCF Model'!$B$13*(1+'DCF Model'!$B$20)*(1+'DCF Model'!$C$20)*(1+'DCF Model'!$D$20)*(1+'DCF Model'!$E$20)*(1+'DCF Model'!$F$20)*(1+0.035)/(0.08-0.035)/(1+0.08)^5+'DCF Model'!$B$13*(1+'DCF Model'!$B$20)/(1+0.08)^1+'DCF Model'!$B$13*(1+'DCF Model'!$B$20)*(1+'DCF Model'!$C$20)/(1+0.08)^2+'DCF Model'!$B$13*(1+'DCF Model'!$B$20)*(1+'DCF Model'!$C$20)*(1+'DCF Model'!$D$20)/(1+0.08)^3+'DCF Model'!$B$13*(1+'DCF Model'!$B$20)*(1+'DCF Model'!$C$20)*(1+'DCF Model'!$D$20)*(1+'DCF Model'!$E$20)/(1+0.08)^4+'DCF Model'!$B$13*(1+'DCF Model'!$B$20)*(1+'DCF Model'!$C$20)*(1+'DCF Model'!$D$20)*(1+'DCF Model'!$E$20)*(1+'DCF Model'!$F$20)/(1+0.08)^5-'DCF Model'!$B$12)/'DCF Model'!$B$9</f>
        <v>0</v>
      </c>
      <c r="F5" s="26">
        <f>('DCF Model'!$B$13*(1+'DCF Model'!$B$20)*(1+'DCF Model'!$C$20)*(1+'DCF Model'!$D$20)*(1+'DCF Model'!$E$20)*(1+'DCF Model'!$F$20)*(1+0.04)/(0.08-0.04)/(1+0.08)^5+'DCF Model'!$B$13*(1+'DCF Model'!$B$20)/(1+0.08)^1+'DCF Model'!$B$13*(1+'DCF Model'!$B$20)*(1+'DCF Model'!$C$20)/(1+0.08)^2+'DCF Model'!$B$13*(1+'DCF Model'!$B$20)*(1+'DCF Model'!$C$20)*(1+'DCF Model'!$D$20)/(1+0.08)^3+'DCF Model'!$B$13*(1+'DCF Model'!$B$20)*(1+'DCF Model'!$C$20)*(1+'DCF Model'!$D$20)*(1+'DCF Model'!$E$20)/(1+0.08)^4+'DCF Model'!$B$13*(1+'DCF Model'!$B$20)*(1+'DCF Model'!$C$20)*(1+'DCF Model'!$D$20)*(1+'DCF Model'!$E$20)*(1+'DCF Model'!$F$20)/(1+0.08)^5-'DCF Model'!$B$12)/'DCF Model'!$B$9</f>
        <v>0</v>
      </c>
    </row>
    <row r="6" spans="1:6">
      <c r="A6" s="25">
        <v>0.09</v>
      </c>
      <c r="B6" s="27">
        <f>('DCF Model'!$B$13*(1+'DCF Model'!$B$20)*(1+'DCF Model'!$C$20)*(1+'DCF Model'!$D$20)*(1+'DCF Model'!$E$20)*(1+'DCF Model'!$F$20)*(1+0.02)/(0.09-0.02)/(1+0.09)^5+'DCF Model'!$B$13*(1+'DCF Model'!$B$20)/(1+0.09)^1+'DCF Model'!$B$13*(1+'DCF Model'!$B$20)*(1+'DCF Model'!$C$20)/(1+0.09)^2+'DCF Model'!$B$13*(1+'DCF Model'!$B$20)*(1+'DCF Model'!$C$20)*(1+'DCF Model'!$D$20)/(1+0.09)^3+'DCF Model'!$B$13*(1+'DCF Model'!$B$20)*(1+'DCF Model'!$C$20)*(1+'DCF Model'!$D$20)*(1+'DCF Model'!$E$20)/(1+0.09)^4+'DCF Model'!$B$13*(1+'DCF Model'!$B$20)*(1+'DCF Model'!$C$20)*(1+'DCF Model'!$D$20)*(1+'DCF Model'!$E$20)*(1+'DCF Model'!$F$20)/(1+0.09)^5-'DCF Model'!$B$12)/'DCF Model'!$B$9</f>
        <v>0</v>
      </c>
      <c r="C6" s="26">
        <f>('DCF Model'!$B$13*(1+'DCF Model'!$B$20)*(1+'DCF Model'!$C$20)*(1+'DCF Model'!$D$20)*(1+'DCF Model'!$E$20)*(1+'DCF Model'!$F$20)*(1+0.025)/(0.09-0.025)/(1+0.09)^5+'DCF Model'!$B$13*(1+'DCF Model'!$B$20)/(1+0.09)^1+'DCF Model'!$B$13*(1+'DCF Model'!$B$20)*(1+'DCF Model'!$C$20)/(1+0.09)^2+'DCF Model'!$B$13*(1+'DCF Model'!$B$20)*(1+'DCF Model'!$C$20)*(1+'DCF Model'!$D$20)/(1+0.09)^3+'DCF Model'!$B$13*(1+'DCF Model'!$B$20)*(1+'DCF Model'!$C$20)*(1+'DCF Model'!$D$20)*(1+'DCF Model'!$E$20)/(1+0.09)^4+'DCF Model'!$B$13*(1+'DCF Model'!$B$20)*(1+'DCF Model'!$C$20)*(1+'DCF Model'!$D$20)*(1+'DCF Model'!$E$20)*(1+'DCF Model'!$F$20)/(1+0.09)^5-'DCF Model'!$B$12)/'DCF Model'!$B$9</f>
        <v>0</v>
      </c>
      <c r="D6" s="26">
        <f>('DCF Model'!$B$13*(1+'DCF Model'!$B$20)*(1+'DCF Model'!$C$20)*(1+'DCF Model'!$D$20)*(1+'DCF Model'!$E$20)*(1+'DCF Model'!$F$20)*(1+0.03)/(0.09-0.03)/(1+0.09)^5+'DCF Model'!$B$13*(1+'DCF Model'!$B$20)/(1+0.09)^1+'DCF Model'!$B$13*(1+'DCF Model'!$B$20)*(1+'DCF Model'!$C$20)/(1+0.09)^2+'DCF Model'!$B$13*(1+'DCF Model'!$B$20)*(1+'DCF Model'!$C$20)*(1+'DCF Model'!$D$20)/(1+0.09)^3+'DCF Model'!$B$13*(1+'DCF Model'!$B$20)*(1+'DCF Model'!$C$20)*(1+'DCF Model'!$D$20)*(1+'DCF Model'!$E$20)/(1+0.09)^4+'DCF Model'!$B$13*(1+'DCF Model'!$B$20)*(1+'DCF Model'!$C$20)*(1+'DCF Model'!$D$20)*(1+'DCF Model'!$E$20)*(1+'DCF Model'!$F$20)/(1+0.09)^5-'DCF Model'!$B$12)/'DCF Model'!$B$9</f>
        <v>0</v>
      </c>
      <c r="E6" s="26">
        <f>('DCF Model'!$B$13*(1+'DCF Model'!$B$20)*(1+'DCF Model'!$C$20)*(1+'DCF Model'!$D$20)*(1+'DCF Model'!$E$20)*(1+'DCF Model'!$F$20)*(1+0.035)/(0.09-0.035)/(1+0.09)^5+'DCF Model'!$B$13*(1+'DCF Model'!$B$20)/(1+0.09)^1+'DCF Model'!$B$13*(1+'DCF Model'!$B$20)*(1+'DCF Model'!$C$20)/(1+0.09)^2+'DCF Model'!$B$13*(1+'DCF Model'!$B$20)*(1+'DCF Model'!$C$20)*(1+'DCF Model'!$D$20)/(1+0.09)^3+'DCF Model'!$B$13*(1+'DCF Model'!$B$20)*(1+'DCF Model'!$C$20)*(1+'DCF Model'!$D$20)*(1+'DCF Model'!$E$20)/(1+0.09)^4+'DCF Model'!$B$13*(1+'DCF Model'!$B$20)*(1+'DCF Model'!$C$20)*(1+'DCF Model'!$D$20)*(1+'DCF Model'!$E$20)*(1+'DCF Model'!$F$20)/(1+0.09)^5-'DCF Model'!$B$12)/'DCF Model'!$B$9</f>
        <v>0</v>
      </c>
      <c r="F6" s="26">
        <f>('DCF Model'!$B$13*(1+'DCF Model'!$B$20)*(1+'DCF Model'!$C$20)*(1+'DCF Model'!$D$20)*(1+'DCF Model'!$E$20)*(1+'DCF Model'!$F$20)*(1+0.04)/(0.09-0.04)/(1+0.09)^5+'DCF Model'!$B$13*(1+'DCF Model'!$B$20)/(1+0.09)^1+'DCF Model'!$B$13*(1+'DCF Model'!$B$20)*(1+'DCF Model'!$C$20)/(1+0.09)^2+'DCF Model'!$B$13*(1+'DCF Model'!$B$20)*(1+'DCF Model'!$C$20)*(1+'DCF Model'!$D$20)/(1+0.09)^3+'DCF Model'!$B$13*(1+'DCF Model'!$B$20)*(1+'DCF Model'!$C$20)*(1+'DCF Model'!$D$20)*(1+'DCF Model'!$E$20)/(1+0.09)^4+'DCF Model'!$B$13*(1+'DCF Model'!$B$20)*(1+'DCF Model'!$C$20)*(1+'DCF Model'!$D$20)*(1+'DCF Model'!$E$20)*(1+'DCF Model'!$F$20)/(1+0.09)^5-'DCF Model'!$B$12)/'DCF Model'!$B$9</f>
        <v>0</v>
      </c>
    </row>
    <row r="7" spans="1:6">
      <c r="A7" s="25">
        <v>0.1</v>
      </c>
      <c r="B7" s="28">
        <f>('DCF Model'!$B$13*(1+'DCF Model'!$B$20)*(1+'DCF Model'!$C$20)*(1+'DCF Model'!$D$20)*(1+'DCF Model'!$E$20)*(1+'DCF Model'!$F$20)*(1+0.02)/(0.1-0.02)/(1+0.1)^5+'DCF Model'!$B$13*(1+'DCF Model'!$B$20)/(1+0.1)^1+'DCF Model'!$B$13*(1+'DCF Model'!$B$20)*(1+'DCF Model'!$C$20)/(1+0.1)^2+'DCF Model'!$B$13*(1+'DCF Model'!$B$20)*(1+'DCF Model'!$C$20)*(1+'DCF Model'!$D$20)/(1+0.1)^3+'DCF Model'!$B$13*(1+'DCF Model'!$B$20)*(1+'DCF Model'!$C$20)*(1+'DCF Model'!$D$20)*(1+'DCF Model'!$E$20)/(1+0.1)^4+'DCF Model'!$B$13*(1+'DCF Model'!$B$20)*(1+'DCF Model'!$C$20)*(1+'DCF Model'!$D$20)*(1+'DCF Model'!$E$20)*(1+'DCF Model'!$F$20)/(1+0.1)^5-'DCF Model'!$B$12)/'DCF Model'!$B$9</f>
        <v>0</v>
      </c>
      <c r="C7" s="27">
        <f>('DCF Model'!$B$13*(1+'DCF Model'!$B$20)*(1+'DCF Model'!$C$20)*(1+'DCF Model'!$D$20)*(1+'DCF Model'!$E$20)*(1+'DCF Model'!$F$20)*(1+0.025)/(0.1-0.025)/(1+0.1)^5+'DCF Model'!$B$13*(1+'DCF Model'!$B$20)/(1+0.1)^1+'DCF Model'!$B$13*(1+'DCF Model'!$B$20)*(1+'DCF Model'!$C$20)/(1+0.1)^2+'DCF Model'!$B$13*(1+'DCF Model'!$B$20)*(1+'DCF Model'!$C$20)*(1+'DCF Model'!$D$20)/(1+0.1)^3+'DCF Model'!$B$13*(1+'DCF Model'!$B$20)*(1+'DCF Model'!$C$20)*(1+'DCF Model'!$D$20)*(1+'DCF Model'!$E$20)/(1+0.1)^4+'DCF Model'!$B$13*(1+'DCF Model'!$B$20)*(1+'DCF Model'!$C$20)*(1+'DCF Model'!$D$20)*(1+'DCF Model'!$E$20)*(1+'DCF Model'!$F$20)/(1+0.1)^5-'DCF Model'!$B$12)/'DCF Model'!$B$9</f>
        <v>0</v>
      </c>
      <c r="D7" s="27">
        <f>('DCF Model'!$B$13*(1+'DCF Model'!$B$20)*(1+'DCF Model'!$C$20)*(1+'DCF Model'!$D$20)*(1+'DCF Model'!$E$20)*(1+'DCF Model'!$F$20)*(1+0.03)/(0.1-0.03)/(1+0.1)^5+'DCF Model'!$B$13*(1+'DCF Model'!$B$20)/(1+0.1)^1+'DCF Model'!$B$13*(1+'DCF Model'!$B$20)*(1+'DCF Model'!$C$20)/(1+0.1)^2+'DCF Model'!$B$13*(1+'DCF Model'!$B$20)*(1+'DCF Model'!$C$20)*(1+'DCF Model'!$D$20)/(1+0.1)^3+'DCF Model'!$B$13*(1+'DCF Model'!$B$20)*(1+'DCF Model'!$C$20)*(1+'DCF Model'!$D$20)*(1+'DCF Model'!$E$20)/(1+0.1)^4+'DCF Model'!$B$13*(1+'DCF Model'!$B$20)*(1+'DCF Model'!$C$20)*(1+'DCF Model'!$D$20)*(1+'DCF Model'!$E$20)*(1+'DCF Model'!$F$20)/(1+0.1)^5-'DCF Model'!$B$12)/'DCF Model'!$B$9</f>
        <v>0</v>
      </c>
      <c r="E7" s="26">
        <f>('DCF Model'!$B$13*(1+'DCF Model'!$B$20)*(1+'DCF Model'!$C$20)*(1+'DCF Model'!$D$20)*(1+'DCF Model'!$E$20)*(1+'DCF Model'!$F$20)*(1+0.035)/(0.1-0.035)/(1+0.1)^5+'DCF Model'!$B$13*(1+'DCF Model'!$B$20)/(1+0.1)^1+'DCF Model'!$B$13*(1+'DCF Model'!$B$20)*(1+'DCF Model'!$C$20)/(1+0.1)^2+'DCF Model'!$B$13*(1+'DCF Model'!$B$20)*(1+'DCF Model'!$C$20)*(1+'DCF Model'!$D$20)/(1+0.1)^3+'DCF Model'!$B$13*(1+'DCF Model'!$B$20)*(1+'DCF Model'!$C$20)*(1+'DCF Model'!$D$20)*(1+'DCF Model'!$E$20)/(1+0.1)^4+'DCF Model'!$B$13*(1+'DCF Model'!$B$20)*(1+'DCF Model'!$C$20)*(1+'DCF Model'!$D$20)*(1+'DCF Model'!$E$20)*(1+'DCF Model'!$F$20)/(1+0.1)^5-'DCF Model'!$B$12)/'DCF Model'!$B$9</f>
        <v>0</v>
      </c>
      <c r="F7" s="26">
        <f>('DCF Model'!$B$13*(1+'DCF Model'!$B$20)*(1+'DCF Model'!$C$20)*(1+'DCF Model'!$D$20)*(1+'DCF Model'!$E$20)*(1+'DCF Model'!$F$20)*(1+0.04)/(0.1-0.04)/(1+0.1)^5+'DCF Model'!$B$13*(1+'DCF Model'!$B$20)/(1+0.1)^1+'DCF Model'!$B$13*(1+'DCF Model'!$B$20)*(1+'DCF Model'!$C$20)/(1+0.1)^2+'DCF Model'!$B$13*(1+'DCF Model'!$B$20)*(1+'DCF Model'!$C$20)*(1+'DCF Model'!$D$20)/(1+0.1)^3+'DCF Model'!$B$13*(1+'DCF Model'!$B$20)*(1+'DCF Model'!$C$20)*(1+'DCF Model'!$D$20)*(1+'DCF Model'!$E$20)/(1+0.1)^4+'DCF Model'!$B$13*(1+'DCF Model'!$B$20)*(1+'DCF Model'!$C$20)*(1+'DCF Model'!$D$20)*(1+'DCF Model'!$E$20)*(1+'DCF Model'!$F$20)/(1+0.1)^5-'DCF Model'!$B$12)/'DCF Model'!$B$9</f>
        <v>0</v>
      </c>
    </row>
    <row r="8" spans="1:6">
      <c r="A8" s="25">
        <v>0.11</v>
      </c>
      <c r="B8" s="29">
        <f>('DCF Model'!$B$13*(1+'DCF Model'!$B$20)*(1+'DCF Model'!$C$20)*(1+'DCF Model'!$D$20)*(1+'DCF Model'!$E$20)*(1+'DCF Model'!$F$20)*(1+0.02)/(0.11-0.02)/(1+0.11)^5+'DCF Model'!$B$13*(1+'DCF Model'!$B$20)/(1+0.11)^1+'DCF Model'!$B$13*(1+'DCF Model'!$B$20)*(1+'DCF Model'!$C$20)/(1+0.11)^2+'DCF Model'!$B$13*(1+'DCF Model'!$B$20)*(1+'DCF Model'!$C$20)*(1+'DCF Model'!$D$20)/(1+0.11)^3+'DCF Model'!$B$13*(1+'DCF Model'!$B$20)*(1+'DCF Model'!$C$20)*(1+'DCF Model'!$D$20)*(1+'DCF Model'!$E$20)/(1+0.11)^4+'DCF Model'!$B$13*(1+'DCF Model'!$B$20)*(1+'DCF Model'!$C$20)*(1+'DCF Model'!$D$20)*(1+'DCF Model'!$E$20)*(1+'DCF Model'!$F$20)/(1+0.11)^5-'DCF Model'!$B$12)/'DCF Model'!$B$9</f>
        <v>0</v>
      </c>
      <c r="C8" s="28">
        <f>('DCF Model'!$B$13*(1+'DCF Model'!$B$20)*(1+'DCF Model'!$C$20)*(1+'DCF Model'!$D$20)*(1+'DCF Model'!$E$20)*(1+'DCF Model'!$F$20)*(1+0.025)/(0.11-0.025)/(1+0.11)^5+'DCF Model'!$B$13*(1+'DCF Model'!$B$20)/(1+0.11)^1+'DCF Model'!$B$13*(1+'DCF Model'!$B$20)*(1+'DCF Model'!$C$20)/(1+0.11)^2+'DCF Model'!$B$13*(1+'DCF Model'!$B$20)*(1+'DCF Model'!$C$20)*(1+'DCF Model'!$D$20)/(1+0.11)^3+'DCF Model'!$B$13*(1+'DCF Model'!$B$20)*(1+'DCF Model'!$C$20)*(1+'DCF Model'!$D$20)*(1+'DCF Model'!$E$20)/(1+0.11)^4+'DCF Model'!$B$13*(1+'DCF Model'!$B$20)*(1+'DCF Model'!$C$20)*(1+'DCF Model'!$D$20)*(1+'DCF Model'!$E$20)*(1+'DCF Model'!$F$20)/(1+0.11)^5-'DCF Model'!$B$12)/'DCF Model'!$B$9</f>
        <v>0</v>
      </c>
      <c r="D8" s="28">
        <f>('DCF Model'!$B$13*(1+'DCF Model'!$B$20)*(1+'DCF Model'!$C$20)*(1+'DCF Model'!$D$20)*(1+'DCF Model'!$E$20)*(1+'DCF Model'!$F$20)*(1+0.03)/(0.11-0.03)/(1+0.11)^5+'DCF Model'!$B$13*(1+'DCF Model'!$B$20)/(1+0.11)^1+'DCF Model'!$B$13*(1+'DCF Model'!$B$20)*(1+'DCF Model'!$C$20)/(1+0.11)^2+'DCF Model'!$B$13*(1+'DCF Model'!$B$20)*(1+'DCF Model'!$C$20)*(1+'DCF Model'!$D$20)/(1+0.11)^3+'DCF Model'!$B$13*(1+'DCF Model'!$B$20)*(1+'DCF Model'!$C$20)*(1+'DCF Model'!$D$20)*(1+'DCF Model'!$E$20)/(1+0.11)^4+'DCF Model'!$B$13*(1+'DCF Model'!$B$20)*(1+'DCF Model'!$C$20)*(1+'DCF Model'!$D$20)*(1+'DCF Model'!$E$20)*(1+'DCF Model'!$F$20)/(1+0.11)^5-'DCF Model'!$B$12)/'DCF Model'!$B$9</f>
        <v>0</v>
      </c>
      <c r="E8" s="28">
        <f>('DCF Model'!$B$13*(1+'DCF Model'!$B$20)*(1+'DCF Model'!$C$20)*(1+'DCF Model'!$D$20)*(1+'DCF Model'!$E$20)*(1+'DCF Model'!$F$20)*(1+0.035)/(0.11-0.035)/(1+0.11)^5+'DCF Model'!$B$13*(1+'DCF Model'!$B$20)/(1+0.11)^1+'DCF Model'!$B$13*(1+'DCF Model'!$B$20)*(1+'DCF Model'!$C$20)/(1+0.11)^2+'DCF Model'!$B$13*(1+'DCF Model'!$B$20)*(1+'DCF Model'!$C$20)*(1+'DCF Model'!$D$20)/(1+0.11)^3+'DCF Model'!$B$13*(1+'DCF Model'!$B$20)*(1+'DCF Model'!$C$20)*(1+'DCF Model'!$D$20)*(1+'DCF Model'!$E$20)/(1+0.11)^4+'DCF Model'!$B$13*(1+'DCF Model'!$B$20)*(1+'DCF Model'!$C$20)*(1+'DCF Model'!$D$20)*(1+'DCF Model'!$E$20)*(1+'DCF Model'!$F$20)/(1+0.11)^5-'DCF Model'!$B$12)/'DCF Model'!$B$9</f>
        <v>0</v>
      </c>
      <c r="F8" s="27">
        <f>('DCF Model'!$B$13*(1+'DCF Model'!$B$20)*(1+'DCF Model'!$C$20)*(1+'DCF Model'!$D$20)*(1+'DCF Model'!$E$20)*(1+'DCF Model'!$F$20)*(1+0.04)/(0.11-0.04)/(1+0.11)^5+'DCF Model'!$B$13*(1+'DCF Model'!$B$20)/(1+0.11)^1+'DCF Model'!$B$13*(1+'DCF Model'!$B$20)*(1+'DCF Model'!$C$20)/(1+0.11)^2+'DCF Model'!$B$13*(1+'DCF Model'!$B$20)*(1+'DCF Model'!$C$20)*(1+'DCF Model'!$D$20)/(1+0.11)^3+'DCF Model'!$B$13*(1+'DCF Model'!$B$20)*(1+'DCF Model'!$C$20)*(1+'DCF Model'!$D$20)*(1+'DCF Model'!$E$20)/(1+0.11)^4+'DCF Model'!$B$13*(1+'DCF Model'!$B$20)*(1+'DCF Model'!$C$20)*(1+'DCF Model'!$D$20)*(1+'DCF Model'!$E$20)*(1+'DCF Model'!$F$20)/(1+0.11)^5-'DCF Model'!$B$12)/'DCF Model'!$B$9</f>
        <v>0</v>
      </c>
    </row>
    <row r="9" spans="1:6">
      <c r="A9" s="25">
        <v>0.12</v>
      </c>
      <c r="B9" s="29">
        <f>('DCF Model'!$B$13*(1+'DCF Model'!$B$20)*(1+'DCF Model'!$C$20)*(1+'DCF Model'!$D$20)*(1+'DCF Model'!$E$20)*(1+'DCF Model'!$F$20)*(1+0.02)/(0.12-0.02)/(1+0.12)^5+'DCF Model'!$B$13*(1+'DCF Model'!$B$20)/(1+0.12)^1+'DCF Model'!$B$13*(1+'DCF Model'!$B$20)*(1+'DCF Model'!$C$20)/(1+0.12)^2+'DCF Model'!$B$13*(1+'DCF Model'!$B$20)*(1+'DCF Model'!$C$20)*(1+'DCF Model'!$D$20)/(1+0.12)^3+'DCF Model'!$B$13*(1+'DCF Model'!$B$20)*(1+'DCF Model'!$C$20)*(1+'DCF Model'!$D$20)*(1+'DCF Model'!$E$20)/(1+0.12)^4+'DCF Model'!$B$13*(1+'DCF Model'!$B$20)*(1+'DCF Model'!$C$20)*(1+'DCF Model'!$D$20)*(1+'DCF Model'!$E$20)*(1+'DCF Model'!$F$20)/(1+0.12)^5-'DCF Model'!$B$12)/'DCF Model'!$B$9</f>
        <v>0</v>
      </c>
      <c r="C9" s="29">
        <f>('DCF Model'!$B$13*(1+'DCF Model'!$B$20)*(1+'DCF Model'!$C$20)*(1+'DCF Model'!$D$20)*(1+'DCF Model'!$E$20)*(1+'DCF Model'!$F$20)*(1+0.025)/(0.12-0.025)/(1+0.12)^5+'DCF Model'!$B$13*(1+'DCF Model'!$B$20)/(1+0.12)^1+'DCF Model'!$B$13*(1+'DCF Model'!$B$20)*(1+'DCF Model'!$C$20)/(1+0.12)^2+'DCF Model'!$B$13*(1+'DCF Model'!$B$20)*(1+'DCF Model'!$C$20)*(1+'DCF Model'!$D$20)/(1+0.12)^3+'DCF Model'!$B$13*(1+'DCF Model'!$B$20)*(1+'DCF Model'!$C$20)*(1+'DCF Model'!$D$20)*(1+'DCF Model'!$E$20)/(1+0.12)^4+'DCF Model'!$B$13*(1+'DCF Model'!$B$20)*(1+'DCF Model'!$C$20)*(1+'DCF Model'!$D$20)*(1+'DCF Model'!$E$20)*(1+'DCF Model'!$F$20)/(1+0.12)^5-'DCF Model'!$B$12)/'DCF Model'!$B$9</f>
        <v>0</v>
      </c>
      <c r="D9" s="29">
        <f>('DCF Model'!$B$13*(1+'DCF Model'!$B$20)*(1+'DCF Model'!$C$20)*(1+'DCF Model'!$D$20)*(1+'DCF Model'!$E$20)*(1+'DCF Model'!$F$20)*(1+0.03)/(0.12-0.03)/(1+0.12)^5+'DCF Model'!$B$13*(1+'DCF Model'!$B$20)/(1+0.12)^1+'DCF Model'!$B$13*(1+'DCF Model'!$B$20)*(1+'DCF Model'!$C$20)/(1+0.12)^2+'DCF Model'!$B$13*(1+'DCF Model'!$B$20)*(1+'DCF Model'!$C$20)*(1+'DCF Model'!$D$20)/(1+0.12)^3+'DCF Model'!$B$13*(1+'DCF Model'!$B$20)*(1+'DCF Model'!$C$20)*(1+'DCF Model'!$D$20)*(1+'DCF Model'!$E$20)/(1+0.12)^4+'DCF Model'!$B$13*(1+'DCF Model'!$B$20)*(1+'DCF Model'!$C$20)*(1+'DCF Model'!$D$20)*(1+'DCF Model'!$E$20)*(1+'DCF Model'!$F$20)/(1+0.12)^5-'DCF Model'!$B$12)/'DCF Model'!$B$9</f>
        <v>0</v>
      </c>
      <c r="E9" s="29">
        <f>('DCF Model'!$B$13*(1+'DCF Model'!$B$20)*(1+'DCF Model'!$C$20)*(1+'DCF Model'!$D$20)*(1+'DCF Model'!$E$20)*(1+'DCF Model'!$F$20)*(1+0.035)/(0.12-0.035)/(1+0.12)^5+'DCF Model'!$B$13*(1+'DCF Model'!$B$20)/(1+0.12)^1+'DCF Model'!$B$13*(1+'DCF Model'!$B$20)*(1+'DCF Model'!$C$20)/(1+0.12)^2+'DCF Model'!$B$13*(1+'DCF Model'!$B$20)*(1+'DCF Model'!$C$20)*(1+'DCF Model'!$D$20)/(1+0.12)^3+'DCF Model'!$B$13*(1+'DCF Model'!$B$20)*(1+'DCF Model'!$C$20)*(1+'DCF Model'!$D$20)*(1+'DCF Model'!$E$20)/(1+0.12)^4+'DCF Model'!$B$13*(1+'DCF Model'!$B$20)*(1+'DCF Model'!$C$20)*(1+'DCF Model'!$D$20)*(1+'DCF Model'!$E$20)*(1+'DCF Model'!$F$20)/(1+0.12)^5-'DCF Model'!$B$12)/'DCF Model'!$B$9</f>
        <v>0</v>
      </c>
      <c r="F9" s="28">
        <f>('DCF Model'!$B$13*(1+'DCF Model'!$B$20)*(1+'DCF Model'!$C$20)*(1+'DCF Model'!$D$20)*(1+'DCF Model'!$E$20)*(1+'DCF Model'!$F$20)*(1+0.04)/(0.12-0.04)/(1+0.12)^5+'DCF Model'!$B$13*(1+'DCF Model'!$B$20)/(1+0.12)^1+'DCF Model'!$B$13*(1+'DCF Model'!$B$20)*(1+'DCF Model'!$C$20)/(1+0.12)^2+'DCF Model'!$B$13*(1+'DCF Model'!$B$20)*(1+'DCF Model'!$C$20)*(1+'DCF Model'!$D$20)/(1+0.12)^3+'DCF Model'!$B$13*(1+'DCF Model'!$B$20)*(1+'DCF Model'!$C$20)*(1+'DCF Model'!$D$20)*(1+'DCF Model'!$E$20)/(1+0.12)^4+'DCF Model'!$B$13*(1+'DCF Model'!$B$20)*(1+'DCF Model'!$C$20)*(1+'DCF Model'!$D$20)*(1+'DCF Model'!$E$20)*(1+'DCF Model'!$F$20)/(1+0.12)^5-'DCF Model'!$B$12)/'DCF Model'!$B$9</f>
        <v>0</v>
      </c>
    </row>
    <row r="11" spans="1:6">
      <c r="A11" s="30" t="s">
        <v>129</v>
      </c>
      <c r="B11" s="31" t="s">
        <v>130</v>
      </c>
      <c r="C11" s="32" t="s">
        <v>131</v>
      </c>
      <c r="D11" s="33" t="s">
        <v>132</v>
      </c>
      <c r="E11" s="34" t="s">
        <v>133</v>
      </c>
    </row>
  </sheetData>
  <mergeCells count="2">
    <mergeCell ref="A1:F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8"/>
  <sheetViews>
    <sheetView zoomScale="90" zoomScaleNormal="90" workbookViewId="0"/>
  </sheetViews>
  <sheetFormatPr defaultRowHeight="15"/>
  <cols>
    <col min="1" max="1" width="12.7109375" customWidth="1"/>
    <col min="2" max="3" width="13.7109375" customWidth="1"/>
    <col min="4" max="4" width="50.7109375" customWidth="1"/>
    <col min="5" max="9" width="13.7109375" customWidth="1"/>
  </cols>
  <sheetData>
    <row r="1" spans="1:9">
      <c r="A1" s="1" t="s">
        <v>134</v>
      </c>
      <c r="B1" s="1"/>
      <c r="C1" s="1"/>
      <c r="D1" s="1"/>
      <c r="E1" s="1"/>
      <c r="F1" s="1"/>
      <c r="G1" s="1"/>
      <c r="H1" s="1"/>
      <c r="I1" s="1"/>
    </row>
    <row r="2" spans="1:9">
      <c r="A2" s="2" t="s">
        <v>135</v>
      </c>
      <c r="B2" s="2"/>
      <c r="C2" s="2"/>
      <c r="D2" s="2"/>
      <c r="E2" s="2"/>
      <c r="F2" s="2"/>
      <c r="G2" s="2"/>
      <c r="H2" s="2"/>
      <c r="I2" s="2"/>
    </row>
    <row r="3" spans="1:9">
      <c r="A3" s="9" t="s">
        <v>136</v>
      </c>
      <c r="B3" s="9" t="s">
        <v>137</v>
      </c>
      <c r="C3" s="9" t="s">
        <v>138</v>
      </c>
      <c r="D3" s="9" t="s">
        <v>139</v>
      </c>
      <c r="E3" s="9" t="s">
        <v>140</v>
      </c>
      <c r="F3" s="9" t="s">
        <v>141</v>
      </c>
      <c r="G3" s="9" t="s">
        <v>142</v>
      </c>
      <c r="H3" s="9" t="s">
        <v>143</v>
      </c>
      <c r="I3" s="9" t="s">
        <v>144</v>
      </c>
    </row>
    <row r="4" spans="1:9">
      <c r="A4" s="35" t="s">
        <v>145</v>
      </c>
      <c r="B4" s="6">
        <v>92154</v>
      </c>
      <c r="C4" s="6">
        <v>28933</v>
      </c>
      <c r="D4" s="6">
        <v>2622</v>
      </c>
      <c r="E4" s="6">
        <v>4616</v>
      </c>
      <c r="F4" s="36">
        <v>6.03</v>
      </c>
      <c r="G4" s="6">
        <v>9291</v>
      </c>
      <c r="H4" s="6">
        <v>2576</v>
      </c>
      <c r="I4" s="6">
        <v>6715</v>
      </c>
    </row>
    <row r="5" spans="1:9">
      <c r="A5" s="35" t="s">
        <v>146</v>
      </c>
      <c r="B5" s="6">
        <v>94224</v>
      </c>
      <c r="C5" s="6">
        <v>29417</v>
      </c>
      <c r="D5" s="6">
        <v>5144</v>
      </c>
      <c r="E5" s="6">
        <v>3250</v>
      </c>
      <c r="F5" s="36">
        <v>4.22</v>
      </c>
      <c r="G5" s="6">
        <v>11407</v>
      </c>
      <c r="H5" s="6">
        <v>2082</v>
      </c>
      <c r="I5" s="6">
        <v>9325</v>
      </c>
    </row>
    <row r="6" spans="1:9">
      <c r="A6" s="35" t="s">
        <v>147</v>
      </c>
      <c r="B6" s="6">
        <v>101197</v>
      </c>
      <c r="C6" s="6">
        <v>21891</v>
      </c>
      <c r="D6" s="6">
        <v>4659</v>
      </c>
      <c r="E6" s="6">
        <v>5563</v>
      </c>
      <c r="F6" s="36">
        <v>7.02</v>
      </c>
      <c r="G6" s="6">
        <v>10307</v>
      </c>
      <c r="H6" s="6">
        <v>2796</v>
      </c>
      <c r="I6" s="6">
        <v>7511</v>
      </c>
    </row>
    <row r="7" spans="1:9">
      <c r="A7" s="35" t="s">
        <v>148</v>
      </c>
      <c r="B7" s="6">
        <v>102301</v>
      </c>
      <c r="C7" s="6">
        <v>22686</v>
      </c>
      <c r="D7" s="6">
        <v>5771</v>
      </c>
      <c r="E7" s="6">
        <v>2442</v>
      </c>
      <c r="F7" s="36">
        <v>3.24</v>
      </c>
      <c r="G7" s="6">
        <v>3565</v>
      </c>
      <c r="H7" s="6">
        <v>3003</v>
      </c>
      <c r="I7" s="6">
        <v>562</v>
      </c>
    </row>
    <row r="8" spans="1:9">
      <c r="A8" s="35" t="s">
        <v>149</v>
      </c>
      <c r="B8" s="6">
        <v>88425</v>
      </c>
      <c r="C8" s="6">
        <v>21069</v>
      </c>
      <c r="D8" s="6">
        <v>5411</v>
      </c>
      <c r="E8" s="6">
        <v>3388</v>
      </c>
      <c r="F8" s="36">
        <v>4.6</v>
      </c>
      <c r="G8" s="6">
        <v>8676</v>
      </c>
      <c r="H8" s="6">
        <v>2756</v>
      </c>
      <c r="I8" s="6">
        <v>5920</v>
      </c>
    </row>
    <row r="9" spans="1:9">
      <c r="A9" s="35" t="s">
        <v>150</v>
      </c>
      <c r="B9" s="6">
        <v>95567</v>
      </c>
      <c r="C9" s="6">
        <v>21250</v>
      </c>
      <c r="D9" s="6">
        <v>6237</v>
      </c>
      <c r="E9" s="6">
        <v>4592</v>
      </c>
      <c r="F9" s="36">
        <v>6.38</v>
      </c>
      <c r="G9" s="6">
        <v>4521</v>
      </c>
      <c r="H9" s="6">
        <v>2652</v>
      </c>
      <c r="I9" s="6">
        <v>1869</v>
      </c>
    </row>
    <row r="10" spans="1:9" ht="45" customHeight="1">
      <c r="A10" s="37" t="s">
        <v>151</v>
      </c>
      <c r="B10" s="37"/>
      <c r="C10" s="37"/>
      <c r="D10" s="37"/>
      <c r="E10" s="37"/>
      <c r="F10" s="37"/>
      <c r="G10" s="37"/>
      <c r="H10" s="37"/>
      <c r="I10" s="37"/>
    </row>
    <row r="12" spans="1:9">
      <c r="A12" s="38" t="s">
        <v>152</v>
      </c>
    </row>
    <row r="13" spans="1:9">
      <c r="A13" s="9" t="s">
        <v>49</v>
      </c>
      <c r="B13" s="9" t="s">
        <v>153</v>
      </c>
      <c r="C13" s="9" t="s">
        <v>154</v>
      </c>
      <c r="D13" s="9" t="s">
        <v>155</v>
      </c>
    </row>
    <row r="14" spans="1:9">
      <c r="A14" s="39" t="s">
        <v>156</v>
      </c>
      <c r="B14" s="15">
        <v>-0.018</v>
      </c>
      <c r="C14" s="15">
        <v>0.006999999999999999</v>
      </c>
      <c r="D14" s="40" t="s">
        <v>157</v>
      </c>
    </row>
    <row r="15" spans="1:9">
      <c r="A15" s="39" t="s">
        <v>141</v>
      </c>
      <c r="B15" s="15">
        <v>-0.031</v>
      </c>
      <c r="C15" s="15">
        <v>0.011</v>
      </c>
      <c r="D15" s="40" t="s">
        <v>158</v>
      </c>
    </row>
    <row r="16" spans="1:9">
      <c r="A16" s="39" t="s">
        <v>159</v>
      </c>
      <c r="B16" s="41" t="s">
        <v>160</v>
      </c>
      <c r="C16" s="41" t="s">
        <v>160</v>
      </c>
      <c r="D16" s="40" t="s">
        <v>161</v>
      </c>
    </row>
    <row r="17" spans="1:4">
      <c r="A17" s="39" t="s">
        <v>144</v>
      </c>
      <c r="B17" s="15">
        <v>-0.376</v>
      </c>
      <c r="C17" s="15">
        <v>-0.236</v>
      </c>
      <c r="D17" s="40" t="s">
        <v>162</v>
      </c>
    </row>
    <row r="18" spans="1:4">
      <c r="A18" s="35" t="s">
        <v>163</v>
      </c>
      <c r="B18" s="15">
        <v>0.12</v>
      </c>
      <c r="C18" s="42" t="s">
        <v>164</v>
      </c>
      <c r="D18" s="40" t="s">
        <v>165</v>
      </c>
    </row>
  </sheetData>
  <mergeCells count="3">
    <mergeCell ref="A1:I1"/>
    <mergeCell ref="A2:I2"/>
    <mergeCell ref="A10:I1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3"/>
  <sheetViews>
    <sheetView zoomScale="90" zoomScaleNormal="90" workbookViewId="0"/>
  </sheetViews>
  <sheetFormatPr defaultRowHeight="15"/>
  <cols>
    <col min="1" max="1" width="26.7109375" customWidth="1"/>
    <col min="2" max="2" width="85.7109375" customWidth="1"/>
  </cols>
  <sheetData>
    <row r="1" spans="1:2">
      <c r="A1" s="1" t="s">
        <v>166</v>
      </c>
      <c r="B1" s="1"/>
    </row>
    <row r="3" spans="1:2" ht="50" customHeight="1">
      <c r="A3" s="43" t="s">
        <v>167</v>
      </c>
      <c r="B3" s="44" t="s">
        <v>168</v>
      </c>
    </row>
    <row r="4" spans="1:2" ht="50" customHeight="1">
      <c r="A4" s="43" t="s">
        <v>169</v>
      </c>
      <c r="B4" s="44" t="s">
        <v>170</v>
      </c>
    </row>
    <row r="5" spans="1:2" ht="50" customHeight="1">
      <c r="A5" s="43" t="s">
        <v>171</v>
      </c>
      <c r="B5" s="44" t="s">
        <v>172</v>
      </c>
    </row>
    <row r="6" spans="1:2" ht="50" customHeight="1">
      <c r="A6" s="43" t="s">
        <v>173</v>
      </c>
      <c r="B6" s="44" t="s">
        <v>174</v>
      </c>
    </row>
    <row r="7" spans="1:2" ht="50" customHeight="1">
      <c r="A7" s="43" t="s">
        <v>175</v>
      </c>
      <c r="B7" s="44" t="s">
        <v>176</v>
      </c>
    </row>
    <row r="8" spans="1:2" ht="50" customHeight="1">
      <c r="A8" s="43" t="s">
        <v>177</v>
      </c>
      <c r="B8" s="44" t="s">
        <v>178</v>
      </c>
    </row>
    <row r="9" spans="1:2" ht="50" customHeight="1">
      <c r="A9" s="43" t="s">
        <v>179</v>
      </c>
      <c r="B9" s="44" t="s">
        <v>180</v>
      </c>
    </row>
    <row r="10" spans="1:2" ht="50" customHeight="1">
      <c r="A10" s="45" t="s">
        <v>181</v>
      </c>
      <c r="B10" s="46" t="s">
        <v>182</v>
      </c>
    </row>
    <row r="11" spans="1:2" ht="50" customHeight="1">
      <c r="A11" s="43" t="s">
        <v>183</v>
      </c>
      <c r="B11" s="44" t="s">
        <v>184</v>
      </c>
    </row>
    <row r="12" spans="1:2" ht="8" customHeight="1">
      <c r="A12" s="47"/>
      <c r="B12" s="47"/>
    </row>
    <row r="13" spans="1:2" ht="50" customHeight="1">
      <c r="A13" s="43" t="s">
        <v>185</v>
      </c>
      <c r="B13" s="44" t="s">
        <v>186</v>
      </c>
    </row>
    <row r="14" spans="1:2" ht="50" customHeight="1">
      <c r="A14" s="43" t="s">
        <v>187</v>
      </c>
      <c r="B14" s="44" t="s">
        <v>188</v>
      </c>
    </row>
    <row r="15" spans="1:2" ht="50" customHeight="1">
      <c r="A15" s="43" t="s">
        <v>189</v>
      </c>
      <c r="B15" s="44" t="s">
        <v>190</v>
      </c>
    </row>
    <row r="16" spans="1:2" ht="8" customHeight="1">
      <c r="A16" s="47"/>
      <c r="B16" s="47"/>
    </row>
    <row r="17" spans="1:2" ht="50" customHeight="1">
      <c r="A17" s="43" t="s">
        <v>191</v>
      </c>
      <c r="B17" s="44" t="s">
        <v>192</v>
      </c>
    </row>
    <row r="18" spans="1:2" ht="50" customHeight="1">
      <c r="A18" s="43" t="s">
        <v>193</v>
      </c>
      <c r="B18" s="44" t="s">
        <v>194</v>
      </c>
    </row>
    <row r="19" spans="1:2" ht="50" customHeight="1">
      <c r="A19" s="43" t="s">
        <v>195</v>
      </c>
      <c r="B19" s="44" t="s">
        <v>196</v>
      </c>
    </row>
    <row r="20" spans="1:2" ht="50" customHeight="1">
      <c r="A20" s="43" t="s">
        <v>197</v>
      </c>
      <c r="B20" s="44" t="s">
        <v>198</v>
      </c>
    </row>
    <row r="21" spans="1:2" ht="50" customHeight="1">
      <c r="A21" s="43" t="s">
        <v>199</v>
      </c>
      <c r="B21" s="44" t="s">
        <v>200</v>
      </c>
    </row>
    <row r="22" spans="1:2" ht="8" customHeight="1">
      <c r="A22" s="47"/>
      <c r="B22" s="47"/>
    </row>
    <row r="23" spans="1:2" ht="50" customHeight="1">
      <c r="A23" s="43" t="s">
        <v>201</v>
      </c>
      <c r="B23" s="44" t="s">
        <v>202</v>
      </c>
    </row>
    <row r="24" spans="1:2" ht="50" customHeight="1">
      <c r="A24" s="43" t="s">
        <v>203</v>
      </c>
      <c r="B24" s="44" t="s">
        <v>204</v>
      </c>
    </row>
    <row r="25" spans="1:2" ht="50" customHeight="1">
      <c r="A25" s="43" t="s">
        <v>205</v>
      </c>
      <c r="B25" s="44" t="s">
        <v>206</v>
      </c>
    </row>
    <row r="26" spans="1:2" ht="50" customHeight="1">
      <c r="A26" s="43" t="s">
        <v>207</v>
      </c>
      <c r="B26" s="44" t="s">
        <v>208</v>
      </c>
    </row>
    <row r="27" spans="1:2" ht="50" customHeight="1">
      <c r="A27" s="43" t="s">
        <v>209</v>
      </c>
      <c r="B27" s="44" t="s">
        <v>210</v>
      </c>
    </row>
    <row r="28" spans="1:2" ht="8" customHeight="1">
      <c r="A28" s="47"/>
      <c r="B28" s="47"/>
    </row>
    <row r="29" spans="1:2" ht="50" customHeight="1">
      <c r="A29" s="43" t="s">
        <v>211</v>
      </c>
      <c r="B29" s="44" t="s">
        <v>212</v>
      </c>
    </row>
    <row r="30" spans="1:2" ht="50" customHeight="1">
      <c r="A30" s="43" t="s">
        <v>213</v>
      </c>
      <c r="B30" s="44" t="s">
        <v>214</v>
      </c>
    </row>
    <row r="31" spans="1:2" ht="50" customHeight="1">
      <c r="A31" s="43" t="s">
        <v>215</v>
      </c>
      <c r="B31" s="44" t="s">
        <v>216</v>
      </c>
    </row>
    <row r="32" spans="1:2" ht="50" customHeight="1">
      <c r="A32" s="43" t="s">
        <v>217</v>
      </c>
      <c r="B32" s="44" t="s">
        <v>218</v>
      </c>
    </row>
    <row r="33" spans="1:2" ht="50" customHeight="1">
      <c r="A33" s="43" t="s">
        <v>219</v>
      </c>
      <c r="B33" s="44" t="s">
        <v>220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Scenarios</vt:lpstr>
      <vt:lpstr>Sensitivity</vt:lpstr>
      <vt:lpstr>Historical</vt: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2026-02-17T21:02:49Z</dcterms:created>
  <dcterms:modified xsi:type="dcterms:W3CDTF">2026-02-17T21:02:49Z</dcterms:modified>
</cp:coreProperties>
</file>