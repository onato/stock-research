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<sst xmlns="http://schemas.openxmlformats.org/spreadsheetml/2006/main" count="114" uniqueCount="103">
  <si>
    <t>FIG DCF Valuation Model</t>
  </si>
  <si>
    <t>Gray cells are INPUTS - adjust to see valuation change</t>
  </si>
  <si>
    <t>Valuation Date: 2026-02-06 | All figures in thousands USD</t>
  </si>
  <si>
    <t>KEY INPUTS</t>
  </si>
  <si>
    <t>Current Stock Price</t>
  </si>
  <si>
    <t>Shares Outstanding (000s)</t>
  </si>
  <si>
    <t>Cash &amp; Equivalents (000s)</t>
  </si>
  <si>
    <t>Total Debt (000s)</t>
  </si>
  <si>
    <t>Net Debt (000s)</t>
  </si>
  <si>
    <t>Base Year FCF (000s)</t>
  </si>
  <si>
    <t>WACC</t>
  </si>
  <si>
    <t>Terminal Growth Rate</t>
  </si>
  <si>
    <t>GROWTH ASSUMPTIONS</t>
  </si>
  <si>
    <t>FCF Growth Rate</t>
  </si>
  <si>
    <t>Year 1</t>
  </si>
  <si>
    <t>Year 2</t>
  </si>
  <si>
    <t>Year 3</t>
  </si>
  <si>
    <t>Year 4</t>
  </si>
  <si>
    <t>Year 5</t>
  </si>
  <si>
    <t>PROJECTIONS</t>
  </si>
  <si>
    <t>Base</t>
  </si>
  <si>
    <t>Free Cash Flow</t>
  </si>
  <si>
    <t>Discount Factor</t>
  </si>
  <si>
    <t>PV of FCF</t>
  </si>
  <si>
    <t>VALUATION</t>
  </si>
  <si>
    <t>Sum of PV of FCF</t>
  </si>
  <si>
    <t>Terminal FCF (Year 5 *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</si>
  <si>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</si>
  <si>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</si>
  <si>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</si>
  <si>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</si>
  <si>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</si>
  <si>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</si>
  <si>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Upside to IV</t>
  </si>
  <si>
    <t>ENTRY PRICE (15% CAGR Target)</t>
  </si>
  <si>
    <t>Terminal Value per Share</t>
  </si>
  <si>
    <t>Entry Price (15% CAGR)</t>
  </si>
  <si>
    <t>Discount from Current</t>
  </si>
  <si>
    <t>NOTES &amp; ASSUMPTIONS</t>
  </si>
  <si>
    <t>Model Basis:</t>
  </si>
  <si>
    <t>Base Year FCF: FY2024 Adjusted FCF of $181.3M (24.2% margin)</t>
  </si>
  <si>
    <t>Historical: FY2023 Rev $505M → FY2024 Rev $749M (+48% YoY)</t>
  </si>
  <si>
    <t>FY2025 Guidance: ~$1.05B revenue (~40% YoY growth)</t>
  </si>
  <si>
    <t>FCF Margin Trend: 18.2% (FY2023) → 24.2% (FY2024) → 27.2% (9M FY2025)</t>
  </si>
  <si>
    <t>Balance Sheet: Zero debt, $1.58B net cash (as of Sep 2025)</t>
  </si>
  <si>
    <t>Growth Rate Rationale:</t>
  </si>
  <si>
    <t>Equity growth rates are not meaningful for Figma due to recent IPO (Oct 2024), convertible preferred stock conversions, massive SBC events (Q2 2024: $858M, Q3 2025: $1.14B), and IPO proceeds. Revenue CAGR is the most reliable growth indicator. FY2024 revenue grew 48% YoY, FY2025 guided ~40% YoY growth. FCF margins expanding rapidly from 18% (FY2023) to 24% (FY2024) to 27% (9M FY2025).</t>
  </si>
  <si>
    <t>Scenario Analysis</t>
  </si>
  <si>
    <t>Compare Base, Bull, and Bear cases</t>
  </si>
  <si>
    <t>Base Case</t>
  </si>
  <si>
    <t>Bull Case</t>
  </si>
  <si>
    <t>Bear Case</t>
  </si>
  <si>
    <t>ASSUMPTIONS</t>
  </si>
  <si>
    <t>Year 1 Growth</t>
  </si>
  <si>
    <t>Year 5 Growth</t>
  </si>
  <si>
    <t>Terminal FCF Margin</t>
  </si>
  <si>
    <t>Terminal Growth</t>
  </si>
  <si>
    <t>VALUATION RESULTS</t>
  </si>
  <si>
    <t>Intrinsic Value/Share</t>
  </si>
  <si>
    <t>Upside/Downside</t>
  </si>
  <si>
    <t>Entry Discount</t>
  </si>
  <si>
    <t>PROBABILITY WEIGHTED</t>
  </si>
  <si>
    <t>Bull Weight</t>
  </si>
  <si>
    <t>Base Weight</t>
  </si>
  <si>
    <t>Bear Weight</t>
  </si>
  <si>
    <t>Weighted Intrinsic Value</t>
  </si>
  <si>
    <t>SCENARIO RATIONALE</t>
  </si>
  <si>
    <t>Base Case:</t>
  </si>
  <si>
    <t>Revenue growth decelerates from ~40% toward mature SaaS levels as market penetration increases. FCF margins expand modestly as operational leverage improves and SBC normalizes post-IPO.</t>
  </si>
  <si>
    <t>Bull Case:</t>
  </si>
  <si>
    <t>AI-powered design tools drive significant market expansion. FigJam and Dev Mode reach maturity. Enterprise adoption accelerates. International expansion successful. FCF margins reach best-in-class SaaS levels (35-40%) as SBC normalizes.</t>
  </si>
  <si>
    <t>Bear Case:</t>
  </si>
  <si>
    <t>AI disruption from competitors (Adobe Firefly, Canva AI, Microsoft Designer) erodes market share. Economic slowdown impacts enterprise spending. Customer churn increases. Pricing pressure from AI-native competitors. SBC remains elevated to retain talent.</t>
  </si>
  <si>
    <t>Sensitivity Analysis</t>
  </si>
  <si>
    <t>Intrinsic Value by WACC &amp; Terminal Growth (Base Case)</t>
  </si>
  <si>
    <t>WACC \ Term G</t>
  </si>
  <si>
    <t>Current Price: $22.2</t>
  </si>
  <si>
    <t>Green cells = upside | Red cells = downside</t>
  </si>
  <si>
    <t>Historical Financial Data</t>
  </si>
  <si>
    <t>Source: FIG_Metrics.csv</t>
  </si>
  <si>
    <t>GROWTH RATES</t>
  </si>
  <si>
    <t>Metric</t>
  </si>
  <si>
    <t>CAGR</t>
  </si>
  <si>
    <t>Notes</t>
  </si>
  <si>
    <t>Revenue 2-Year</t>
  </si>
  <si>
    <t>FY2023 → FY2024</t>
  </si>
  <si>
    <t>Revenue 4-Year</t>
  </si>
  <si>
    <t>Historical avg</t>
  </si>
  <si>
    <t>FCF 2-Year</t>
  </si>
  <si>
    <t>Adjusted FCF</t>
  </si>
  <si>
    <t>Selected Growth Rate:</t>
  </si>
  <si>
    <t>Source:</t>
  </si>
  <si>
    <t>revenue_guided_growth_fy2025</t>
  </si>
  <si>
    <t>GROWTH DIVERGENCE WARNING</t>
  </si>
  <si>
    <t>KEY FINANCIALS (FY2024)</t>
  </si>
  <si>
    <t>Revenue</t>
  </si>
  <si>
    <t>FCF Margin</t>
  </si>
  <si>
    <t>Net Cash</t>
  </si>
  <si>
    <t>Shares Outstanding</t>
  </si>
  <si>
    <t>RECENT QUARTER (Q3 2025)</t>
  </si>
  <si>
    <t>FCF</t>
  </si>
  <si>
    <t>Note:</t>
  </si>
  <si>
    <t>Q3 2025 included $1.14B SBC expense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</si>
</sst>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&quot;$&quot;#,##0.00"/>
  </numFmts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DCB6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5" fillId="3" borderId="2" xfId="0" applyFont="1" applyFill="1" applyBorder="1"/>
    <xf numFmtId="0" fontId="6" fillId="0" borderId="0" xfId="0" applyFont="1"/>
    <xf numFmtId="166" fontId="5" fillId="4" borderId="2" xfId="0" applyNumberFormat="1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0" fontId="7" fillId="5" borderId="2" xfId="0" applyFont="1" applyFill="1" applyBorder="1" applyAlignment="1">
      <alignment wrapText="1"/>
    </xf>
    <xf numFmtId="165" fontId="5" fillId="3" borderId="0" xfId="0" applyNumberFormat="1" applyFont="1" applyFill="1"/>
  </cellXfs>
  <cellStyles count="1">
    <cellStyle name="Normal" xfId="0" builtinId="0"/>
  </cellStyles>
  <dxfs count="2">
    <dxf>
      <numFmt numFmtId="166" formatCode="&quot;$&quot;#,##0.00"/>
      <fill>
        <patternFill>
          <bgColor rgb="FFD5F4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&quot;$&quot;#,##0.00"/>
      <fill>
        <patternFill>
          <bgColor rgb="FFFAB1A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cols>
    <col min="1" max="1" width="30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s="3" t="s">
        <v>2</v>
      </c>
    </row>
    <row r="5" spans="1:6">
      <c r="A5" s="4" t="s">
        <v>3</v>
      </c>
    </row>
    <row r="6" spans="1:6">
      <c r="A6" t="s">
        <v>4</v>
      </c>
      <c r="B6" s="5">
        <v>22.2</v>
      </c>
    </row>
    <row r="7" spans="1:6">
      <c r="A7" t="s">
        <v>5</v>
      </c>
      <c r="B7" s="5">
        <v>492659</v>
      </c>
    </row>
    <row r="8" spans="1:6">
      <c r="A8" t="s">
        <v>6</v>
      </c>
      <c r="B8" s="5">
        <v>1577533</v>
      </c>
    </row>
    <row r="9" spans="1:6">
      <c r="A9" t="s">
        <v>7</v>
      </c>
      <c r="B9" s="5">
        <v>0</v>
      </c>
    </row>
    <row r="10" spans="1:6">
      <c r="A10" t="s">
        <v>8</v>
      </c>
      <c r="B10" s="6">
        <f>B9-B8</f>
        <v>0</v>
      </c>
    </row>
    <row r="11" spans="1:6">
      <c r="A11" t="s">
        <v>9</v>
      </c>
      <c r="B11" s="5">
        <v>181261</v>
      </c>
    </row>
    <row r="13" spans="1:6">
      <c r="A13" t="s">
        <v>10</v>
      </c>
      <c r="B13" s="7">
        <v>0.105</v>
      </c>
    </row>
    <row r="14" spans="1:6">
      <c r="A14" t="s">
        <v>11</v>
      </c>
      <c r="B14" s="7">
        <v>0.03</v>
      </c>
    </row>
    <row r="16" spans="1:6">
      <c r="A16" s="4" t="s">
        <v>12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spans="1:7">
      <c r="A17" t="s">
        <v>13</v>
      </c>
      <c r="B17" s="7">
        <v>0.35</v>
      </c>
      <c r="C17" s="7">
        <v>0.28</v>
      </c>
      <c r="D17" s="7">
        <v>0.22</v>
      </c>
      <c r="E17" s="7">
        <v>0.18</v>
      </c>
      <c r="F17" s="7">
        <v>0.15</v>
      </c>
    </row>
    <row r="19" spans="1:7">
      <c r="A19" s="4" t="s">
        <v>19</v>
      </c>
    </row>
    <row r="20" spans="1:7">
      <c r="A20" s="8"/>
      <c r="B20" s="8" t="s">
        <v>20</v>
      </c>
      <c r="C20" s="8" t="s">
        <v>14</v>
      </c>
      <c r="D20" s="8" t="s">
        <v>15</v>
      </c>
      <c r="E20" s="8" t="s">
        <v>16</v>
      </c>
      <c r="F20" s="8" t="s">
        <v>17</v>
      </c>
      <c r="G20" s="8" t="s">
        <v>18</v>
      </c>
    </row>
    <row r="21" spans="1:7">
      <c r="A21" t="s">
        <v>21</v>
      </c>
      <c r="B21" s="6">
        <f>B11</f>
        <v>0</v>
      </c>
      <c r="C21" s="6">
        <f>B21*(1+B17)</f>
        <v>0</v>
      </c>
      <c r="D21" s="6">
        <f>C21*(1+C17)</f>
        <v>0</v>
      </c>
      <c r="E21" s="6">
        <f>D21*(1+D17)</f>
        <v>0</v>
      </c>
      <c r="F21" s="6">
        <f>E21*(1+E17)</f>
        <v>0</v>
      </c>
      <c r="G21" s="6">
        <f>F21*(1+F17)</f>
        <v>0</v>
      </c>
    </row>
    <row r="22" spans="1:7">
      <c r="A22" t="s">
        <v>22</v>
      </c>
      <c r="C22" s="6">
        <f>1/(1+$B$13)^1</f>
        <v>0</v>
      </c>
      <c r="D22" s="6">
        <f>1/(1+$B$13)^2</f>
        <v>0</v>
      </c>
      <c r="E22" s="6">
        <f>1/(1+$B$13)^3</f>
        <v>0</v>
      </c>
      <c r="F22" s="6">
        <f>1/(1+$B$13)^4</f>
        <v>0</v>
      </c>
      <c r="G22" s="6">
        <f>1/(1+$B$13)^5</f>
        <v>0</v>
      </c>
    </row>
    <row r="23" spans="1:7">
      <c r="A23" t="s">
        <v>23</v>
      </c>
      <c r="C23" s="6">
        <f>C21*C22</f>
        <v>0</v>
      </c>
      <c r="D23" s="6">
        <f>D21*D22</f>
        <v>0</v>
      </c>
      <c r="E23" s="6">
        <f>E21*E22</f>
        <v>0</v>
      </c>
      <c r="F23" s="6">
        <f>F21*F22</f>
        <v>0</v>
      </c>
      <c r="G23" s="6">
        <f>G21*G22</f>
        <v>0</v>
      </c>
    </row>
    <row r="25" spans="1:7">
      <c r="A25" s="4" t="s">
        <v>24</v>
      </c>
    </row>
    <row r="26" spans="1:7">
      <c r="A26" t="s">
        <v>25</v>
      </c>
      <c r="B26" s="6">
        <f>SUM(C23:G23)</f>
        <v>0</v>
      </c>
    </row>
    <row r="27" spans="1:7">
      <c r="A27" t="s">
        <v>26</v>
      </c>
      <c r="B27" s="6">
        <f>G21*(1+$B$14)</f>
        <v>0</v>
      </c>
    </row>
    <row r="28" spans="1:7">
      <c r="A28" t="s">
        <v>27</v>
      </c>
      <c r="B28" s="6">
        <f>B27/($B$13-$B$14)</f>
        <v>0</v>
      </c>
    </row>
    <row r="29" spans="1:7">
      <c r="A29" t="s">
        <v>28</v>
      </c>
      <c r="B29" s="6">
        <f>B28*G22</f>
        <v>0</v>
      </c>
    </row>
    <row r="30" spans="1:7">
      <c r="A30" t="s">
        <v>29</v>
      </c>
      <c r="B30" s="6">
        <f>B26+B29</f>
        <v>0</v>
      </c>
    </row>
    <row r="31" spans="1:7">
      <c r="A31" t="s">
        <v>30</v>
      </c>
      <c r="B31" s="6">
        <f>B10</f>
        <v>0</v>
      </c>
    </row>
    <row r="32" spans="1:7">
      <c r="A32" t="s">
        <v>31</v>
      </c>
      <c r="B32" s="6">
        <f>B30-B31</f>
        <v>0</v>
      </c>
    </row>
    <row r="34" spans="1:2">
      <c r="A34" s="9" t="s">
        <v>32</v>
      </c>
      <c r="B34" s="10">
        <f>B32/B7</f>
        <v>0</v>
      </c>
    </row>
    <row r="35" spans="1:2">
      <c r="A35" t="s">
        <v>33</v>
      </c>
      <c r="B35" s="11">
        <f>(B34-B6)/B6</f>
        <v>0</v>
      </c>
    </row>
    <row r="37" spans="1:2">
      <c r="A37" s="4" t="s">
        <v>34</v>
      </c>
    </row>
    <row r="38" spans="1:2">
      <c r="A38" t="s">
        <v>35</v>
      </c>
      <c r="B38" s="12">
        <f>B28/B7</f>
        <v>0</v>
      </c>
    </row>
    <row r="39" spans="1:2">
      <c r="A39" t="s">
        <v>36</v>
      </c>
      <c r="B39" s="10">
        <f>B38/(1.15^5)</f>
        <v>0</v>
      </c>
    </row>
    <row r="40" spans="1:2">
      <c r="A40" t="s">
        <v>37</v>
      </c>
      <c r="B40" s="11">
        <f>(B39-B6)/B6</f>
        <v>0</v>
      </c>
    </row>
    <row r="42" spans="1:2">
      <c r="A42" s="4" t="s">
        <v>38</v>
      </c>
    </row>
    <row r="43" spans="1:2">
      <c r="A43" s="9" t="s">
        <v>39</v>
      </c>
    </row>
    <row r="44" spans="1:2">
      <c r="A44" s="3" t="s">
        <v>40</v>
      </c>
    </row>
    <row r="45" spans="1:2">
      <c r="A45" s="3" t="s">
        <v>41</v>
      </c>
    </row>
    <row r="46" spans="1:2">
      <c r="A46" s="3" t="s">
        <v>42</v>
      </c>
    </row>
    <row r="47" spans="1:2">
      <c r="A47" s="3" t="s">
        <v>43</v>
      </c>
    </row>
    <row r="48" spans="1:2">
      <c r="A48" s="3" t="s">
        <v>44</v>
      </c>
    </row>
    <row r="49" spans="1:8">
      <c r="A49" s="3"/>
    </row>
    <row r="50" spans="1:8">
      <c r="A50" s="9" t="s">
        <v>45</v>
      </c>
    </row>
    <row r="51" spans="1:8">
      <c r="A51" s="13" t="s">
        <v>46</v>
      </c>
      <c r="B51" s="13"/>
      <c r="C51" s="13"/>
      <c r="D51" s="13"/>
      <c r="E51" s="13"/>
      <c r="F51" s="13"/>
      <c r="G51" s="13"/>
      <c r="H51" s="13"/>
    </row>
    <row r="52" spans="1:8">
      <c r="A52" s="13"/>
      <c r="B52" s="13"/>
      <c r="C52" s="13"/>
      <c r="D52" s="13"/>
      <c r="E52" s="13"/>
      <c r="F52" s="13"/>
      <c r="G52" s="13"/>
      <c r="H52" s="13"/>
    </row>
    <row r="53" spans="1:8">
      <c r="A53" s="13"/>
      <c r="B53" s="13"/>
      <c r="C53" s="13"/>
      <c r="D53" s="13"/>
      <c r="E53" s="13"/>
      <c r="F53" s="13"/>
      <c r="G53" s="13"/>
      <c r="H53" s="13"/>
    </row>
  </sheetData>
  <mergeCells count="1">
    <mergeCell ref="A51:H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47</v>
      </c>
    </row>
    <row r="2" spans="1:4">
      <c r="A2" t="s">
        <v>48</v>
      </c>
    </row>
    <row r="4" spans="1:4">
      <c r="A4" s="8"/>
      <c r="B4" s="8" t="s">
        <v>49</v>
      </c>
      <c r="C4" s="8" t="s">
        <v>50</v>
      </c>
      <c r="D4" s="8" t="s">
        <v>51</v>
      </c>
    </row>
    <row r="5" spans="1:4">
      <c r="A5" s="4" t="s">
        <v>52</v>
      </c>
    </row>
    <row r="6" spans="1:4">
      <c r="A6" t="s">
        <v>53</v>
      </c>
      <c r="B6" s="11">
        <v>0.35</v>
      </c>
      <c r="C6" s="11">
        <v>0.42</v>
      </c>
      <c r="D6" s="11">
        <v>0.25</v>
      </c>
    </row>
    <row r="7" spans="1:4">
      <c r="A7" t="s">
        <v>54</v>
      </c>
      <c r="B7" s="11">
        <v>0.15</v>
      </c>
      <c r="C7" s="11">
        <v>0.24</v>
      </c>
      <c r="D7" s="11">
        <v>0.06</v>
      </c>
    </row>
    <row r="8" spans="1:4">
      <c r="A8" t="s">
        <v>55</v>
      </c>
      <c r="B8" s="11">
        <v>0.28</v>
      </c>
      <c r="C8" s="11">
        <v>0.32</v>
      </c>
      <c r="D8" s="11">
        <v>0.24</v>
      </c>
    </row>
    <row r="9" spans="1:4">
      <c r="A9" t="s">
        <v>10</v>
      </c>
      <c r="B9" s="11">
        <v>0.105</v>
      </c>
      <c r="C9" s="11">
        <v>0.095</v>
      </c>
      <c r="D9" s="11">
        <v>0.12</v>
      </c>
    </row>
    <row r="10" spans="1:4">
      <c r="A10" t="s">
        <v>56</v>
      </c>
      <c r="B10" s="11">
        <v>0.03</v>
      </c>
      <c r="C10" s="11">
        <v>0.035</v>
      </c>
      <c r="D10" s="11">
        <v>0.025</v>
      </c>
    </row>
    <row r="12" spans="1:4">
      <c r="A12" s="4" t="s">
        <v>57</v>
      </c>
    </row>
    <row r="13" spans="1:4">
      <c r="A13" t="s">
        <v>58</v>
      </c>
      <c r="B13" s="12">
        <v>25.54</v>
      </c>
      <c r="C13" s="12">
        <v>49.13</v>
      </c>
      <c r="D13" s="12">
        <v>12.91</v>
      </c>
    </row>
    <row r="14" spans="1:4">
      <c r="A14" t="s">
        <v>59</v>
      </c>
      <c r="B14" s="11">
        <v>0.15</v>
      </c>
      <c r="C14" s="11">
        <v>1.213</v>
      </c>
      <c r="D14" s="11">
        <v>-0.418</v>
      </c>
    </row>
    <row r="16" spans="1:4">
      <c r="A16" t="s">
        <v>36</v>
      </c>
      <c r="B16" s="12">
        <v>14.11</v>
      </c>
      <c r="C16" s="12">
        <v>29.87</v>
      </c>
      <c r="D16" s="12">
        <v>5.81</v>
      </c>
    </row>
    <row r="17" spans="1:4">
      <c r="A17" t="s">
        <v>60</v>
      </c>
      <c r="B17" s="11">
        <v>-0.364</v>
      </c>
      <c r="C17" s="11">
        <v>0.346</v>
      </c>
      <c r="D17" s="11">
        <v>-0.738</v>
      </c>
    </row>
    <row r="19" spans="1:4">
      <c r="A19" s="4" t="s">
        <v>61</v>
      </c>
    </row>
    <row r="20" spans="1:4">
      <c r="A20" t="s">
        <v>62</v>
      </c>
      <c r="B20" s="11">
        <v>0.25</v>
      </c>
    </row>
    <row r="21" spans="1:4">
      <c r="A21" t="s">
        <v>63</v>
      </c>
      <c r="B21" s="11">
        <v>0.5</v>
      </c>
    </row>
    <row r="22" spans="1:4">
      <c r="A22" t="s">
        <v>64</v>
      </c>
      <c r="B22" s="11">
        <v>0.25</v>
      </c>
    </row>
    <row r="24" spans="1:4">
      <c r="A24" t="s">
        <v>65</v>
      </c>
      <c r="B24" s="10">
        <v>28.61</v>
      </c>
    </row>
    <row r="26" spans="1:4">
      <c r="A26" s="4" t="s">
        <v>66</v>
      </c>
    </row>
    <row r="27" spans="1:4">
      <c r="A27" s="9" t="s">
        <v>67</v>
      </c>
    </row>
    <row r="28" spans="1:4">
      <c r="A28" s="3" t="s">
        <v>68</v>
      </c>
      <c r="B28" s="3"/>
      <c r="C28" s="3"/>
      <c r="D28" s="3"/>
    </row>
    <row r="29" spans="1:4">
      <c r="A29" s="3"/>
      <c r="B29" s="3"/>
      <c r="C29" s="3"/>
      <c r="D29" s="3"/>
    </row>
    <row r="30" spans="1:4">
      <c r="A30" s="9" t="s">
        <v>69</v>
      </c>
    </row>
    <row r="31" spans="1:4">
      <c r="A31" s="3" t="s">
        <v>70</v>
      </c>
      <c r="B31" s="3"/>
      <c r="C31" s="3"/>
      <c r="D31" s="3"/>
    </row>
    <row r="32" spans="1:4">
      <c r="A32" s="3"/>
      <c r="B32" s="3"/>
      <c r="C32" s="3"/>
      <c r="D32" s="3"/>
    </row>
    <row r="33" spans="1:4">
      <c r="A33" s="9" t="s">
        <v>71</v>
      </c>
    </row>
    <row r="34" spans="1:4">
      <c r="A34" s="3" t="s">
        <v>72</v>
      </c>
      <c r="B34" s="3"/>
      <c r="C34" s="3"/>
      <c r="D34" s="3"/>
    </row>
    <row r="35" spans="1:4">
      <c r="A35" s="3"/>
      <c r="B35" s="3"/>
      <c r="C35" s="3"/>
      <c r="D35" s="3"/>
    </row>
  </sheetData>
  <mergeCells count="3">
    <mergeCell ref="A28:D29"/>
    <mergeCell ref="A31:D32"/>
    <mergeCell ref="A34:D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73</v>
      </c>
    </row>
    <row r="2" spans="1:6">
      <c r="A2" t="s">
        <v>74</v>
      </c>
    </row>
    <row r="4" spans="1:6">
      <c r="A4" s="8" t="s">
        <v>75</v>
      </c>
      <c r="B4" s="14">
        <v>0.02</v>
      </c>
      <c r="C4" s="14">
        <v>0.025</v>
      </c>
      <c r="D4" s="14">
        <v>0.03</v>
      </c>
      <c r="E4" s="14">
        <v>0.035</v>
      </c>
      <c r="F4" s="14">
        <v>0.04</v>
      </c>
    </row>
    <row r="5" spans="1:6">
      <c r="A5" s="14">
        <v>0.08500000000000001</v>
      </c>
      <c r="B5" s="12">
        <v>35.89</v>
      </c>
      <c r="C5" s="12">
        <v>38.76</v>
      </c>
      <c r="D5" s="12">
        <v>42.23</v>
      </c>
      <c r="E5" s="12">
        <v>46.52</v>
      </c>
      <c r="F5" s="12">
        <v>51.95</v>
      </c>
    </row>
    <row r="6" spans="1:6">
      <c r="A6" s="14">
        <v>0.095</v>
      </c>
      <c r="B6" s="12">
        <v>29.63</v>
      </c>
      <c r="C6" s="12">
        <v>31.65</v>
      </c>
      <c r="D6" s="12">
        <v>34.05</v>
      </c>
      <c r="E6" s="12">
        <v>36.92</v>
      </c>
      <c r="F6" s="12">
        <v>40.43</v>
      </c>
    </row>
    <row r="7" spans="1:6">
      <c r="A7" s="14">
        <v>0.105</v>
      </c>
      <c r="B7" s="12">
        <v>25.05</v>
      </c>
      <c r="C7" s="12">
        <v>26.56</v>
      </c>
      <c r="D7" s="12">
        <v>28.38</v>
      </c>
      <c r="E7" s="12">
        <v>30.57</v>
      </c>
      <c r="F7" s="12">
        <v>33.24</v>
      </c>
    </row>
    <row r="8" spans="1:6">
      <c r="A8" s="14">
        <v>0.115</v>
      </c>
      <c r="B8" s="12">
        <v>21.52</v>
      </c>
      <c r="C8" s="12">
        <v>22.67</v>
      </c>
      <c r="D8" s="12">
        <v>24.04</v>
      </c>
      <c r="E8" s="12">
        <v>25.68</v>
      </c>
      <c r="F8" s="12">
        <v>27.66</v>
      </c>
    </row>
    <row r="9" spans="1:6">
      <c r="A9" s="14">
        <v>0.125</v>
      </c>
      <c r="B9" s="12">
        <v>18.72</v>
      </c>
      <c r="C9" s="12">
        <v>19.62</v>
      </c>
      <c r="D9" s="12">
        <v>20.68</v>
      </c>
      <c r="E9" s="12">
        <v>21.94</v>
      </c>
      <c r="F9" s="12">
        <v>23.44</v>
      </c>
    </row>
    <row r="11" spans="1:6">
      <c r="A11" s="9" t="s">
        <v>76</v>
      </c>
    </row>
    <row r="12" spans="1:6">
      <c r="A12" t="s">
        <v>77</v>
      </c>
    </row>
  </sheetData>
  <conditionalFormatting sqref="B5:F9">
    <cfRule type="cellIs" dxfId="0" priority="1" operator="greaterThan">
      <formula>22.2</formula>
    </cfRule>
    <cfRule type="cellIs" dxfId="1" priority="2" operator="lessThanOrEqual">
      <formula>22.2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78</v>
      </c>
    </row>
    <row r="2" spans="1:4">
      <c r="A2" t="s">
        <v>79</v>
      </c>
    </row>
    <row r="4" spans="1:4">
      <c r="A4" s="4" t="s">
        <v>80</v>
      </c>
    </row>
    <row r="5" spans="1:4">
      <c r="A5" s="8" t="s">
        <v>81</v>
      </c>
      <c r="B5" s="8" t="s">
        <v>82</v>
      </c>
      <c r="C5" s="8" t="s">
        <v>83</v>
      </c>
    </row>
    <row r="6" spans="1:4">
      <c r="A6" t="s">
        <v>84</v>
      </c>
      <c r="B6" s="11">
        <v>0.483</v>
      </c>
      <c r="C6" t="s">
        <v>85</v>
      </c>
    </row>
    <row r="7" spans="1:4">
      <c r="A7" t="s">
        <v>86</v>
      </c>
      <c r="B7" s="11">
        <v>0.53</v>
      </c>
      <c r="C7" t="s">
        <v>87</v>
      </c>
    </row>
    <row r="8" spans="1:4">
      <c r="A8" t="s">
        <v>88</v>
      </c>
      <c r="B8" s="11">
        <v>0.9740000000000001</v>
      </c>
      <c r="C8" t="s">
        <v>89</v>
      </c>
    </row>
    <row r="10" spans="1:4">
      <c r="A10" s="9" t="s">
        <v>90</v>
      </c>
      <c r="B10" s="11">
        <v>0.4</v>
      </c>
    </row>
    <row r="11" spans="1:4">
      <c r="A11" t="s">
        <v>91</v>
      </c>
      <c r="B11" t="s">
        <v>92</v>
      </c>
    </row>
    <row r="13" spans="1:4">
      <c r="A13" s="4" t="s">
        <v>93</v>
      </c>
    </row>
    <row r="14" spans="1:4">
      <c r="A14" s="13" t="s">
        <v>46</v>
      </c>
      <c r="B14" s="13"/>
      <c r="C14" s="13"/>
      <c r="D14" s="13"/>
    </row>
    <row r="15" spans="1:4">
      <c r="A15" s="13"/>
      <c r="B15" s="13"/>
      <c r="C15" s="13"/>
      <c r="D15" s="13"/>
    </row>
    <row r="16" spans="1:4">
      <c r="A16" s="13"/>
      <c r="B16" s="13"/>
      <c r="C16" s="13"/>
      <c r="D16" s="13"/>
    </row>
    <row r="17" spans="1:4">
      <c r="A17" s="13"/>
      <c r="B17" s="13"/>
      <c r="C17" s="13"/>
      <c r="D17" s="13"/>
    </row>
    <row r="19" spans="1:4">
      <c r="A19" s="4" t="s">
        <v>94</v>
      </c>
    </row>
    <row r="20" spans="1:4">
      <c r="A20" t="s">
        <v>95</v>
      </c>
      <c r="B20" s="6">
        <v>749011</v>
      </c>
    </row>
    <row r="21" spans="1:4">
      <c r="A21" t="s">
        <v>89</v>
      </c>
      <c r="B21" s="6">
        <v>181261</v>
      </c>
    </row>
    <row r="22" spans="1:4">
      <c r="A22" t="s">
        <v>96</v>
      </c>
      <c r="B22" s="11">
        <v>0.242</v>
      </c>
    </row>
    <row r="23" spans="1:4">
      <c r="A23" t="s">
        <v>97</v>
      </c>
      <c r="B23" s="6">
        <v>1457837</v>
      </c>
    </row>
    <row r="24" spans="1:4">
      <c r="A24" t="s">
        <v>98</v>
      </c>
      <c r="B24" s="6">
        <v>214906</v>
      </c>
    </row>
    <row r="26" spans="1:4">
      <c r="A26" s="4" t="s">
        <v>99</v>
      </c>
    </row>
    <row r="27" spans="1:4">
      <c r="A27" t="s">
        <v>95</v>
      </c>
      <c r="B27" s="6">
        <v>274173</v>
      </c>
    </row>
    <row r="28" spans="1:4">
      <c r="A28" t="s">
        <v>100</v>
      </c>
      <c r="B28" s="6">
        <v>49047</v>
      </c>
    </row>
    <row r="29" spans="1:4">
      <c r="A29" t="s">
        <v>96</v>
      </c>
      <c r="B29" s="11">
        <v>0.179</v>
      </c>
    </row>
    <row r="30" spans="1:4">
      <c r="A30" t="s">
        <v>101</v>
      </c>
      <c r="B30" s="3" t="s">
        <v>102</v>
      </c>
    </row>
  </sheetData>
  <mergeCells count="1">
    <mergeCell ref="A14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2026-02-06T04:24:21Z</dcterms:created>
  <dcterms:modified xsi:type="dcterms:W3CDTF">2026-02-06T04:24:21Z</dcterms:modified>
</cp:coreProperties>
</file>