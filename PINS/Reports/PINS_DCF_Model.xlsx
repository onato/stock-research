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Bull &amp; Bear Scenarios" sheetId="2" state="visible" r:id="rId2"/>
    <sheet xmlns:r="http://schemas.openxmlformats.org/officeDocument/2006/relationships" name="Sensitivity Analysis" sheetId="3" state="visible" r:id="rId3"/>
    <sheet xmlns:r="http://schemas.openxmlformats.org/officeDocument/2006/relationships" name="Historical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#,##0.0"/>
    <numFmt numFmtId="166" formatCode="0.0%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rgb="FF2D3436"/>
      <sz val="16"/>
      <scheme val="minor"/>
    </font>
    <font>
      <name val="Calibri"/>
      <family val="2"/>
      <i val="1"/>
      <color rgb="FF636E72"/>
      <sz val="10"/>
      <scheme val="minor"/>
    </font>
    <font>
      <name val="Calibri"/>
      <family val="2"/>
      <b val="1"/>
      <color rgb="FF2D3436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0B894"/>
      <sz val="11"/>
      <scheme val="minor"/>
    </font>
    <font>
      <name val="Calibri"/>
      <family val="2"/>
      <i val="1"/>
      <color rgb="FF636E72"/>
      <sz val="9"/>
      <scheme val="minor"/>
    </font>
    <font>
      <name val="Calibri"/>
      <family val="2"/>
      <b val="1"/>
      <color rgb="FF00B894"/>
      <sz val="13"/>
      <scheme val="minor"/>
    </font>
    <font>
      <name val="Calibri"/>
      <family val="2"/>
      <b val="1"/>
      <color rgb="FFD63031"/>
      <sz val="13"/>
      <scheme val="minor"/>
    </font>
    <font>
      <name val="Calibri"/>
      <family val="2"/>
      <color rgb="FFB2BEC3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2D3436"/>
      <sz val="11"/>
      <scheme val="minor"/>
    </font>
    <font>
      <name val="Calibri"/>
      <family val="2"/>
      <i val="1"/>
      <color rgb="FFB2BEC3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B2F5D7"/>
        <bgColor indexed="64"/>
      </patternFill>
    </fill>
    <fill>
      <patternFill patternType="solid">
        <fgColor rgb="FFFAB1A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164" fontId="0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0" fontId="4" fillId="7" borderId="2" applyAlignment="1" pivotButton="0" quotePrefix="0" xfId="0">
      <alignment horizontal="center"/>
    </xf>
    <xf numFmtId="165" fontId="0" fillId="3" borderId="2" applyAlignment="1" pivotButton="0" quotePrefix="0" xfId="0">
      <alignment horizontal="right"/>
    </xf>
    <xf numFmtId="0" fontId="0" fillId="2" borderId="2" applyAlignment="1" pivotButton="0" quotePrefix="0" xfId="0">
      <alignment horizontal="left"/>
    </xf>
    <xf numFmtId="0" fontId="0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66" fontId="0" fillId="3" borderId="2" applyAlignment="1" pivotButton="0" quotePrefix="0" xfId="0">
      <alignment horizontal="right"/>
    </xf>
    <xf numFmtId="0" fontId="4" fillId="4" borderId="2" pivotButton="0" quotePrefix="0" xfId="0"/>
    <xf numFmtId="0" fontId="4" fillId="4" borderId="2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6" fontId="6" fillId="0" borderId="2" applyAlignment="1" pivotButton="0" quotePrefix="0" xfId="0">
      <alignment horizontal="right"/>
    </xf>
    <xf numFmtId="164" fontId="4" fillId="5" borderId="2" applyAlignment="1" pivotButton="0" quotePrefix="0" xfId="0">
      <alignment horizontal="right"/>
    </xf>
    <xf numFmtId="166" fontId="0" fillId="0" borderId="2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 indent="1"/>
    </xf>
    <xf numFmtId="0" fontId="10" fillId="0" borderId="2" applyAlignment="1" pivotButton="0" quotePrefix="0" xfId="0">
      <alignment horizontal="center"/>
    </xf>
    <xf numFmtId="164" fontId="0" fillId="8" borderId="2" applyAlignment="1" pivotButton="0" quotePrefix="0" xfId="0">
      <alignment horizontal="right"/>
    </xf>
    <xf numFmtId="0" fontId="11" fillId="6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12" fillId="9" borderId="2" applyAlignment="1" pivotButton="0" quotePrefix="0" xfId="0">
      <alignment horizontal="center"/>
    </xf>
    <xf numFmtId="0" fontId="12" fillId="3" borderId="2" applyAlignment="1" pivotButton="0" quotePrefix="0" xfId="0">
      <alignment horizontal="center"/>
    </xf>
    <xf numFmtId="0" fontId="12" fillId="10" borderId="2" applyAlignment="1" pivotButton="0" quotePrefix="0" xfId="0">
      <alignment horizontal="center"/>
    </xf>
    <xf numFmtId="166" fontId="0" fillId="9" borderId="2" applyAlignment="1" pivotButton="0" quotePrefix="0" xfId="0">
      <alignment horizontal="right"/>
    </xf>
    <xf numFmtId="0" fontId="13" fillId="0" borderId="2" applyAlignment="1" pivotButton="0" quotePrefix="0" xfId="0">
      <alignment horizontal="center"/>
    </xf>
    <xf numFmtId="166" fontId="4" fillId="6" borderId="2" applyAlignment="1" pivotButton="0" quotePrefix="0" xfId="0">
      <alignment horizontal="right"/>
    </xf>
    <xf numFmtId="0" fontId="4" fillId="6" borderId="2" pivotButton="0" quotePrefix="0" xfId="0"/>
    <xf numFmtId="0" fontId="3" fillId="0" borderId="1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tabSelected="1" zoomScale="90" zoomScaleNormal="90" workbookViewId="0">
      <selection activeCell="A1" sqref="A1"/>
    </sheetView>
  </sheetViews>
  <sheetFormatPr baseColWidth="8" defaultRowHeight="15"/>
  <cols>
    <col width="28.7109375" customWidth="1" min="1" max="1"/>
    <col width="14.7109375" customWidth="1" min="2" max="2"/>
    <col width="13.7109375" customWidth="1" min="3" max="7"/>
    <col width="2.7109375" customWidth="1" min="8" max="8"/>
    <col width="22.7109375" customWidth="1" min="9" max="9"/>
    <col width="14.7109375" customWidth="1" min="10" max="10"/>
    <col width="13.7109375" customWidth="1" min="11" max="12"/>
  </cols>
  <sheetData>
    <row r="1">
      <c r="A1" s="1" t="inlineStr">
        <is>
          <t>Pinterest, Inc. (PINS)</t>
        </is>
      </c>
    </row>
    <row r="2">
      <c r="A2" s="2" t="inlineStr">
        <is>
          <t>Discounted Cash Flow Model  |  Gray cells are inputs — adjust to see results update automatically</t>
        </is>
      </c>
    </row>
    <row r="3">
      <c r="A3" s="2" t="inlineStr">
        <is>
          <t>Valuation Date: 2026-06-30  |  All figures in USD millions unless noted</t>
        </is>
      </c>
    </row>
    <row r="5">
      <c r="A5" s="3" t="inlineStr">
        <is>
          <t>KEY INPUTS</t>
        </is>
      </c>
      <c r="B5" s="3" t="n"/>
      <c r="C5" s="3" t="n"/>
      <c r="D5" s="3" t="n"/>
      <c r="E5" s="3" t="n"/>
      <c r="F5" s="3" t="n"/>
      <c r="G5" s="3" t="n"/>
      <c r="H5" s="3" t="n"/>
      <c r="I5" s="3" t="inlineStr">
        <is>
          <t>SCENARIO COMPARISON</t>
        </is>
      </c>
      <c r="J5" s="3" t="n"/>
      <c r="K5" s="3" t="n"/>
      <c r="L5" s="3" t="n"/>
    </row>
    <row r="6">
      <c r="A6" t="inlineStr">
        <is>
          <t>Current Stock Price ($)</t>
        </is>
      </c>
      <c r="B6" s="4" t="n">
        <v>21.88</v>
      </c>
      <c r="I6" s="5" t="inlineStr">
        <is>
          <t>Metric</t>
        </is>
      </c>
      <c r="J6" s="6" t="inlineStr">
        <is>
          <t>Base Case</t>
        </is>
      </c>
      <c r="K6" s="7" t="inlineStr">
        <is>
          <t>Bull Case</t>
        </is>
      </c>
      <c r="L6" s="8" t="inlineStr">
        <is>
          <t>Bear Case</t>
        </is>
      </c>
    </row>
    <row r="7">
      <c r="A7" t="inlineStr">
        <is>
          <t>Shares Outstanding (M)</t>
        </is>
      </c>
      <c r="B7" s="9" t="n">
        <v>575</v>
      </c>
      <c r="I7" s="10" t="inlineStr">
        <is>
          <t>WACC</t>
        </is>
      </c>
      <c r="J7" s="11" t="inlineStr">
        <is>
          <t>10%</t>
        </is>
      </c>
      <c r="K7" s="11" t="inlineStr">
        <is>
          <t>9%</t>
        </is>
      </c>
      <c r="L7" s="11" t="inlineStr">
        <is>
          <t>12%</t>
        </is>
      </c>
    </row>
    <row r="8">
      <c r="A8" t="inlineStr">
        <is>
          <t>Cash &amp; Equivalents (M)</t>
        </is>
      </c>
      <c r="B8" s="9" t="n">
        <v>1298.6</v>
      </c>
      <c r="I8" s="12" t="inlineStr">
        <is>
          <t>Terminal Growth</t>
        </is>
      </c>
      <c r="J8" s="13" t="inlineStr">
        <is>
          <t>3%</t>
        </is>
      </c>
      <c r="K8" s="13" t="inlineStr">
        <is>
          <t>3.5%</t>
        </is>
      </c>
      <c r="L8" s="13" t="inlineStr">
        <is>
          <t>2.5%</t>
        </is>
      </c>
    </row>
    <row r="9">
      <c r="A9" t="inlineStr">
        <is>
          <t>Total Debt (M)</t>
        </is>
      </c>
      <c r="B9" s="9" t="n">
        <v>980.2</v>
      </c>
      <c r="I9" s="10" t="inlineStr">
        <is>
          <t>Y1 Rev Growth</t>
        </is>
      </c>
      <c r="J9" s="11" t="inlineStr">
        <is>
          <t>14%</t>
        </is>
      </c>
      <c r="K9" s="11" t="inlineStr">
        <is>
          <t>17%</t>
        </is>
      </c>
      <c r="L9" s="11" t="inlineStr">
        <is>
          <t>9%</t>
        </is>
      </c>
    </row>
    <row r="10">
      <c r="A10" t="inlineStr">
        <is>
          <t>Net Debt (M)  [Debt - Cash]</t>
        </is>
      </c>
      <c r="B10" s="14">
        <f>B9-B8</f>
        <v/>
      </c>
      <c r="I10" s="12" t="inlineStr">
        <is>
          <t>Y5 Rev Growth</t>
        </is>
      </c>
      <c r="J10" s="13" t="inlineStr">
        <is>
          <t>8%</t>
        </is>
      </c>
      <c r="K10" s="13" t="inlineStr">
        <is>
          <t>11%</t>
        </is>
      </c>
      <c r="L10" s="13" t="inlineStr">
        <is>
          <t>6%</t>
        </is>
      </c>
    </row>
    <row r="11">
      <c r="A11" t="inlineStr">
        <is>
          <t>Base Year FCF (M)</t>
        </is>
      </c>
      <c r="B11" s="9" t="n">
        <v>1251.9</v>
      </c>
      <c r="I11" s="10" t="inlineStr">
        <is>
          <t>Y5 FCF Margin</t>
        </is>
      </c>
      <c r="J11" s="11" t="inlineStr">
        <is>
          <t>33%</t>
        </is>
      </c>
      <c r="K11" s="11" t="inlineStr">
        <is>
          <t>35%</t>
        </is>
      </c>
      <c r="L11" s="11" t="inlineStr">
        <is>
          <t>29%</t>
        </is>
      </c>
    </row>
    <row r="12">
      <c r="A12" t="inlineStr">
        <is>
          <t>Base Year Revenue (M)</t>
        </is>
      </c>
      <c r="B12" s="9" t="n">
        <v>4221.8</v>
      </c>
      <c r="I12" s="12" t="inlineStr">
        <is>
          <t>Y5 Revenue ($M)</t>
        </is>
      </c>
      <c r="J12" s="13" t="inlineStr">
        <is>
          <t>$6,980</t>
        </is>
      </c>
      <c r="K12" s="13" t="inlineStr">
        <is>
          <t>$8,193</t>
        </is>
      </c>
      <c r="L12" s="13" t="inlineStr">
        <is>
          <t>$6,088</t>
        </is>
      </c>
    </row>
    <row r="13">
      <c r="I13" s="10" t="inlineStr">
        <is>
          <t>Y5 FCF ($M)</t>
        </is>
      </c>
      <c r="J13" s="11" t="inlineStr">
        <is>
          <t>$2,303</t>
        </is>
      </c>
      <c r="K13" s="11" t="inlineStr">
        <is>
          <t>$2,868</t>
        </is>
      </c>
      <c r="L13" s="11" t="inlineStr">
        <is>
          <t>$1,766</t>
        </is>
      </c>
    </row>
    <row r="14">
      <c r="A14" t="inlineStr">
        <is>
          <t>WACC</t>
        </is>
      </c>
      <c r="B14" s="15" t="n">
        <v>0.1</v>
      </c>
      <c r="I14" s="12" t="inlineStr">
        <is>
          <t>Terminal Value ($M)</t>
        </is>
      </c>
      <c r="J14" s="13" t="inlineStr">
        <is>
          <t>$33,893</t>
        </is>
      </c>
      <c r="K14" s="13" t="inlineStr">
        <is>
          <t>$53,963</t>
        </is>
      </c>
      <c r="L14" s="13" t="inlineStr">
        <is>
          <t>$19,049</t>
        </is>
      </c>
    </row>
    <row r="15">
      <c r="A15" t="inlineStr">
        <is>
          <t>Terminal Growth Rate</t>
        </is>
      </c>
      <c r="B15" s="15" t="n">
        <v>0.03</v>
      </c>
      <c r="I15" s="10" t="inlineStr">
        <is>
          <t>Enterprise Value ($M)</t>
        </is>
      </c>
      <c r="J15" s="11" t="inlineStr">
        <is>
          <t>$28,006</t>
        </is>
      </c>
      <c r="K15" s="11" t="inlineStr">
        <is>
          <t>$43,325</t>
        </is>
      </c>
      <c r="L15" s="11" t="inlineStr">
        <is>
          <t>$16,236</t>
        </is>
      </c>
    </row>
    <row r="16">
      <c r="I16" s="12" t="inlineStr">
        <is>
          <t>Intrinsic Value/Share</t>
        </is>
      </c>
      <c r="J16" s="13" t="inlineStr">
        <is>
          <t>$42.24</t>
        </is>
      </c>
      <c r="K16" s="13" t="inlineStr">
        <is>
          <t>$64.77</t>
        </is>
      </c>
      <c r="L16" s="13" t="inlineStr">
        <is>
          <t>$24.93</t>
        </is>
      </c>
    </row>
    <row r="17">
      <c r="A17" s="3" t="inlineStr">
        <is>
          <t>REVENUE GROWTH ASSUMPTIONS</t>
        </is>
      </c>
      <c r="B17" s="3" t="n"/>
      <c r="C17" s="3" t="n"/>
      <c r="D17" s="3" t="n"/>
      <c r="E17" s="3" t="n"/>
      <c r="F17" s="3" t="n"/>
      <c r="G17" s="3" t="n"/>
      <c r="H17" s="3" t="n"/>
      <c r="I17" s="10" t="inlineStr">
        <is>
          <t>Upside / (Downside)</t>
        </is>
      </c>
      <c r="J17" s="11" t="inlineStr">
        <is>
          <t>135.2%</t>
        </is>
      </c>
      <c r="K17" s="11" t="inlineStr">
        <is>
          <t>260.6%</t>
        </is>
      </c>
      <c r="L17" s="11" t="inlineStr">
        <is>
          <t>38.8%</t>
        </is>
      </c>
    </row>
    <row r="18">
      <c r="A18" s="5" t="n"/>
      <c r="B18" s="5" t="inlineStr">
        <is>
          <t>Y1 (2026)</t>
        </is>
      </c>
      <c r="C18" s="5" t="inlineStr">
        <is>
          <t>Y2 (2027)</t>
        </is>
      </c>
      <c r="D18" s="5" t="inlineStr">
        <is>
          <t>Y3 (2028)</t>
        </is>
      </c>
      <c r="E18" s="5" t="inlineStr">
        <is>
          <t>Y4 (2029)</t>
        </is>
      </c>
      <c r="F18" s="5" t="inlineStr">
        <is>
          <t>Y5 (2030)</t>
        </is>
      </c>
      <c r="I18" s="12" t="inlineStr">
        <is>
          <t>Entry Price (15% CAGR)</t>
        </is>
      </c>
      <c r="J18" s="13" t="inlineStr">
        <is>
          <t>$24.78</t>
        </is>
      </c>
      <c r="K18" s="13" t="inlineStr">
        <is>
          <t>$39.45</t>
        </is>
      </c>
      <c r="L18" s="13" t="inlineStr">
        <is>
          <t>$13.93</t>
        </is>
      </c>
    </row>
    <row r="19">
      <c r="A19" t="inlineStr">
        <is>
          <t>Revenue Growth Rate</t>
        </is>
      </c>
      <c r="B19" s="15" t="n">
        <v>0.14</v>
      </c>
      <c r="C19" s="15" t="n">
        <v>0.12</v>
      </c>
      <c r="D19" s="15" t="n">
        <v>0.1</v>
      </c>
      <c r="E19" s="15" t="n">
        <v>0.09</v>
      </c>
      <c r="F19" s="15" t="n">
        <v>0.08</v>
      </c>
      <c r="I19" s="16" t="inlineStr">
        <is>
          <t>Prob. Weighted IV (25/50/25)</t>
        </is>
      </c>
      <c r="J19" s="17" t="inlineStr">
        <is>
          <t>$43.55</t>
        </is>
      </c>
      <c r="K19" s="5" t="inlineStr">
        <is>
          <t>Upside: 142.5%</t>
        </is>
      </c>
      <c r="L19" s="39" t="n"/>
    </row>
    <row r="20">
      <c r="A20" t="inlineStr">
        <is>
          <t>FCF Margin</t>
        </is>
      </c>
      <c r="B20" s="15" t="n">
        <v>0.3</v>
      </c>
      <c r="C20" s="15" t="n">
        <v>0.31</v>
      </c>
      <c r="D20" s="15" t="n">
        <v>0.32</v>
      </c>
      <c r="E20" s="15" t="n">
        <v>0.32</v>
      </c>
      <c r="F20" s="15" t="n">
        <v>0.33</v>
      </c>
    </row>
    <row r="22">
      <c r="A22" s="3" t="inlineStr">
        <is>
          <t>PROJECTIONS</t>
        </is>
      </c>
      <c r="B22" s="3" t="n"/>
      <c r="C22" s="3" t="n"/>
      <c r="D22" s="3" t="n"/>
      <c r="E22" s="3" t="n"/>
      <c r="F22" s="3" t="n"/>
      <c r="G22" s="3" t="n"/>
      <c r="H22" s="3" t="n"/>
    </row>
    <row r="23">
      <c r="A23" s="5" t="n"/>
      <c r="B23" s="5" t="inlineStr">
        <is>
          <t>Y1 (2026)</t>
        </is>
      </c>
      <c r="C23" s="5" t="inlineStr">
        <is>
          <t>Y2 (2027)</t>
        </is>
      </c>
      <c r="D23" s="5" t="inlineStr">
        <is>
          <t>Y3 (2028)</t>
        </is>
      </c>
      <c r="E23" s="5" t="inlineStr">
        <is>
          <t>Y4 (2029)</t>
        </is>
      </c>
      <c r="F23" s="5" t="inlineStr">
        <is>
          <t>Y5 (2030)</t>
        </is>
      </c>
    </row>
    <row r="24">
      <c r="A24" t="inlineStr">
        <is>
          <t>Revenue</t>
        </is>
      </c>
      <c r="B24" s="14">
        <f>$B$12*(1+B19)</f>
        <v/>
      </c>
      <c r="C24" s="14">
        <f>B24*(1+C19)</f>
        <v/>
      </c>
      <c r="D24" s="14">
        <f>C24*(1+D19)</f>
        <v/>
      </c>
      <c r="E24" s="14">
        <f>D24*(1+E19)</f>
        <v/>
      </c>
      <c r="F24" s="14">
        <f>E24*(1+F19)</f>
        <v/>
      </c>
    </row>
    <row r="25">
      <c r="A25" t="inlineStr">
        <is>
          <t>Free Cash Flow</t>
        </is>
      </c>
      <c r="B25" s="14">
        <f>B24*B20</f>
        <v/>
      </c>
      <c r="C25" s="14">
        <f>C24*C20</f>
        <v/>
      </c>
      <c r="D25" s="14">
        <f>D24*D20</f>
        <v/>
      </c>
      <c r="E25" s="14">
        <f>E24*E20</f>
        <v/>
      </c>
      <c r="F25" s="14">
        <f>F24*F20</f>
        <v/>
      </c>
    </row>
    <row r="26">
      <c r="A26" t="inlineStr">
        <is>
          <t>Discount Factor</t>
        </is>
      </c>
      <c r="B26" s="14">
        <f>1/(1+$B$14)^1</f>
        <v/>
      </c>
      <c r="C26" s="14">
        <f>1/(1+$B$14)^2</f>
        <v/>
      </c>
      <c r="D26" s="14">
        <f>1/(1+$B$14)^3</f>
        <v/>
      </c>
      <c r="E26" s="14">
        <f>1/(1+$B$14)^4</f>
        <v/>
      </c>
      <c r="F26" s="14">
        <f>1/(1+$B$14)^5</f>
        <v/>
      </c>
    </row>
    <row r="27">
      <c r="A27" t="inlineStr">
        <is>
          <t>PV of Free Cash Flow</t>
        </is>
      </c>
      <c r="B27" s="14">
        <f>B25*B26</f>
        <v/>
      </c>
      <c r="C27" s="14">
        <f>C25*C26</f>
        <v/>
      </c>
      <c r="D27" s="14">
        <f>D25*D26</f>
        <v/>
      </c>
      <c r="E27" s="14">
        <f>E25*E26</f>
        <v/>
      </c>
      <c r="F27" s="14">
        <f>F25*F26</f>
        <v/>
      </c>
    </row>
    <row r="30">
      <c r="A30" s="3" t="inlineStr">
        <is>
          <t>VALUATION SUMMARY</t>
        </is>
      </c>
      <c r="B30" s="3" t="n"/>
      <c r="C30" s="3" t="n"/>
      <c r="D30" s="3" t="n"/>
      <c r="E30" s="3" t="n"/>
      <c r="F30" s="3" t="n"/>
      <c r="G30" s="3" t="n"/>
      <c r="H30" s="3" t="n"/>
    </row>
    <row r="31">
      <c r="A31" t="inlineStr">
        <is>
          <t>Sum of PV of FCF (M)</t>
        </is>
      </c>
      <c r="B31" s="14">
        <f>SUM(B27:F27)</f>
        <v/>
      </c>
    </row>
    <row r="32">
      <c r="A32" t="inlineStr">
        <is>
          <t>Terminal Year FCF  [Y5 FCF x (1+g)]</t>
        </is>
      </c>
      <c r="B32" s="14">
        <f>F25*(1+$B$15)</f>
        <v/>
      </c>
    </row>
    <row r="33">
      <c r="A33" t="inlineStr">
        <is>
          <t>Terminal Value  [TV FCF / (WACC - g)]</t>
        </is>
      </c>
      <c r="B33" s="14">
        <f>B32/($B$14-$B$15)</f>
        <v/>
      </c>
    </row>
    <row r="34">
      <c r="A34" t="inlineStr">
        <is>
          <t>PV of Terminal Value</t>
        </is>
      </c>
      <c r="B34" s="14">
        <f>B33*F26</f>
        <v/>
      </c>
    </row>
    <row r="35">
      <c r="A35" t="inlineStr">
        <is>
          <t>Enterprise Value</t>
        </is>
      </c>
      <c r="B35" s="14">
        <f>B31+B34</f>
        <v/>
      </c>
    </row>
    <row r="36">
      <c r="A36" t="inlineStr">
        <is>
          <t>Less: Net Debt (Debt minus Cash)</t>
        </is>
      </c>
      <c r="B36" s="14">
        <f>B10</f>
        <v/>
      </c>
    </row>
    <row r="37">
      <c r="A37" t="inlineStr">
        <is>
          <t>Equity Value</t>
        </is>
      </c>
      <c r="B37" s="14">
        <f>B35-B36</f>
        <v/>
      </c>
    </row>
    <row r="39">
      <c r="A39" s="18" t="inlineStr">
        <is>
          <t>INTRINSIC VALUE PER SHARE</t>
        </is>
      </c>
      <c r="B39" s="19">
        <f>B37/B7</f>
        <v/>
      </c>
    </row>
    <row r="40">
      <c r="A40" t="inlineStr">
        <is>
          <t>Upside / (Downside) to IV</t>
        </is>
      </c>
      <c r="B40" s="20">
        <f>(B39-B6)/B6</f>
        <v/>
      </c>
    </row>
    <row r="42">
      <c r="A42" s="18" t="inlineStr">
        <is>
          <t>ENTRY PRICE (15% CAGR Target)</t>
        </is>
      </c>
      <c r="B42" s="21">
        <f>(B33/B7)/(1.15^5)</f>
        <v/>
      </c>
    </row>
    <row r="43">
      <c r="A43" t="inlineStr">
        <is>
          <t>Current vs Entry Price</t>
        </is>
      </c>
      <c r="B43" s="22">
        <f>(B6-B42)/B6</f>
        <v/>
      </c>
    </row>
    <row r="44">
      <c r="A44" s="23" t="inlineStr">
        <is>
          <t>Note: Negative "Current vs Entry" = stock is BELOW entry, implying &gt;15% expected return</t>
        </is>
      </c>
      <c r="B44" s="23" t="n"/>
    </row>
  </sheetData>
  <mergeCells count="1">
    <mergeCell ref="K19:L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zoomScale="90" zoomScaleNormal="90" workbookViewId="0">
      <selection activeCell="A1" sqref="A1"/>
    </sheetView>
  </sheetViews>
  <sheetFormatPr baseColWidth="8" defaultRowHeight="15"/>
  <cols>
    <col width="28.7109375" customWidth="1" min="1" max="1"/>
    <col width="13.7109375" customWidth="1" min="2" max="7"/>
    <col width="2.7109375" customWidth="1" min="8" max="8"/>
    <col width="28.7109375" customWidth="1" min="9" max="9"/>
    <col width="13.7109375" customWidth="1" min="10" max="15"/>
  </cols>
  <sheetData>
    <row r="1">
      <c r="A1" s="1" t="inlineStr">
        <is>
          <t>Pinterest (PINS) - Bull &amp; Bear Case Projections</t>
        </is>
      </c>
    </row>
    <row r="2">
      <c r="A2" s="2" t="inlineStr">
        <is>
          <t>Valuation Date: 2026-06-30  |  All figures USD millions</t>
        </is>
      </c>
    </row>
    <row r="4">
      <c r="A4" s="24" t="inlineStr">
        <is>
          <t>BULL CASE</t>
        </is>
      </c>
      <c r="J4" s="25" t="inlineStr">
        <is>
          <t>BEAR CASE</t>
        </is>
      </c>
    </row>
    <row r="5">
      <c r="A5" s="23" t="inlineStr">
        <is>
          <t>International ARPU monetization accelerates (RoW ARPU growing 40%+ sustained), tvScientific CTV integration generates incremental revenue from TV budget pools, Performance+ AI tools drive SMB/mid-market advertiser diversification. Revenue re-accelerates toward 17%. FCF margins expand to 35% as operating leverage, restructuring benefits, and AI infrastructure efficiencies flow through. Lower WACC as execution de-risks the investment thesis.</t>
        </is>
      </c>
      <c r="J5" s="23" t="inlineStr">
        <is>
          <t>Tariff headwinds persist and deepen throughout 2026, large retail advertisers continue reducing budgets. Sales transformation execution stumbles as new CBO/CMO ramp up. Competition from Meta AI, Google Gemini visual search, and TikTok erodes platform relevance. Revenue growth decelerates to 6-9%. FCF margins stay flat as GPU/AI investment, SBC, and tvScientific integration costs offset restructuring savings. Higher WACC reflects heightened execution risk.</t>
        </is>
      </c>
    </row>
    <row r="7">
      <c r="A7" s="7" t="n"/>
      <c r="B7" s="7" t="inlineStr">
        <is>
          <t>Base (FY2025)</t>
        </is>
      </c>
      <c r="C7" s="7" t="inlineStr">
        <is>
          <t>Y1 (2026)</t>
        </is>
      </c>
      <c r="D7" s="7" t="inlineStr">
        <is>
          <t>Y2 (2027)</t>
        </is>
      </c>
      <c r="E7" s="7" t="inlineStr">
        <is>
          <t>Y3 (2028)</t>
        </is>
      </c>
      <c r="F7" s="7" t="inlineStr">
        <is>
          <t>Y4 (2029)</t>
        </is>
      </c>
      <c r="G7" s="7" t="inlineStr">
        <is>
          <t>Y5 (2030)</t>
        </is>
      </c>
      <c r="J7" s="8" t="n"/>
      <c r="K7" s="8" t="inlineStr">
        <is>
          <t>Base (FY2025)</t>
        </is>
      </c>
      <c r="L7" s="8" t="inlineStr">
        <is>
          <t>Y1 (2026)</t>
        </is>
      </c>
      <c r="M7" s="8" t="inlineStr">
        <is>
          <t>Y2 (2027)</t>
        </is>
      </c>
      <c r="N7" s="8" t="inlineStr">
        <is>
          <t>Y3 (2028)</t>
        </is>
      </c>
      <c r="O7" s="8" t="inlineStr">
        <is>
          <t>Y4 (2029)</t>
        </is>
      </c>
      <c r="P7" s="8" t="inlineStr">
        <is>
          <t>Y5 (2030)</t>
        </is>
      </c>
    </row>
    <row r="8">
      <c r="A8" s="26" t="inlineStr">
        <is>
          <t>Revenue ($M)</t>
        </is>
      </c>
      <c r="B8" s="14" t="n">
        <v>4221.8</v>
      </c>
      <c r="C8" s="14" t="n">
        <v>4939.5</v>
      </c>
      <c r="D8" s="14" t="n">
        <v>5729.8</v>
      </c>
      <c r="E8" s="14" t="n">
        <v>6532</v>
      </c>
      <c r="F8" s="14" t="n">
        <v>7381.2</v>
      </c>
      <c r="G8" s="14" t="n">
        <v>8193.1</v>
      </c>
      <c r="J8" s="26" t="inlineStr">
        <is>
          <t>Revenue ($M)</t>
        </is>
      </c>
      <c r="K8" s="14" t="n">
        <v>4221.8</v>
      </c>
      <c r="L8" s="14" t="n">
        <v>4601.8</v>
      </c>
      <c r="M8" s="14" t="n">
        <v>4969.9</v>
      </c>
      <c r="N8" s="14" t="n">
        <v>5367.5</v>
      </c>
      <c r="O8" s="14" t="n">
        <v>5743.2</v>
      </c>
      <c r="P8" s="14" t="n">
        <v>6087.8</v>
      </c>
    </row>
    <row r="9">
      <c r="A9" s="26" t="inlineStr">
        <is>
          <t>Revenue Growth</t>
        </is>
      </c>
      <c r="B9" s="27" t="inlineStr">
        <is>
          <t>-</t>
        </is>
      </c>
      <c r="C9" s="22" t="n">
        <v>0.17</v>
      </c>
      <c r="D9" s="22" t="n">
        <v>0.16</v>
      </c>
      <c r="E9" s="22" t="n">
        <v>0.14</v>
      </c>
      <c r="F9" s="22" t="n">
        <v>0.13</v>
      </c>
      <c r="G9" s="22" t="n">
        <v>0.11</v>
      </c>
      <c r="J9" s="26" t="inlineStr">
        <is>
          <t>Revenue Growth</t>
        </is>
      </c>
      <c r="K9" s="27" t="inlineStr">
        <is>
          <t>-</t>
        </is>
      </c>
      <c r="L9" s="22" t="n">
        <v>0.09</v>
      </c>
      <c r="M9" s="22" t="n">
        <v>0.08</v>
      </c>
      <c r="N9" s="22" t="n">
        <v>0.08</v>
      </c>
      <c r="O9" s="22" t="n">
        <v>0.07000000000000001</v>
      </c>
      <c r="P9" s="22" t="n">
        <v>0.06</v>
      </c>
    </row>
    <row r="10">
      <c r="A10" s="26" t="inlineStr">
        <is>
          <t>FCF Margin</t>
        </is>
      </c>
      <c r="B10" s="22" t="n">
        <v>0.2965322848074281</v>
      </c>
      <c r="C10" s="22" t="n">
        <v>0.31</v>
      </c>
      <c r="D10" s="22" t="n">
        <v>0.32</v>
      </c>
      <c r="E10" s="22" t="n">
        <v>0.33</v>
      </c>
      <c r="F10" s="22" t="n">
        <v>0.34</v>
      </c>
      <c r="G10" s="22" t="n">
        <v>0.35</v>
      </c>
      <c r="J10" s="26" t="inlineStr">
        <is>
          <t>FCF Margin</t>
        </is>
      </c>
      <c r="K10" s="22" t="n">
        <v>0.2965322848074281</v>
      </c>
      <c r="L10" s="22" t="n">
        <v>0.28</v>
      </c>
      <c r="M10" s="22" t="n">
        <v>0.28</v>
      </c>
      <c r="N10" s="22" t="n">
        <v>0.29</v>
      </c>
      <c r="O10" s="22" t="n">
        <v>0.29</v>
      </c>
      <c r="P10" s="22" t="n">
        <v>0.29</v>
      </c>
    </row>
    <row r="11">
      <c r="A11" s="26" t="inlineStr">
        <is>
          <t>Free Cash Flow ($M)</t>
        </is>
      </c>
      <c r="B11" s="14" t="n">
        <v>1251.9</v>
      </c>
      <c r="C11" s="14" t="n">
        <v>1531.2</v>
      </c>
      <c r="D11" s="14" t="n">
        <v>1833.5</v>
      </c>
      <c r="E11" s="14" t="n">
        <v>2155.6</v>
      </c>
      <c r="F11" s="14" t="n">
        <v>2509.6</v>
      </c>
      <c r="G11" s="14" t="n">
        <v>2867.6</v>
      </c>
      <c r="J11" s="26" t="inlineStr">
        <is>
          <t>Free Cash Flow ($M)</t>
        </is>
      </c>
      <c r="K11" s="14" t="n">
        <v>1251.9</v>
      </c>
      <c r="L11" s="14" t="n">
        <v>1288.5</v>
      </c>
      <c r="M11" s="14" t="n">
        <v>1391.6</v>
      </c>
      <c r="N11" s="14" t="n">
        <v>1556.6</v>
      </c>
      <c r="O11" s="14" t="n">
        <v>1665.5</v>
      </c>
      <c r="P11" s="14" t="n">
        <v>1765.5</v>
      </c>
    </row>
    <row r="12">
      <c r="A12" s="26" t="inlineStr">
        <is>
          <t>Discount Factor</t>
        </is>
      </c>
      <c r="B12" s="27" t="inlineStr">
        <is>
          <t>-</t>
        </is>
      </c>
      <c r="C12" s="22" t="n">
        <v>0.9174</v>
      </c>
      <c r="D12" s="22" t="n">
        <v>0.8417</v>
      </c>
      <c r="E12" s="22" t="n">
        <v>0.7722</v>
      </c>
      <c r="F12" s="22" t="n">
        <v>0.7084</v>
      </c>
      <c r="G12" s="22" t="n">
        <v>0.6499</v>
      </c>
      <c r="J12" s="26" t="inlineStr">
        <is>
          <t>Discount Factor</t>
        </is>
      </c>
      <c r="K12" s="27" t="inlineStr">
        <is>
          <t>-</t>
        </is>
      </c>
      <c r="L12" s="22" t="n">
        <v>0.8929</v>
      </c>
      <c r="M12" s="22" t="n">
        <v>0.7972</v>
      </c>
      <c r="N12" s="22" t="n">
        <v>0.7118</v>
      </c>
      <c r="O12" s="22" t="n">
        <v>0.6355</v>
      </c>
      <c r="P12" s="22" t="n">
        <v>0.5674</v>
      </c>
    </row>
    <row r="13">
      <c r="A13" s="26" t="inlineStr">
        <is>
          <t>PV of FCF ($M)</t>
        </is>
      </c>
      <c r="B13" s="27" t="inlineStr">
        <is>
          <t>-</t>
        </is>
      </c>
      <c r="C13" s="14" t="n">
        <v>1404.8</v>
      </c>
      <c r="D13" s="14" t="n">
        <v>1543.3</v>
      </c>
      <c r="E13" s="14" t="n">
        <v>1664.5</v>
      </c>
      <c r="F13" s="14" t="n">
        <v>1777.9</v>
      </c>
      <c r="G13" s="14" t="n">
        <v>1863.7</v>
      </c>
      <c r="J13" s="26" t="inlineStr">
        <is>
          <t>PV of FCF ($M)</t>
        </is>
      </c>
      <c r="K13" s="27" t="inlineStr">
        <is>
          <t>-</t>
        </is>
      </c>
      <c r="L13" s="14" t="n">
        <v>1150.4</v>
      </c>
      <c r="M13" s="14" t="n">
        <v>1109.4</v>
      </c>
      <c r="N13" s="14" t="n">
        <v>1107.9</v>
      </c>
      <c r="O13" s="14" t="n">
        <v>1058.5</v>
      </c>
      <c r="P13" s="14" t="n">
        <v>1001.8</v>
      </c>
    </row>
    <row r="14">
      <c r="A14" s="18" t="inlineStr">
        <is>
          <t>Sum PV FCF ($M)</t>
        </is>
      </c>
      <c r="B14" s="14" t="n">
        <v>8254.200000000001</v>
      </c>
      <c r="J14" s="18" t="inlineStr">
        <is>
          <t>Sum PV FCF ($M)</t>
        </is>
      </c>
      <c r="K14" s="14" t="n">
        <v>5428</v>
      </c>
    </row>
    <row r="15">
      <c r="A15" s="18" t="inlineStr">
        <is>
          <t>Terminal Value ($M)</t>
        </is>
      </c>
      <c r="B15" s="14" t="n">
        <v>53963</v>
      </c>
      <c r="J15" s="18" t="inlineStr">
        <is>
          <t>Terminal Value ($M)</t>
        </is>
      </c>
      <c r="K15" s="14" t="n">
        <v>19048.8</v>
      </c>
    </row>
    <row r="16">
      <c r="A16" s="18" t="inlineStr">
        <is>
          <t>PV of Terminal Value ($M)</t>
        </is>
      </c>
      <c r="B16" s="14" t="n">
        <v>35070.6</v>
      </c>
      <c r="J16" s="18" t="inlineStr">
        <is>
          <t>PV of Terminal Value ($M)</t>
        </is>
      </c>
      <c r="K16" s="14" t="n">
        <v>10808.3</v>
      </c>
    </row>
    <row r="17">
      <c r="A17" s="18" t="inlineStr">
        <is>
          <t>Enterprise Value ($M)</t>
        </is>
      </c>
      <c r="B17" s="14" t="n">
        <v>43324.7</v>
      </c>
      <c r="J17" s="18" t="inlineStr">
        <is>
          <t>Enterprise Value ($M)</t>
        </is>
      </c>
      <c r="K17" s="14" t="n">
        <v>16236.3</v>
      </c>
    </row>
    <row r="18">
      <c r="A18" s="18" t="inlineStr">
        <is>
          <t>Net Debt ($M)</t>
        </is>
      </c>
      <c r="B18" s="14" t="n">
        <v>-318.4</v>
      </c>
      <c r="J18" s="18" t="inlineStr">
        <is>
          <t>Net Debt ($M)</t>
        </is>
      </c>
      <c r="K18" s="14" t="n">
        <v>-318.4</v>
      </c>
    </row>
    <row r="19">
      <c r="A19" s="18" t="inlineStr">
        <is>
          <t>Equity Value ($M)</t>
        </is>
      </c>
      <c r="B19" s="14" t="n">
        <v>43643.1</v>
      </c>
      <c r="J19" s="18" t="inlineStr">
        <is>
          <t>Equity Value ($M)</t>
        </is>
      </c>
      <c r="K19" s="14" t="n">
        <v>16554.7</v>
      </c>
    </row>
    <row r="20">
      <c r="A20" s="18" t="inlineStr">
        <is>
          <t>INTRINSIC VALUE / SHARE</t>
        </is>
      </c>
      <c r="B20" s="19" t="n">
        <v>75.90000000000001</v>
      </c>
      <c r="J20" s="18" t="inlineStr">
        <is>
          <t>INTRINSIC VALUE / SHARE</t>
        </is>
      </c>
      <c r="K20" s="19" t="n">
        <v>28.79</v>
      </c>
    </row>
    <row r="21">
      <c r="A21" s="18" t="inlineStr">
        <is>
          <t>Upside / (Downside)</t>
        </is>
      </c>
      <c r="B21" s="20" t="n">
        <v>2.469</v>
      </c>
      <c r="J21" s="18" t="inlineStr">
        <is>
          <t>Upside / (Downside)</t>
        </is>
      </c>
      <c r="K21" s="20" t="n">
        <v>0.316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zoomScale="90" zoomScaleNormal="90" workbookViewId="0">
      <selection activeCell="A1" sqref="A1"/>
    </sheetView>
  </sheetViews>
  <sheetFormatPr baseColWidth="8" defaultRowHeight="15"/>
  <cols>
    <col width="18.7109375" customWidth="1" min="1" max="1"/>
    <col width="13.7109375" customWidth="1" min="2" max="6"/>
  </cols>
  <sheetData>
    <row r="1">
      <c r="A1" s="1" t="inlineStr">
        <is>
          <t>Pinterest (PINS) - Sensitivity Analysis</t>
        </is>
      </c>
    </row>
    <row r="2">
      <c r="A2" s="2" t="inlineStr">
        <is>
          <t>Intrinsic Value per Share (Base Case FCF Projections)</t>
        </is>
      </c>
    </row>
    <row r="3">
      <c r="A3" s="2" t="inlineStr">
        <is>
          <t>Current Price: $21.88  |  Valuation Date: 2026-06-30</t>
        </is>
      </c>
    </row>
    <row r="5">
      <c r="A5" s="3" t="inlineStr">
        <is>
          <t>WACC vs Terminal Growth Rate</t>
        </is>
      </c>
      <c r="B5" s="3" t="n"/>
      <c r="C5" s="3" t="n"/>
      <c r="D5" s="3" t="n"/>
      <c r="E5" s="3" t="n"/>
      <c r="F5" s="3" t="n"/>
    </row>
    <row r="7">
      <c r="A7" s="5" t="inlineStr">
        <is>
          <t>WACC \ Term G</t>
        </is>
      </c>
      <c r="B7" s="5" t="inlineStr">
        <is>
          <t>2.0%</t>
        </is>
      </c>
      <c r="C7" s="5" t="inlineStr">
        <is>
          <t>2.5%</t>
        </is>
      </c>
      <c r="D7" s="5" t="inlineStr">
        <is>
          <t>3.0%</t>
        </is>
      </c>
      <c r="E7" s="5" t="inlineStr">
        <is>
          <t>3.5%</t>
        </is>
      </c>
      <c r="F7" s="5" t="inlineStr">
        <is>
          <t>4.0%</t>
        </is>
      </c>
    </row>
    <row r="8">
      <c r="A8" s="5" t="inlineStr">
        <is>
          <t>8%</t>
        </is>
      </c>
      <c r="B8" s="19" t="n">
        <v>59.71</v>
      </c>
      <c r="C8" s="19" t="n">
        <v>64.17</v>
      </c>
      <c r="D8" s="19" t="n">
        <v>69.52</v>
      </c>
      <c r="E8" s="19" t="n">
        <v>76.06999999999999</v>
      </c>
      <c r="F8" s="19" t="n">
        <v>84.25</v>
      </c>
    </row>
    <row r="9">
      <c r="A9" s="5" t="inlineStr">
        <is>
          <t>9%</t>
        </is>
      </c>
      <c r="B9" s="19" t="n">
        <v>50.94</v>
      </c>
      <c r="C9" s="19" t="n">
        <v>54.06</v>
      </c>
      <c r="D9" s="19" t="n">
        <v>57.7</v>
      </c>
      <c r="E9" s="19" t="n">
        <v>62</v>
      </c>
      <c r="F9" s="19" t="n">
        <v>67.16</v>
      </c>
    </row>
    <row r="10">
      <c r="A10" s="5" t="inlineStr">
        <is>
          <t>10%</t>
        </is>
      </c>
      <c r="B10" s="19" t="n">
        <v>44.38</v>
      </c>
      <c r="C10" s="19" t="n">
        <v>46.66</v>
      </c>
      <c r="D10" s="19" t="n">
        <v>49.26</v>
      </c>
      <c r="E10" s="19" t="n">
        <v>52.27</v>
      </c>
      <c r="F10" s="19" t="n">
        <v>55.78</v>
      </c>
    </row>
    <row r="11">
      <c r="A11" s="5" t="inlineStr">
        <is>
          <t>11%</t>
        </is>
      </c>
      <c r="B11" s="28" t="n">
        <v>39.28</v>
      </c>
      <c r="C11" s="28" t="n">
        <v>41</v>
      </c>
      <c r="D11" s="19" t="n">
        <v>42.94</v>
      </c>
      <c r="E11" s="19" t="n">
        <v>45.14</v>
      </c>
      <c r="F11" s="19" t="n">
        <v>47.65</v>
      </c>
    </row>
    <row r="12">
      <c r="A12" s="5" t="inlineStr">
        <is>
          <t>12%</t>
        </is>
      </c>
      <c r="B12" s="28" t="n">
        <v>35.21</v>
      </c>
      <c r="C12" s="28" t="n">
        <v>36.55</v>
      </c>
      <c r="D12" s="28" t="n">
        <v>38.03</v>
      </c>
      <c r="E12" s="28" t="n">
        <v>39.7</v>
      </c>
      <c r="F12" s="28" t="n">
        <v>41.57</v>
      </c>
    </row>
    <row r="14">
      <c r="A14" s="18" t="inlineStr">
        <is>
          <t>Color Legend:</t>
        </is>
      </c>
    </row>
    <row r="15">
      <c r="B15" s="29" t="inlineStr">
        <is>
          <t>&gt;100% upside (2x+)</t>
        </is>
      </c>
      <c r="C15" s="30" t="inlineStr">
        <is>
          <t>50-100% upside</t>
        </is>
      </c>
      <c r="D15" s="31" t="inlineStr">
        <is>
          <t>20-50% upside</t>
        </is>
      </c>
      <c r="E15" s="32" t="inlineStr">
        <is>
          <t>0-20% upside</t>
        </is>
      </c>
      <c r="F15" s="33" t="inlineStr">
        <is>
          <t>Below current price</t>
        </is>
      </c>
    </row>
    <row r="17">
      <c r="A17" s="3" t="inlineStr">
        <is>
          <t>Implied Upside / (Downside) vs Current Price ($21.88)</t>
        </is>
      </c>
      <c r="B17" s="3" t="n"/>
      <c r="C17" s="3" t="n"/>
      <c r="D17" s="3" t="n"/>
      <c r="E17" s="3" t="n"/>
      <c r="F17" s="3" t="n"/>
    </row>
    <row r="18">
      <c r="A18" s="5" t="inlineStr">
        <is>
          <t>WACC \ Term G</t>
        </is>
      </c>
    </row>
    <row r="19">
      <c r="B19" s="5" t="inlineStr">
        <is>
          <t>2.0%</t>
        </is>
      </c>
      <c r="C19" s="5" t="inlineStr">
        <is>
          <t>2.5%</t>
        </is>
      </c>
      <c r="D19" s="5" t="inlineStr">
        <is>
          <t>3.0%</t>
        </is>
      </c>
      <c r="E19" s="5" t="inlineStr">
        <is>
          <t>3.5%</t>
        </is>
      </c>
      <c r="F19" s="5" t="inlineStr">
        <is>
          <t>4.0%</t>
        </is>
      </c>
    </row>
    <row r="20">
      <c r="A20" s="5" t="inlineStr">
        <is>
          <t>8%</t>
        </is>
      </c>
      <c r="B20" s="34" t="n">
        <v>1.728976234003656</v>
      </c>
      <c r="C20" s="34" t="n">
        <v>1.932815356489946</v>
      </c>
      <c r="D20" s="34" t="n">
        <v>2.177330895795247</v>
      </c>
      <c r="E20" s="34" t="n">
        <v>2.476691042047532</v>
      </c>
      <c r="F20" s="34" t="n">
        <v>2.85054844606947</v>
      </c>
    </row>
    <row r="21">
      <c r="A21" s="5" t="inlineStr">
        <is>
          <t>9%</t>
        </is>
      </c>
      <c r="B21" s="34" t="n">
        <v>1.328153564899452</v>
      </c>
      <c r="C21" s="34" t="n">
        <v>1.470749542961609</v>
      </c>
      <c r="D21" s="34" t="n">
        <v>1.637111517367459</v>
      </c>
      <c r="E21" s="34" t="n">
        <v>1.83363802559415</v>
      </c>
      <c r="F21" s="34" t="n">
        <v>2.069469835466179</v>
      </c>
    </row>
    <row r="22">
      <c r="A22" s="5" t="inlineStr">
        <is>
          <t>10%</t>
        </is>
      </c>
      <c r="B22" s="34" t="n">
        <v>1.028336380255942</v>
      </c>
      <c r="C22" s="34" t="n">
        <v>1.13254113345521</v>
      </c>
      <c r="D22" s="34" t="n">
        <v>1.251371115173675</v>
      </c>
      <c r="E22" s="34" t="n">
        <v>1.388939670932358</v>
      </c>
      <c r="F22" s="34" t="n">
        <v>1.549360146252285</v>
      </c>
    </row>
    <row r="23">
      <c r="A23" s="5" t="inlineStr">
        <is>
          <t>11%</t>
        </is>
      </c>
      <c r="B23" s="34" t="n">
        <v>0.7952468007312615</v>
      </c>
      <c r="C23" s="34" t="n">
        <v>0.8738574040219379</v>
      </c>
      <c r="D23" s="34" t="n">
        <v>0.9625228519195612</v>
      </c>
      <c r="E23" s="34" t="n">
        <v>1.063071297989031</v>
      </c>
      <c r="F23" s="34" t="n">
        <v>1.177787934186472</v>
      </c>
    </row>
    <row r="24">
      <c r="A24" s="5" t="inlineStr">
        <is>
          <t>12%</t>
        </is>
      </c>
      <c r="B24" s="34" t="n">
        <v>0.6092321755027423</v>
      </c>
      <c r="C24" s="34" t="n">
        <v>0.6704753199268738</v>
      </c>
      <c r="D24" s="34" t="n">
        <v>0.7381170018281537</v>
      </c>
      <c r="E24" s="34" t="n">
        <v>0.8144424131627058</v>
      </c>
      <c r="F24" s="34" t="n">
        <v>0.8999085923217551</v>
      </c>
    </row>
    <row r="26">
      <c r="A26" s="23" t="inlineStr">
        <is>
          <t>Note: Uses base case FCF projections. Varying WACC from 8-12% and terminal growth from 2-4%.</t>
        </is>
      </c>
    </row>
    <row r="27">
      <c r="A27" s="23" t="inlineStr">
        <is>
          <t>All 25 scenarios shown above are significantly above current price of $21.88.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90" zoomScaleNormal="90" workbookViewId="0">
      <selection activeCell="A1" sqref="A1"/>
    </sheetView>
  </sheetViews>
  <sheetFormatPr baseColWidth="8" defaultRowHeight="15"/>
  <cols>
    <col width="22.7109375" customWidth="1" min="1" max="1"/>
    <col width="16.7109375" customWidth="1" min="2" max="3"/>
    <col width="55.7109375" customWidth="1" min="4" max="4"/>
    <col width="14.7109375" customWidth="1" min="5" max="5"/>
  </cols>
  <sheetData>
    <row r="1">
      <c r="A1" s="1" t="inlineStr">
        <is>
          <t>Pinterest (PINS) - Historical Growth Rates</t>
        </is>
      </c>
    </row>
    <row r="2">
      <c r="A2" s="2" t="inlineStr">
        <is>
          <t>Used to inform DCF scenario assumptions  |  Base year for 3yr: FY2022  |  Base year for 5yr: FY2020</t>
        </is>
      </c>
    </row>
    <row r="4">
      <c r="A4" s="5" t="inlineStr">
        <is>
          <t>Metric</t>
        </is>
      </c>
      <c r="B4" s="5" t="inlineStr">
        <is>
          <t>3-Year CAGR</t>
        </is>
      </c>
      <c r="C4" s="5" t="inlineStr">
        <is>
          <t>5-Year CAGR</t>
        </is>
      </c>
      <c r="D4" s="5" t="inlineStr">
        <is>
          <t>Notes</t>
        </is>
      </c>
    </row>
    <row r="5">
      <c r="A5" s="26" t="inlineStr">
        <is>
          <t>Revenue</t>
        </is>
      </c>
      <c r="B5" s="22" t="n">
        <v>0.1463</v>
      </c>
      <c r="C5" s="22" t="n">
        <v>0.2006</v>
      </c>
      <c r="D5" s="23" t="inlineStr">
        <is>
          <t>FY2022-FY2025 (3yr); FY2020-FY2025 (5yr). Most forward-representative metric.</t>
        </is>
      </c>
    </row>
    <row r="6">
      <c r="A6" s="26" t="inlineStr">
        <is>
          <t>EPS</t>
        </is>
      </c>
      <c r="B6" s="35" t="inlineStr">
        <is>
          <t>N/A</t>
        </is>
      </c>
      <c r="C6" s="35" t="inlineStr">
        <is>
          <t>N/A</t>
        </is>
      </c>
      <c r="D6" s="23" t="inlineStr">
        <is>
          <t>Not meaningful - negative/near-zero FY2019-FY2023; FY2024 distorted by $1.8B tax benefit</t>
        </is>
      </c>
    </row>
    <row r="7">
      <c r="A7" s="26" t="inlineStr">
        <is>
          <t>Equity (Book Value)</t>
        </is>
      </c>
      <c r="B7" s="22" t="n">
        <v>0.2231</v>
      </c>
      <c r="C7" s="22" t="n">
        <v>0.2131</v>
      </c>
      <c r="D7" s="23" t="inlineStr">
        <is>
          <t>Distorted by FY2024 deferred tax asset release ($1.8B). Not selected as primary.</t>
        </is>
      </c>
    </row>
    <row r="8">
      <c r="A8" s="26" t="inlineStr">
        <is>
          <t>Free Cash Flow</t>
        </is>
      </c>
      <c r="B8" s="22" t="n">
        <v>0.4168</v>
      </c>
      <c r="C8" s="22" t="n">
        <v>0.2337</v>
      </c>
      <c r="D8" s="23" t="inlineStr">
        <is>
          <t>3yr inflated by recovery from depressed FY2022 ($440M). 5yr uses COVID-impacted FY2020 base.</t>
        </is>
      </c>
    </row>
    <row r="10">
      <c r="A10" s="18" t="inlineStr">
        <is>
          <t>SELECTED GROWTH RATE</t>
        </is>
      </c>
      <c r="B10" s="36" t="n">
        <v>0.1463</v>
      </c>
      <c r="C10" s="37" t="inlineStr">
        <is>
          <t>Revenue 3yr CAGR</t>
        </is>
      </c>
      <c r="D10" s="23" t="inlineStr">
        <is>
          <t>Revenue 3yr CAGR (14.6%) selected as most conservative and forward-representative. Consistent with FY2025 actual revenue growth of 16% and Q1 2026 guidance of 11-14%. Equity/revenue divergence of 6.3% is well within 30% threshold but equity is distorted, so revenue preferred.</t>
        </is>
      </c>
    </row>
    <row r="12">
      <c r="A12" s="38" t="inlineStr">
        <is>
          <t>KEY HISTORICAL FIGURES</t>
        </is>
      </c>
    </row>
    <row r="13">
      <c r="A13" s="5" t="inlineStr">
        <is>
          <t>Year</t>
        </is>
      </c>
      <c r="B13" s="5" t="inlineStr">
        <is>
          <t>Revenue ($M)</t>
        </is>
      </c>
      <c r="C13" s="5" t="inlineStr">
        <is>
          <t>FCF ($M)</t>
        </is>
      </c>
      <c r="D13" s="5" t="inlineStr">
        <is>
          <t>FCF Margin</t>
        </is>
      </c>
      <c r="E13" s="5" t="inlineStr">
        <is>
          <t>Equity ($M)</t>
        </is>
      </c>
    </row>
    <row r="14">
      <c r="A14" s="26" t="inlineStr">
        <is>
          <t>FY2020</t>
        </is>
      </c>
      <c r="B14" s="14" t="n">
        <v>1692.7</v>
      </c>
      <c r="C14" s="14" t="n">
        <v>438.1</v>
      </c>
      <c r="D14" s="22" t="n">
        <v>0.2588172741773498</v>
      </c>
      <c r="E14" s="14" t="n">
        <v>1806.2</v>
      </c>
    </row>
    <row r="15">
      <c r="A15" s="26" t="inlineStr">
        <is>
          <t>FY2021</t>
        </is>
      </c>
      <c r="B15" s="14" t="n">
        <v>2578</v>
      </c>
      <c r="C15" s="14" t="n">
        <v>687.1</v>
      </c>
      <c r="D15" s="22" t="n">
        <v>0.2665244375484872</v>
      </c>
      <c r="E15" s="14" t="n">
        <v>2535.9</v>
      </c>
    </row>
    <row r="16">
      <c r="A16" s="26" t="inlineStr">
        <is>
          <t>FY2022</t>
        </is>
      </c>
      <c r="B16" s="14" t="n">
        <v>2802.6</v>
      </c>
      <c r="C16" s="14" t="n">
        <v>440.2</v>
      </c>
      <c r="D16" s="22" t="n">
        <v>0.1570684364518661</v>
      </c>
      <c r="E16" s="14" t="n">
        <v>2593.6</v>
      </c>
    </row>
    <row r="17">
      <c r="A17" s="26" t="inlineStr">
        <is>
          <t>FY2023</t>
        </is>
      </c>
      <c r="B17" s="14" t="n">
        <v>3055.1</v>
      </c>
      <c r="C17" s="14" t="n">
        <v>605</v>
      </c>
      <c r="D17" s="22" t="n">
        <v>0.1980295244018199</v>
      </c>
      <c r="E17" s="14" t="n">
        <v>3090.7</v>
      </c>
    </row>
    <row r="18">
      <c r="A18" s="26" t="inlineStr">
        <is>
          <t>FY2024</t>
        </is>
      </c>
      <c r="B18" s="14" t="n">
        <v>3646.2</v>
      </c>
      <c r="C18" s="14" t="n">
        <v>940</v>
      </c>
      <c r="D18" s="22" t="n">
        <v>0.2578026438483901</v>
      </c>
      <c r="E18" s="14" t="n">
        <v>4751.2</v>
      </c>
    </row>
    <row r="19">
      <c r="A19" s="26" t="inlineStr">
        <is>
          <t>FY2025</t>
        </is>
      </c>
      <c r="B19" s="14" t="n">
        <v>4221.8</v>
      </c>
      <c r="C19" s="14" t="n">
        <v>1251.9</v>
      </c>
      <c r="D19" s="22" t="n">
        <v>0.2965322848074281</v>
      </c>
      <c r="E19" s="14" t="n">
        <v>4745.2</v>
      </c>
    </row>
    <row r="20">
      <c r="A20" s="23" t="inlineStr">
        <is>
          <t>Note: FY2024 equity includes $1.8B deferred tax asset release. FY2025 equity back to normalized level.</t>
        </is>
      </c>
    </row>
    <row r="21">
      <c r="A21" s="23" t="inlineStr">
        <is>
          <t>Note: FY2024 reported EPS $2.67 distorted by tax benefit; normalized EPS ~$0.26. Use FCF as primary metric.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2026-03-27T06:46:26Z</dcterms:created>
  <dcterms:modified xmlns:dcterms="http://purl.org/dc/terms/" xmlns:xsi="http://www.w3.org/2001/XMLSchema-instance" xsi:type="dcterms:W3CDTF">2026-06-30T05:34:54Z</dcterms:modified>
</cp:coreProperties>
</file>