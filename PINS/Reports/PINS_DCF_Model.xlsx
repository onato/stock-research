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Bull &amp; Bear Scenarios" sheetId="2" r:id="rId2"/>
    <sheet name="Sensitivity Analysis" sheetId="3" r:id="rId3"/>
    <sheet name="Historical Data" sheetId="4" r:id="rId4"/>
  </sheets>
  <calcPr calcId="124519" fullCalcOnLoad="1"/>
</workbook>
</file>

<file path=xl/sharedStrings.xml><?xml version="1.0" encoding="utf-8"?>
<sst xmlns="http://schemas.openxmlformats.org/spreadsheetml/2006/main" count="220" uniqueCount="154">
  <si>
    <t>Pinterest, Inc. (PINS)</t>
  </si>
  <si>
    <t>Discounted Cash Flow Model  |  Gray cells are inputs — adjust to see results update automatically</t>
  </si>
  <si>
    <t>Valuation Date: 2026-03-27  |  All figures in USD millions unless noted</t>
  </si>
  <si>
    <t>KEY INPUTS</t>
  </si>
  <si>
    <t>Current Stock Price ($)</t>
  </si>
  <si>
    <t>Shares Outstanding (M)</t>
  </si>
  <si>
    <t>Cash &amp; Equivalents (M)</t>
  </si>
  <si>
    <t>Total Debt (M)</t>
  </si>
  <si>
    <t>Net Debt (M)  [Debt - Cash]</t>
  </si>
  <si>
    <t>Base Year FCF (M)</t>
  </si>
  <si>
    <t>Base Year Revenue (M)</t>
  </si>
  <si>
    <t>WACC</t>
  </si>
  <si>
    <t>Terminal Growth Rate</t>
  </si>
  <si>
    <t>REVENUE GROWTH ASSUMPTIONS</t>
  </si>
  <si>
    <t>Y1 (2026)</t>
  </si>
  <si>
    <t>Y2 (2027)</t>
  </si>
  <si>
    <t>Y3 (2028)</t>
  </si>
  <si>
    <t>Y4 (2029)</t>
  </si>
  <si>
    <t>Y5 (2030)</t>
  </si>
  <si>
    <t>Revenue Growth Rate</t>
  </si>
  <si>
    <t>FCF Margin</t>
  </si>
  <si>
    <t>PROJECTIONS</t>
  </si>
  <si>
    <t>Revenue</t>
  </si>
  <si>
    <t>Free Cash Flow</t>
  </si>
  <si>
    <t>Discount Factor</t>
  </si>
  <si>
    <t>PV of Free Cash Flow</t>
  </si>
  <si>
    <t>VALUATION SUMMARY</t>
  </si>
  <si>
    <t>Sum of PV of FCF (M)</t>
  </si>
  <si>
    <t>Terminal Year FCF  [Y5 FCF x (1+g)]</t>
  </si>
  <si>
    <t>Terminal Value  [TV FCF / (WACC - g)]</t>
  </si>
  <si>
    <t>PV of Terminal Value</t>
  </si>
  <si>
    <t>Enterprise Value</t>
  </si>
  <si>
    <t>Less: Net Debt (Debt minus Cash)</t>
  </si>
  <si>
    <t>Equity Value</t>
  </si>
  <si>
    <t>INTRINSIC VALUE PER SHARE</t>
  </si>
  <si>
    <t>Upside / (Downside) to IV</t>
  </si>
  <si>
    <t>ENTRY PRICE (15% CAGR Target)</t>
  </si>
  <si>
    <t>Current vs Entry Price</t>
  </si>
  <si>
    <t>Note: Negative "Current vs Entry" = stock is BELOW entry, implying &gt;15% expected return</t>
  </si>
  <si>
    <t>SCENARIO COMPARISON</t>
  </si>
  <si>
    <t>Metric</t>
  </si>
  <si>
    <t>Base Case</t>
  </si>
  <si>
    <t>Bull Case</t>
  </si>
  <si>
    <t>Bear Case</t>
  </si>
  <si>
    <t>10%</t>
  </si>
  <si>
    <t>9%</t>
  </si>
  <si>
    <t>12%</t>
  </si>
  <si>
    <t>Terminal Growth</t>
  </si>
  <si>
    <t>3%</t>
  </si>
  <si>
    <t>3.5%</t>
  </si>
  <si>
    <t>2.5%</t>
  </si>
  <si>
    <t>Y1 Rev Growth</t>
  </si>
  <si>
    <t>14%</t>
  </si>
  <si>
    <t>17%</t>
  </si>
  <si>
    <t>Y5 Rev Growth</t>
  </si>
  <si>
    <t>8%</t>
  </si>
  <si>
    <t>11%</t>
  </si>
  <si>
    <t>6%</t>
  </si>
  <si>
    <t>Y5 FCF Margin</t>
  </si>
  <si>
    <t>33%</t>
  </si>
  <si>
    <t>35%</t>
  </si>
  <si>
    <t>29%</t>
  </si>
  <si>
    <t>Y5 Revenue ($M)</t>
  </si>
  <si>
    <t>$6,980</t>
  </si>
  <si>
    <t>$8,193</t>
  </si>
  <si>
    <t>$6,088</t>
  </si>
  <si>
    <t>Y5 FCF ($M)</t>
  </si>
  <si>
    <t>$2,303</t>
  </si>
  <si>
    <t>$2,868</t>
  </si>
  <si>
    <t>$1,766</t>
  </si>
  <si>
    <t>Terminal Value ($M)</t>
  </si>
  <si>
    <t>$33,893</t>
  </si>
  <si>
    <t>$53,963</t>
  </si>
  <si>
    <t>$19,049</t>
  </si>
  <si>
    <t>Enterprise Value ($M)</t>
  </si>
  <si>
    <t>$28,006</t>
  </si>
  <si>
    <t>$43,325</t>
  </si>
  <si>
    <t>$16,236</t>
  </si>
  <si>
    <t>Intrinsic Value/Share</t>
  </si>
  <si>
    <t>$42.24</t>
  </si>
  <si>
    <t>$64.77</t>
  </si>
  <si>
    <t>$24.93</t>
  </si>
  <si>
    <t>Upside / (Downside)</t>
  </si>
  <si>
    <t>135.2%</t>
  </si>
  <si>
    <t>260.6%</t>
  </si>
  <si>
    <t>38.8%</t>
  </si>
  <si>
    <t>Entry Price (15% CAGR)</t>
  </si>
  <si>
    <t>$24.78</t>
  </si>
  <si>
    <t>$39.45</t>
  </si>
  <si>
    <t>$13.93</t>
  </si>
  <si>
    <t>Prob. Weighted IV (25/50/25)</t>
  </si>
  <si>
    <t>$43.55</t>
  </si>
  <si>
    <t>Upside: 142.5%</t>
  </si>
  <si>
    <t>Pinterest (PINS) - Bull &amp; Bear Case Projections</t>
  </si>
  <si>
    <t>Valuation Date: 2026-03-27  |  All figures USD millions</t>
  </si>
  <si>
    <t>BULL CASE</t>
  </si>
  <si>
    <t>International ARPU monetization accelerates (RoW ARPU growing 40%+ sustained), tvScientific CTV integration generates incremental revenue from TV budget pools, Performance+ AI tools drive SMB/mid-market advertiser diversification. Revenue re-accelerates toward 17%. FCF margins expand to 35% as operating leverage, restructuring benefits, and AI infrastructure efficiencies flow through. Lower WACC as execution de-risks the investment thesis.</t>
  </si>
  <si>
    <t>Base (FY2025)</t>
  </si>
  <si>
    <t>Revenue ($M)</t>
  </si>
  <si>
    <t>Revenue Growth</t>
  </si>
  <si>
    <t>-</t>
  </si>
  <si>
    <t>Free Cash Flow ($M)</t>
  </si>
  <si>
    <t>PV of FCF ($M)</t>
  </si>
  <si>
    <t>Sum PV FCF ($M)</t>
  </si>
  <si>
    <t>PV of Terminal Value ($M)</t>
  </si>
  <si>
    <t>Net Debt ($M)</t>
  </si>
  <si>
    <t>Equity Value ($M)</t>
  </si>
  <si>
    <t>INTRINSIC VALUE / SHARE</t>
  </si>
  <si>
    <t>BEAR CASE</t>
  </si>
  <si>
    <t>Tariff headwinds persist and deepen throughout 2026, large retail advertisers continue reducing budgets. Sales transformation execution stumbles as new CBO/CMO ramp up. Competition from Meta AI, Google Gemini visual search, and TikTok erodes platform relevance. Revenue growth decelerates to 6-9%. FCF margins stay flat as GPU/AI investment, SBC, and tvScientific integration costs offset restructuring savings. Higher WACC reflects heightened execution risk.</t>
  </si>
  <si>
    <t>Pinterest (PINS) - Sensitivity Analysis</t>
  </si>
  <si>
    <t>Intrinsic Value per Share (Base Case FCF Projections)</t>
  </si>
  <si>
    <t>Current Price: $17.96  |  Valuation Date: 2026-03-27</t>
  </si>
  <si>
    <t>WACC vs Terminal Growth Rate</t>
  </si>
  <si>
    <t>WACC \ Term G</t>
  </si>
  <si>
    <t>2.0%</t>
  </si>
  <si>
    <t>3.0%</t>
  </si>
  <si>
    <t>4.0%</t>
  </si>
  <si>
    <t>Color Legend:</t>
  </si>
  <si>
    <t>&gt;100% upside (2x+)</t>
  </si>
  <si>
    <t>50-100% upside</t>
  </si>
  <si>
    <t>20-50% upside</t>
  </si>
  <si>
    <t>0-20% upside</t>
  </si>
  <si>
    <t>Below current price</t>
  </si>
  <si>
    <t>Implied Upside / (Downside) vs Current Price ($17.96)</t>
  </si>
  <si>
    <t>Note: Uses base case FCF projections. Varying WACC from 8-12% and terminal growth from 2-4%.</t>
  </si>
  <si>
    <t>All 25 scenarios shown above are significantly above current price of $17.96.</t>
  </si>
  <si>
    <t>Pinterest (PINS) - Historical Growth Rates</t>
  </si>
  <si>
    <t>Used to inform DCF scenario assumptions  |  Base year for 3yr: FY2022  |  Base year for 5yr: FY2020</t>
  </si>
  <si>
    <t>3-Year CAGR</t>
  </si>
  <si>
    <t>5-Year CAGR</t>
  </si>
  <si>
    <t>Notes</t>
  </si>
  <si>
    <t>FY2022-FY2025 (3yr); FY2020-FY2025 (5yr). Most forward-representative metric.</t>
  </si>
  <si>
    <t>EPS</t>
  </si>
  <si>
    <t>N/A</t>
  </si>
  <si>
    <t>Not meaningful - negative/near-zero FY2019-FY2023; FY2024 distorted by $1.8B tax benefit</t>
  </si>
  <si>
    <t>Equity (Book Value)</t>
  </si>
  <si>
    <t>Distorted by FY2024 deferred tax asset release ($1.8B). Not selected as primary.</t>
  </si>
  <si>
    <t>3yr inflated by recovery from depressed FY2022 ($440M). 5yr uses COVID-impacted FY2020 base.</t>
  </si>
  <si>
    <t>SELECTED GROWTH RATE</t>
  </si>
  <si>
    <t>Revenue 3yr CAGR</t>
  </si>
  <si>
    <t>Revenue 3yr CAGR (14.6%) selected as most conservative and forward-representative. Consistent with FY2025 actual revenue growth of 16% and Q1 2026 guidance of 11-14%. Equity/revenue divergence of 6.3% is well within 30% threshold but equity is distorted, so revenue preferred.</t>
  </si>
  <si>
    <t>KEY HISTORICAL FIGURES</t>
  </si>
  <si>
    <t>Year</t>
  </si>
  <si>
    <t>FCF ($M)</t>
  </si>
  <si>
    <t>Equity ($M)</t>
  </si>
  <si>
    <t>FY2020</t>
  </si>
  <si>
    <t>FY2021</t>
  </si>
  <si>
    <t>FY2022</t>
  </si>
  <si>
    <t>FY2023</t>
  </si>
  <si>
    <t>FY2024</t>
  </si>
  <si>
    <t>FY2025</t>
  </si>
  <si>
    <t>Note: FY2024 equity includes $1.8B deferred tax asset release. FY2025 equity back to normalized level.</t>
  </si>
  <si>
    <t>Note: FY2024 reported EPS $2.67 distorted by tax benefit; normalized EPS ~$0.26. Use FCF as primary metric.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</si>
</sst>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,##0.0"/>
    <numFmt numFmtId="166" formatCode="0.0%"/>
  </numFmts>
  <fonts count="14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894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3"/>
      <color rgb="FF00B894"/>
      <name val="Calibri"/>
      <family val="2"/>
      <scheme val="minor"/>
    </font>
    <font>
      <b/>
      <sz val="13"/>
      <color rgb="FFD63031"/>
      <name val="Calibri"/>
      <family val="2"/>
      <scheme val="minor"/>
    </font>
    <font>
      <sz val="11"/>
      <color rgb="FFB2BEC3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2D3436"/>
      <name val="Calibri"/>
      <family val="2"/>
      <scheme val="minor"/>
    </font>
    <font>
      <i/>
      <sz val="11"/>
      <color rgb="FFB2BEC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B2F5D7"/>
        <bgColor indexed="64"/>
      </patternFill>
    </fill>
    <fill>
      <patternFill patternType="solid">
        <fgColor rgb="FFFAB1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3" borderId="2" xfId="0" applyNumberFormat="1" applyFill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165" fontId="0" fillId="3" borderId="2" xfId="0" applyNumberFormat="1" applyFill="1" applyBorder="1" applyAlignment="1">
      <alignment horizontal="right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165" fontId="0" fillId="0" borderId="2" xfId="0" applyNumberFormat="1" applyBorder="1" applyAlignment="1">
      <alignment horizontal="right"/>
    </xf>
    <xf numFmtId="166" fontId="0" fillId="3" borderId="2" xfId="0" applyNumberFormat="1" applyFill="1" applyBorder="1" applyAlignment="1">
      <alignment horizontal="right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164" fontId="4" fillId="6" borderId="2" xfId="0" applyNumberFormat="1" applyFont="1" applyFill="1" applyBorder="1" applyAlignment="1">
      <alignment horizontal="right"/>
    </xf>
    <xf numFmtId="166" fontId="6" fillId="0" borderId="2" xfId="0" applyNumberFormat="1" applyFont="1" applyBorder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left" indent="1"/>
    </xf>
    <xf numFmtId="0" fontId="10" fillId="0" borderId="2" xfId="0" applyFont="1" applyBorder="1" applyAlignment="1">
      <alignment horizontal="center"/>
    </xf>
    <xf numFmtId="164" fontId="0" fillId="8" borderId="2" xfId="0" applyNumberFormat="1" applyFill="1" applyBorder="1" applyAlignment="1">
      <alignment horizontal="right"/>
    </xf>
    <xf numFmtId="0" fontId="11" fillId="6" borderId="2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166" fontId="0" fillId="9" borderId="2" xfId="0" applyNumberFormat="1" applyFill="1" applyBorder="1" applyAlignment="1">
      <alignment horizontal="right"/>
    </xf>
    <xf numFmtId="0" fontId="13" fillId="0" borderId="2" xfId="0" applyFont="1" applyBorder="1" applyAlignment="1">
      <alignment horizontal="center"/>
    </xf>
    <xf numFmtId="166" fontId="4" fillId="6" borderId="2" xfId="0" applyNumberFormat="1" applyFont="1" applyFill="1" applyBorder="1" applyAlignment="1">
      <alignment horizontal="right"/>
    </xf>
    <xf numFmtId="0" fontId="4" fillId="6" borderId="2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zoomScale="90" zoomScaleNormal="90" workbookViewId="0"/>
  </sheetViews>
  <sheetFormatPr defaultRowHeight="15"/>
  <cols>
    <col min="1" max="1" width="28.7109375" customWidth="1"/>
    <col min="2" max="2" width="14.7109375" customWidth="1"/>
    <col min="3" max="7" width="13.7109375" customWidth="1"/>
    <col min="8" max="8" width="2.7109375" customWidth="1"/>
    <col min="9" max="9" width="22.7109375" customWidth="1"/>
    <col min="10" max="10" width="14.7109375" customWidth="1"/>
    <col min="11" max="12" width="13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5" spans="1:12">
      <c r="A5" s="3" t="s">
        <v>3</v>
      </c>
      <c r="B5" s="3"/>
      <c r="C5" s="3"/>
      <c r="D5" s="3"/>
      <c r="E5" s="3"/>
      <c r="F5" s="3"/>
      <c r="G5" s="3"/>
      <c r="H5" s="3"/>
      <c r="I5" s="3" t="s">
        <v>39</v>
      </c>
      <c r="J5" s="3"/>
      <c r="K5" s="3"/>
      <c r="L5" s="3"/>
    </row>
    <row r="6" spans="1:12">
      <c r="A6" t="s">
        <v>4</v>
      </c>
      <c r="B6" s="4">
        <v>17.96</v>
      </c>
      <c r="I6" s="5" t="s">
        <v>40</v>
      </c>
      <c r="J6" s="6" t="s">
        <v>41</v>
      </c>
      <c r="K6" s="7" t="s">
        <v>42</v>
      </c>
      <c r="L6" s="8" t="s">
        <v>43</v>
      </c>
    </row>
    <row r="7" spans="1:12">
      <c r="A7" t="s">
        <v>5</v>
      </c>
      <c r="B7" s="9">
        <v>680</v>
      </c>
      <c r="I7" s="10" t="s">
        <v>11</v>
      </c>
      <c r="J7" s="11" t="s">
        <v>44</v>
      </c>
      <c r="K7" s="11" t="s">
        <v>45</v>
      </c>
      <c r="L7" s="11" t="s">
        <v>46</v>
      </c>
    </row>
    <row r="8" spans="1:12">
      <c r="A8" t="s">
        <v>6</v>
      </c>
      <c r="B8" s="9">
        <v>2467.2</v>
      </c>
      <c r="I8" s="12" t="s">
        <v>47</v>
      </c>
      <c r="J8" s="13" t="s">
        <v>48</v>
      </c>
      <c r="K8" s="13" t="s">
        <v>49</v>
      </c>
      <c r="L8" s="13" t="s">
        <v>50</v>
      </c>
    </row>
    <row r="9" spans="1:12">
      <c r="A9" t="s">
        <v>7</v>
      </c>
      <c r="B9" s="9">
        <v>1750</v>
      </c>
      <c r="I9" s="10" t="s">
        <v>51</v>
      </c>
      <c r="J9" s="11" t="s">
        <v>52</v>
      </c>
      <c r="K9" s="11" t="s">
        <v>53</v>
      </c>
      <c r="L9" s="11" t="s">
        <v>45</v>
      </c>
    </row>
    <row r="10" spans="1:12">
      <c r="A10" t="s">
        <v>8</v>
      </c>
      <c r="B10" s="14">
        <f>B9-B8</f>
        <v>0</v>
      </c>
      <c r="I10" s="12" t="s">
        <v>54</v>
      </c>
      <c r="J10" s="13" t="s">
        <v>55</v>
      </c>
      <c r="K10" s="13" t="s">
        <v>56</v>
      </c>
      <c r="L10" s="13" t="s">
        <v>57</v>
      </c>
    </row>
    <row r="11" spans="1:12">
      <c r="A11" t="s">
        <v>9</v>
      </c>
      <c r="B11" s="9">
        <v>1251.9</v>
      </c>
      <c r="I11" s="10" t="s">
        <v>58</v>
      </c>
      <c r="J11" s="11" t="s">
        <v>59</v>
      </c>
      <c r="K11" s="11" t="s">
        <v>60</v>
      </c>
      <c r="L11" s="11" t="s">
        <v>61</v>
      </c>
    </row>
    <row r="12" spans="1:12">
      <c r="A12" t="s">
        <v>10</v>
      </c>
      <c r="B12" s="9">
        <v>4221.8</v>
      </c>
      <c r="I12" s="12" t="s">
        <v>62</v>
      </c>
      <c r="J12" s="13" t="s">
        <v>63</v>
      </c>
      <c r="K12" s="13" t="s">
        <v>64</v>
      </c>
      <c r="L12" s="13" t="s">
        <v>65</v>
      </c>
    </row>
    <row r="13" spans="1:12">
      <c r="I13" s="10" t="s">
        <v>66</v>
      </c>
      <c r="J13" s="11" t="s">
        <v>67</v>
      </c>
      <c r="K13" s="11" t="s">
        <v>68</v>
      </c>
      <c r="L13" s="11" t="s">
        <v>69</v>
      </c>
    </row>
    <row r="14" spans="1:12">
      <c r="A14" t="s">
        <v>11</v>
      </c>
      <c r="B14" s="15">
        <v>0.1</v>
      </c>
      <c r="I14" s="12" t="s">
        <v>70</v>
      </c>
      <c r="J14" s="13" t="s">
        <v>71</v>
      </c>
      <c r="K14" s="13" t="s">
        <v>72</v>
      </c>
      <c r="L14" s="13" t="s">
        <v>73</v>
      </c>
    </row>
    <row r="15" spans="1:12">
      <c r="A15" t="s">
        <v>12</v>
      </c>
      <c r="B15" s="15">
        <v>0.03</v>
      </c>
      <c r="I15" s="10" t="s">
        <v>74</v>
      </c>
      <c r="J15" s="11" t="s">
        <v>75</v>
      </c>
      <c r="K15" s="11" t="s">
        <v>76</v>
      </c>
      <c r="L15" s="11" t="s">
        <v>77</v>
      </c>
    </row>
    <row r="16" spans="1:12">
      <c r="I16" s="12" t="s">
        <v>78</v>
      </c>
      <c r="J16" s="13" t="s">
        <v>79</v>
      </c>
      <c r="K16" s="13" t="s">
        <v>80</v>
      </c>
      <c r="L16" s="13" t="s">
        <v>81</v>
      </c>
    </row>
    <row r="17" spans="1:12">
      <c r="A17" s="3" t="s">
        <v>13</v>
      </c>
      <c r="B17" s="3"/>
      <c r="C17" s="3"/>
      <c r="D17" s="3"/>
      <c r="E17" s="3"/>
      <c r="F17" s="3"/>
      <c r="G17" s="3"/>
      <c r="H17" s="3"/>
      <c r="I17" s="10" t="s">
        <v>82</v>
      </c>
      <c r="J17" s="11" t="s">
        <v>83</v>
      </c>
      <c r="K17" s="11" t="s">
        <v>84</v>
      </c>
      <c r="L17" s="11" t="s">
        <v>85</v>
      </c>
    </row>
    <row r="18" spans="1:12">
      <c r="A18" s="5"/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I18" s="12" t="s">
        <v>86</v>
      </c>
      <c r="J18" s="13" t="s">
        <v>87</v>
      </c>
      <c r="K18" s="13" t="s">
        <v>88</v>
      </c>
      <c r="L18" s="13" t="s">
        <v>89</v>
      </c>
    </row>
    <row r="19" spans="1:12">
      <c r="A19" t="s">
        <v>19</v>
      </c>
      <c r="B19" s="15">
        <v>0.14</v>
      </c>
      <c r="C19" s="15">
        <v>0.12</v>
      </c>
      <c r="D19" s="15">
        <v>0.1</v>
      </c>
      <c r="E19" s="15">
        <v>0.09</v>
      </c>
      <c r="F19" s="15">
        <v>0.08</v>
      </c>
      <c r="I19" s="16" t="s">
        <v>90</v>
      </c>
      <c r="J19" s="17" t="s">
        <v>91</v>
      </c>
      <c r="K19" s="5" t="s">
        <v>92</v>
      </c>
      <c r="L19" s="5"/>
    </row>
    <row r="20" spans="1:12">
      <c r="A20" t="s">
        <v>20</v>
      </c>
      <c r="B20" s="15">
        <v>0.3</v>
      </c>
      <c r="C20" s="15">
        <v>0.31</v>
      </c>
      <c r="D20" s="15">
        <v>0.32</v>
      </c>
      <c r="E20" s="15">
        <v>0.32</v>
      </c>
      <c r="F20" s="15">
        <v>0.33</v>
      </c>
    </row>
    <row r="22" spans="1:12">
      <c r="A22" s="3" t="s">
        <v>21</v>
      </c>
      <c r="B22" s="3"/>
      <c r="C22" s="3"/>
      <c r="D22" s="3"/>
      <c r="E22" s="3"/>
      <c r="F22" s="3"/>
      <c r="G22" s="3"/>
      <c r="H22" s="3"/>
    </row>
    <row r="23" spans="1:12">
      <c r="A23" s="5"/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</row>
    <row r="24" spans="1:12">
      <c r="A24" t="s">
        <v>22</v>
      </c>
      <c r="B24" s="14">
        <f>$B$12*(1+B19)</f>
        <v>0</v>
      </c>
      <c r="C24" s="14">
        <f>B24*(1+C19)</f>
        <v>0</v>
      </c>
      <c r="D24" s="14">
        <f>C24*(1+D19)</f>
        <v>0</v>
      </c>
      <c r="E24" s="14">
        <f>D24*(1+E19)</f>
        <v>0</v>
      </c>
      <c r="F24" s="14">
        <f>E24*(1+F19)</f>
        <v>0</v>
      </c>
    </row>
    <row r="25" spans="1:12">
      <c r="A25" t="s">
        <v>23</v>
      </c>
      <c r="B25" s="14">
        <f>B24*B20</f>
        <v>0</v>
      </c>
      <c r="C25" s="14">
        <f>C24*C20</f>
        <v>0</v>
      </c>
      <c r="D25" s="14">
        <f>D24*D20</f>
        <v>0</v>
      </c>
      <c r="E25" s="14">
        <f>E24*E20</f>
        <v>0</v>
      </c>
      <c r="F25" s="14">
        <f>F24*F20</f>
        <v>0</v>
      </c>
    </row>
    <row r="26" spans="1:12">
      <c r="A26" t="s">
        <v>24</v>
      </c>
      <c r="B26" s="14">
        <f>1/(1+$B$14)^1</f>
        <v>0</v>
      </c>
      <c r="C26" s="14">
        <f>1/(1+$B$14)^2</f>
        <v>0</v>
      </c>
      <c r="D26" s="14">
        <f>1/(1+$B$14)^3</f>
        <v>0</v>
      </c>
      <c r="E26" s="14">
        <f>1/(1+$B$14)^4</f>
        <v>0</v>
      </c>
      <c r="F26" s="14">
        <f>1/(1+$B$14)^5</f>
        <v>0</v>
      </c>
    </row>
    <row r="27" spans="1:12">
      <c r="A27" t="s">
        <v>25</v>
      </c>
      <c r="B27" s="14">
        <f>B25*B26</f>
        <v>0</v>
      </c>
      <c r="C27" s="14">
        <f>C25*C26</f>
        <v>0</v>
      </c>
      <c r="D27" s="14">
        <f>D25*D26</f>
        <v>0</v>
      </c>
      <c r="E27" s="14">
        <f>E25*E26</f>
        <v>0</v>
      </c>
      <c r="F27" s="14">
        <f>F25*F26</f>
        <v>0</v>
      </c>
    </row>
    <row r="30" spans="1:12">
      <c r="A30" s="3" t="s">
        <v>26</v>
      </c>
      <c r="B30" s="3"/>
      <c r="C30" s="3"/>
      <c r="D30" s="3"/>
      <c r="E30" s="3"/>
      <c r="F30" s="3"/>
      <c r="G30" s="3"/>
      <c r="H30" s="3"/>
    </row>
    <row r="31" spans="1:12">
      <c r="A31" t="s">
        <v>27</v>
      </c>
      <c r="B31" s="14">
        <f>SUM(B27:F27)</f>
        <v>0</v>
      </c>
    </row>
    <row r="32" spans="1:12">
      <c r="A32" t="s">
        <v>28</v>
      </c>
      <c r="B32" s="14">
        <f>F25*(1+$B$15)</f>
        <v>0</v>
      </c>
    </row>
    <row r="33" spans="1:2">
      <c r="A33" t="s">
        <v>29</v>
      </c>
      <c r="B33" s="14">
        <f>B32/($B$14-$B$15)</f>
        <v>0</v>
      </c>
    </row>
    <row r="34" spans="1:2">
      <c r="A34" t="s">
        <v>30</v>
      </c>
      <c r="B34" s="14">
        <f>B33*F26</f>
        <v>0</v>
      </c>
    </row>
    <row r="35" spans="1:2">
      <c r="A35" t="s">
        <v>31</v>
      </c>
      <c r="B35" s="14">
        <f>B31+B34</f>
        <v>0</v>
      </c>
    </row>
    <row r="36" spans="1:2">
      <c r="A36" t="s">
        <v>32</v>
      </c>
      <c r="B36" s="14">
        <f>B10</f>
        <v>0</v>
      </c>
    </row>
    <row r="37" spans="1:2">
      <c r="A37" t="s">
        <v>33</v>
      </c>
      <c r="B37" s="14">
        <f>B35-B36</f>
        <v>0</v>
      </c>
    </row>
    <row r="39" spans="1:2">
      <c r="A39" s="18" t="s">
        <v>34</v>
      </c>
      <c r="B39" s="19">
        <f>B37/B7</f>
        <v>0</v>
      </c>
    </row>
    <row r="40" spans="1:2">
      <c r="A40" t="s">
        <v>35</v>
      </c>
      <c r="B40" s="20">
        <f>(B39-B6)/B6</f>
        <v>0</v>
      </c>
    </row>
    <row r="42" spans="1:2">
      <c r="A42" s="18" t="s">
        <v>36</v>
      </c>
      <c r="B42" s="21">
        <f>(B33/B7)/(1.15^5)</f>
        <v>0</v>
      </c>
    </row>
    <row r="43" spans="1:2">
      <c r="A43" t="s">
        <v>37</v>
      </c>
      <c r="B43" s="22">
        <f>(B6-B42)/B6</f>
        <v>0</v>
      </c>
    </row>
    <row r="44" spans="1:2">
      <c r="A44" s="23" t="s">
        <v>38</v>
      </c>
      <c r="B44" s="23"/>
    </row>
  </sheetData>
  <mergeCells count="1">
    <mergeCell ref="K19:L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zoomScale="90" zoomScaleNormal="90" workbookViewId="0"/>
  </sheetViews>
  <sheetFormatPr defaultRowHeight="15"/>
  <cols>
    <col min="1" max="1" width="28.7109375" customWidth="1"/>
    <col min="2" max="7" width="13.7109375" customWidth="1"/>
    <col min="8" max="8" width="2.7109375" customWidth="1"/>
    <col min="9" max="9" width="28.7109375" customWidth="1"/>
    <col min="10" max="15" width="13.7109375" customWidth="1"/>
  </cols>
  <sheetData>
    <row r="1" spans="1:16">
      <c r="A1" s="1" t="s">
        <v>93</v>
      </c>
    </row>
    <row r="2" spans="1:16">
      <c r="A2" s="2" t="s">
        <v>94</v>
      </c>
    </row>
    <row r="4" spans="1:16">
      <c r="A4" s="24" t="s">
        <v>95</v>
      </c>
      <c r="J4" s="25" t="s">
        <v>108</v>
      </c>
    </row>
    <row r="5" spans="1:16">
      <c r="A5" s="23" t="s">
        <v>96</v>
      </c>
      <c r="J5" s="23" t="s">
        <v>109</v>
      </c>
    </row>
    <row r="7" spans="1:16">
      <c r="A7" s="7"/>
      <c r="B7" s="7" t="s">
        <v>97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J7" s="8"/>
      <c r="K7" s="8" t="s">
        <v>97</v>
      </c>
      <c r="L7" s="8" t="s">
        <v>14</v>
      </c>
      <c r="M7" s="8" t="s">
        <v>15</v>
      </c>
      <c r="N7" s="8" t="s">
        <v>16</v>
      </c>
      <c r="O7" s="8" t="s">
        <v>17</v>
      </c>
      <c r="P7" s="8" t="s">
        <v>18</v>
      </c>
    </row>
    <row r="8" spans="1:16">
      <c r="A8" s="26" t="s">
        <v>98</v>
      </c>
      <c r="B8" s="14">
        <v>4221.8</v>
      </c>
      <c r="C8" s="14">
        <v>4939.5</v>
      </c>
      <c r="D8" s="14">
        <v>5729.8</v>
      </c>
      <c r="E8" s="14">
        <v>6532</v>
      </c>
      <c r="F8" s="14">
        <v>7381.2</v>
      </c>
      <c r="G8" s="14">
        <v>8193.1</v>
      </c>
      <c r="J8" s="26" t="s">
        <v>98</v>
      </c>
      <c r="K8" s="14">
        <v>4221.8</v>
      </c>
      <c r="L8" s="14">
        <v>4601.8</v>
      </c>
      <c r="M8" s="14">
        <v>4969.9</v>
      </c>
      <c r="N8" s="14">
        <v>5367.5</v>
      </c>
      <c r="O8" s="14">
        <v>5743.2</v>
      </c>
      <c r="P8" s="14">
        <v>6087.8</v>
      </c>
    </row>
    <row r="9" spans="1:16">
      <c r="A9" s="26" t="s">
        <v>99</v>
      </c>
      <c r="B9" s="27" t="s">
        <v>100</v>
      </c>
      <c r="C9" s="22">
        <v>0.17</v>
      </c>
      <c r="D9" s="22">
        <v>0.16</v>
      </c>
      <c r="E9" s="22">
        <v>0.14</v>
      </c>
      <c r="F9" s="22">
        <v>0.13</v>
      </c>
      <c r="G9" s="22">
        <v>0.11</v>
      </c>
      <c r="J9" s="26" t="s">
        <v>99</v>
      </c>
      <c r="K9" s="27" t="s">
        <v>100</v>
      </c>
      <c r="L9" s="22">
        <v>0.09</v>
      </c>
      <c r="M9" s="22">
        <v>0.08</v>
      </c>
      <c r="N9" s="22">
        <v>0.08</v>
      </c>
      <c r="O9" s="22">
        <v>0.07000000000000001</v>
      </c>
      <c r="P9" s="22">
        <v>0.06</v>
      </c>
    </row>
    <row r="10" spans="1:16">
      <c r="A10" s="26" t="s">
        <v>20</v>
      </c>
      <c r="B10" s="22">
        <v>0.2965322848074281</v>
      </c>
      <c r="C10" s="22">
        <v>0.31</v>
      </c>
      <c r="D10" s="22">
        <v>0.32</v>
      </c>
      <c r="E10" s="22">
        <v>0.33</v>
      </c>
      <c r="F10" s="22">
        <v>0.34</v>
      </c>
      <c r="G10" s="22">
        <v>0.35</v>
      </c>
      <c r="J10" s="26" t="s">
        <v>20</v>
      </c>
      <c r="K10" s="22">
        <v>0.2965322848074281</v>
      </c>
      <c r="L10" s="22">
        <v>0.28</v>
      </c>
      <c r="M10" s="22">
        <v>0.28</v>
      </c>
      <c r="N10" s="22">
        <v>0.29</v>
      </c>
      <c r="O10" s="22">
        <v>0.29</v>
      </c>
      <c r="P10" s="22">
        <v>0.29</v>
      </c>
    </row>
    <row r="11" spans="1:16">
      <c r="A11" s="26" t="s">
        <v>101</v>
      </c>
      <c r="B11" s="14">
        <v>1251.9</v>
      </c>
      <c r="C11" s="14">
        <v>1531.2</v>
      </c>
      <c r="D11" s="14">
        <v>1833.5</v>
      </c>
      <c r="E11" s="14">
        <v>2155.6</v>
      </c>
      <c r="F11" s="14">
        <v>2509.6</v>
      </c>
      <c r="G11" s="14">
        <v>2867.6</v>
      </c>
      <c r="J11" s="26" t="s">
        <v>101</v>
      </c>
      <c r="K11" s="14">
        <v>1251.9</v>
      </c>
      <c r="L11" s="14">
        <v>1288.5</v>
      </c>
      <c r="M11" s="14">
        <v>1391.6</v>
      </c>
      <c r="N11" s="14">
        <v>1556.6</v>
      </c>
      <c r="O11" s="14">
        <v>1665.5</v>
      </c>
      <c r="P11" s="14">
        <v>1765.5</v>
      </c>
    </row>
    <row r="12" spans="1:16">
      <c r="A12" s="26" t="s">
        <v>24</v>
      </c>
      <c r="B12" s="27" t="s">
        <v>100</v>
      </c>
      <c r="C12" s="22">
        <v>0.9174</v>
      </c>
      <c r="D12" s="22">
        <v>0.8417</v>
      </c>
      <c r="E12" s="22">
        <v>0.7722</v>
      </c>
      <c r="F12" s="22">
        <v>0.7084</v>
      </c>
      <c r="G12" s="22">
        <v>0.6499</v>
      </c>
      <c r="J12" s="26" t="s">
        <v>24</v>
      </c>
      <c r="K12" s="27" t="s">
        <v>100</v>
      </c>
      <c r="L12" s="22">
        <v>0.8929</v>
      </c>
      <c r="M12" s="22">
        <v>0.7972</v>
      </c>
      <c r="N12" s="22">
        <v>0.7118</v>
      </c>
      <c r="O12" s="22">
        <v>0.6355</v>
      </c>
      <c r="P12" s="22">
        <v>0.5674</v>
      </c>
    </row>
    <row r="13" spans="1:16">
      <c r="A13" s="26" t="s">
        <v>102</v>
      </c>
      <c r="B13" s="27" t="s">
        <v>100</v>
      </c>
      <c r="C13" s="14">
        <v>1404.8</v>
      </c>
      <c r="D13" s="14">
        <v>1543.3</v>
      </c>
      <c r="E13" s="14">
        <v>1664.5</v>
      </c>
      <c r="F13" s="14">
        <v>1777.9</v>
      </c>
      <c r="G13" s="14">
        <v>1863.7</v>
      </c>
      <c r="J13" s="26" t="s">
        <v>102</v>
      </c>
      <c r="K13" s="27" t="s">
        <v>100</v>
      </c>
      <c r="L13" s="14">
        <v>1150.4</v>
      </c>
      <c r="M13" s="14">
        <v>1109.4</v>
      </c>
      <c r="N13" s="14">
        <v>1107.9</v>
      </c>
      <c r="O13" s="14">
        <v>1058.5</v>
      </c>
      <c r="P13" s="14">
        <v>1001.8</v>
      </c>
    </row>
    <row r="14" spans="1:16">
      <c r="A14" s="18" t="s">
        <v>103</v>
      </c>
      <c r="B14" s="14">
        <v>8254.200000000001</v>
      </c>
      <c r="J14" s="18" t="s">
        <v>103</v>
      </c>
      <c r="K14" s="14">
        <v>5428</v>
      </c>
    </row>
    <row r="15" spans="1:16">
      <c r="A15" s="18" t="s">
        <v>70</v>
      </c>
      <c r="B15" s="14">
        <v>53963</v>
      </c>
      <c r="J15" s="18" t="s">
        <v>70</v>
      </c>
      <c r="K15" s="14">
        <v>19048.8</v>
      </c>
    </row>
    <row r="16" spans="1:16">
      <c r="A16" s="18" t="s">
        <v>104</v>
      </c>
      <c r="B16" s="14">
        <v>35070.6</v>
      </c>
      <c r="J16" s="18" t="s">
        <v>104</v>
      </c>
      <c r="K16" s="14">
        <v>10808.3</v>
      </c>
    </row>
    <row r="17" spans="1:11">
      <c r="A17" s="18" t="s">
        <v>74</v>
      </c>
      <c r="B17" s="14">
        <v>43324.8</v>
      </c>
      <c r="J17" s="18" t="s">
        <v>74</v>
      </c>
      <c r="K17" s="14">
        <v>16236.3</v>
      </c>
    </row>
    <row r="18" spans="1:11">
      <c r="A18" s="18" t="s">
        <v>105</v>
      </c>
      <c r="B18" s="14">
        <v>-717.2</v>
      </c>
      <c r="J18" s="18" t="s">
        <v>105</v>
      </c>
      <c r="K18" s="14">
        <v>-717.2</v>
      </c>
    </row>
    <row r="19" spans="1:11">
      <c r="A19" s="18" t="s">
        <v>106</v>
      </c>
      <c r="B19" s="14">
        <v>44042</v>
      </c>
      <c r="J19" s="18" t="s">
        <v>106</v>
      </c>
      <c r="K19" s="14">
        <v>16953.5</v>
      </c>
    </row>
    <row r="20" spans="1:11">
      <c r="A20" s="18" t="s">
        <v>107</v>
      </c>
      <c r="B20" s="19">
        <v>64.77</v>
      </c>
      <c r="J20" s="18" t="s">
        <v>107</v>
      </c>
      <c r="K20" s="19">
        <v>24.93</v>
      </c>
    </row>
    <row r="21" spans="1:11">
      <c r="A21" s="18" t="s">
        <v>82</v>
      </c>
      <c r="B21" s="20">
        <v>2.606</v>
      </c>
      <c r="J21" s="18" t="s">
        <v>82</v>
      </c>
      <c r="K21" s="20">
        <v>0.388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zoomScale="90" zoomScaleNormal="90" workbookViewId="0"/>
  </sheetViews>
  <sheetFormatPr defaultRowHeight="15"/>
  <cols>
    <col min="1" max="1" width="18.7109375" customWidth="1"/>
    <col min="2" max="6" width="13.7109375" customWidth="1"/>
  </cols>
  <sheetData>
    <row r="1" spans="1:6">
      <c r="A1" s="1" t="s">
        <v>110</v>
      </c>
    </row>
    <row r="2" spans="1:6">
      <c r="A2" s="2" t="s">
        <v>111</v>
      </c>
    </row>
    <row r="3" spans="1:6">
      <c r="A3" s="2" t="s">
        <v>112</v>
      </c>
    </row>
    <row r="5" spans="1:6">
      <c r="A5" s="3" t="s">
        <v>113</v>
      </c>
      <c r="B5" s="3"/>
      <c r="C5" s="3"/>
      <c r="D5" s="3"/>
      <c r="E5" s="3"/>
      <c r="F5" s="3"/>
    </row>
    <row r="7" spans="1:6">
      <c r="A7" s="5" t="s">
        <v>114</v>
      </c>
      <c r="B7" s="5" t="s">
        <v>115</v>
      </c>
      <c r="C7" s="5" t="s">
        <v>50</v>
      </c>
      <c r="D7" s="5" t="s">
        <v>116</v>
      </c>
      <c r="E7" s="5" t="s">
        <v>49</v>
      </c>
      <c r="F7" s="5" t="s">
        <v>117</v>
      </c>
    </row>
    <row r="8" spans="1:6">
      <c r="A8" s="5" t="s">
        <v>55</v>
      </c>
      <c r="B8" s="19">
        <v>51.07</v>
      </c>
      <c r="C8" s="19">
        <v>54.85</v>
      </c>
      <c r="D8" s="19">
        <v>59.37</v>
      </c>
      <c r="E8" s="19">
        <v>64.91</v>
      </c>
      <c r="F8" s="19">
        <v>71.81999999999999</v>
      </c>
    </row>
    <row r="9" spans="1:6">
      <c r="A9" s="5" t="s">
        <v>45</v>
      </c>
      <c r="B9" s="19">
        <v>43.66</v>
      </c>
      <c r="C9" s="19">
        <v>46.3</v>
      </c>
      <c r="D9" s="19">
        <v>49.38</v>
      </c>
      <c r="E9" s="19">
        <v>53.01</v>
      </c>
      <c r="F9" s="19">
        <v>57.37</v>
      </c>
    </row>
    <row r="10" spans="1:6">
      <c r="A10" s="5" t="s">
        <v>44</v>
      </c>
      <c r="B10" s="19">
        <v>38.11</v>
      </c>
      <c r="C10" s="19">
        <v>40.04</v>
      </c>
      <c r="D10" s="19">
        <v>42.24</v>
      </c>
      <c r="E10" s="19">
        <v>44.78</v>
      </c>
      <c r="F10" s="19">
        <v>47.75</v>
      </c>
    </row>
    <row r="11" spans="1:6">
      <c r="A11" s="5" t="s">
        <v>56</v>
      </c>
      <c r="B11" s="28">
        <v>33.8</v>
      </c>
      <c r="C11" s="28">
        <v>35.26</v>
      </c>
      <c r="D11" s="19">
        <v>36.9</v>
      </c>
      <c r="E11" s="19">
        <v>38.76</v>
      </c>
      <c r="F11" s="19">
        <v>40.88</v>
      </c>
    </row>
    <row r="12" spans="1:6">
      <c r="A12" s="5" t="s">
        <v>46</v>
      </c>
      <c r="B12" s="28">
        <v>30.36</v>
      </c>
      <c r="C12" s="28">
        <v>31.49</v>
      </c>
      <c r="D12" s="28">
        <v>32.75</v>
      </c>
      <c r="E12" s="28">
        <v>34.15</v>
      </c>
      <c r="F12" s="28">
        <v>35.74</v>
      </c>
    </row>
    <row r="14" spans="1:6">
      <c r="A14" s="18" t="s">
        <v>118</v>
      </c>
    </row>
    <row r="15" spans="1:6">
      <c r="B15" s="29" t="s">
        <v>119</v>
      </c>
      <c r="C15" s="30" t="s">
        <v>120</v>
      </c>
      <c r="D15" s="31" t="s">
        <v>121</v>
      </c>
      <c r="E15" s="32" t="s">
        <v>122</v>
      </c>
      <c r="F15" s="33" t="s">
        <v>123</v>
      </c>
    </row>
    <row r="17" spans="1:6">
      <c r="A17" s="3" t="s">
        <v>124</v>
      </c>
      <c r="B17" s="3"/>
      <c r="C17" s="3"/>
      <c r="D17" s="3"/>
      <c r="E17" s="3"/>
      <c r="F17" s="3"/>
    </row>
    <row r="18" spans="1:6">
      <c r="A18" s="5" t="s">
        <v>114</v>
      </c>
    </row>
    <row r="19" spans="1:6">
      <c r="B19" s="5" t="s">
        <v>115</v>
      </c>
      <c r="C19" s="5" t="s">
        <v>50</v>
      </c>
      <c r="D19" s="5" t="s">
        <v>116</v>
      </c>
      <c r="E19" s="5" t="s">
        <v>49</v>
      </c>
      <c r="F19" s="5" t="s">
        <v>117</v>
      </c>
    </row>
    <row r="20" spans="1:6">
      <c r="A20" s="5" t="s">
        <v>55</v>
      </c>
      <c r="B20" s="34">
        <v>1.843541202672606</v>
      </c>
      <c r="C20" s="34">
        <v>2.054008908685969</v>
      </c>
      <c r="D20" s="34">
        <v>2.305679287305122</v>
      </c>
      <c r="E20" s="34">
        <v>2.614142538975501</v>
      </c>
      <c r="F20" s="34">
        <v>2.998886414253897</v>
      </c>
    </row>
    <row r="21" spans="1:6">
      <c r="A21" s="5" t="s">
        <v>45</v>
      </c>
      <c r="B21" s="34">
        <v>1.430957683741648</v>
      </c>
      <c r="C21" s="34">
        <v>1.577951002227171</v>
      </c>
      <c r="D21" s="34">
        <v>1.749443207126949</v>
      </c>
      <c r="E21" s="34">
        <v>1.951559020044543</v>
      </c>
      <c r="F21" s="34">
        <v>2.194320712694877</v>
      </c>
    </row>
    <row r="22" spans="1:6">
      <c r="A22" s="5" t="s">
        <v>44</v>
      </c>
      <c r="B22" s="34">
        <v>1.121937639198218</v>
      </c>
      <c r="C22" s="34">
        <v>1.229398663697105</v>
      </c>
      <c r="D22" s="34">
        <v>1.351893095768374</v>
      </c>
      <c r="E22" s="34">
        <v>1.493318485523385</v>
      </c>
      <c r="F22" s="34">
        <v>1.658685968819599</v>
      </c>
    </row>
    <row r="23" spans="1:6">
      <c r="A23" s="5" t="s">
        <v>56</v>
      </c>
      <c r="B23" s="34">
        <v>0.8819599109131401</v>
      </c>
      <c r="C23" s="34">
        <v>0.9632516703786189</v>
      </c>
      <c r="D23" s="34">
        <v>1.05456570155902</v>
      </c>
      <c r="E23" s="34">
        <v>1.158129175946548</v>
      </c>
      <c r="F23" s="34">
        <v>1.276169265033408</v>
      </c>
    </row>
    <row r="24" spans="1:6">
      <c r="A24" s="5" t="s">
        <v>46</v>
      </c>
      <c r="B24" s="34">
        <v>0.6904231625835188</v>
      </c>
      <c r="C24" s="34">
        <v>0.7533407572383072</v>
      </c>
      <c r="D24" s="34">
        <v>0.8234966592427616</v>
      </c>
      <c r="E24" s="34">
        <v>0.901447661469933</v>
      </c>
      <c r="F24" s="34">
        <v>0.989977728285078</v>
      </c>
    </row>
    <row r="26" spans="1:6">
      <c r="A26" s="23" t="s">
        <v>125</v>
      </c>
    </row>
    <row r="27" spans="1:6">
      <c r="A27" s="23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zoomScale="90" zoomScaleNormal="90" workbookViewId="0"/>
  </sheetViews>
  <sheetFormatPr defaultRowHeight="15"/>
  <cols>
    <col min="1" max="1" width="22.7109375" customWidth="1"/>
    <col min="2" max="3" width="16.7109375" customWidth="1"/>
    <col min="4" max="4" width="55.7109375" customWidth="1"/>
    <col min="5" max="5" width="14.7109375" customWidth="1"/>
  </cols>
  <sheetData>
    <row r="1" spans="1:5">
      <c r="A1" s="1" t="s">
        <v>127</v>
      </c>
    </row>
    <row r="2" spans="1:5">
      <c r="A2" s="2" t="s">
        <v>128</v>
      </c>
    </row>
    <row r="4" spans="1:5">
      <c r="A4" s="5" t="s">
        <v>40</v>
      </c>
      <c r="B4" s="5" t="s">
        <v>129</v>
      </c>
      <c r="C4" s="5" t="s">
        <v>130</v>
      </c>
      <c r="D4" s="5" t="s">
        <v>131</v>
      </c>
    </row>
    <row r="5" spans="1:5">
      <c r="A5" s="26" t="s">
        <v>22</v>
      </c>
      <c r="B5" s="22">
        <v>0.1463</v>
      </c>
      <c r="C5" s="22">
        <v>0.2006</v>
      </c>
      <c r="D5" s="23" t="s">
        <v>132</v>
      </c>
    </row>
    <row r="6" spans="1:5">
      <c r="A6" s="26" t="s">
        <v>133</v>
      </c>
      <c r="B6" s="35" t="s">
        <v>134</v>
      </c>
      <c r="C6" s="35" t="s">
        <v>134</v>
      </c>
      <c r="D6" s="23" t="s">
        <v>135</v>
      </c>
    </row>
    <row r="7" spans="1:5">
      <c r="A7" s="26" t="s">
        <v>136</v>
      </c>
      <c r="B7" s="22">
        <v>0.2231</v>
      </c>
      <c r="C7" s="22">
        <v>0.2131</v>
      </c>
      <c r="D7" s="23" t="s">
        <v>137</v>
      </c>
    </row>
    <row r="8" spans="1:5">
      <c r="A8" s="26" t="s">
        <v>23</v>
      </c>
      <c r="B8" s="22">
        <v>0.4168</v>
      </c>
      <c r="C8" s="22">
        <v>0.2337</v>
      </c>
      <c r="D8" s="23" t="s">
        <v>138</v>
      </c>
    </row>
    <row r="10" spans="1:5">
      <c r="A10" s="18" t="s">
        <v>139</v>
      </c>
      <c r="B10" s="36">
        <v>0.1463</v>
      </c>
      <c r="C10" s="37" t="s">
        <v>140</v>
      </c>
      <c r="D10" s="23" t="s">
        <v>141</v>
      </c>
    </row>
    <row r="12" spans="1:5">
      <c r="A12" s="38" t="s">
        <v>142</v>
      </c>
    </row>
    <row r="13" spans="1:5">
      <c r="A13" s="5" t="s">
        <v>143</v>
      </c>
      <c r="B13" s="5" t="s">
        <v>98</v>
      </c>
      <c r="C13" s="5" t="s">
        <v>144</v>
      </c>
      <c r="D13" s="5" t="s">
        <v>20</v>
      </c>
      <c r="E13" s="5" t="s">
        <v>145</v>
      </c>
    </row>
    <row r="14" spans="1:5">
      <c r="A14" s="26" t="s">
        <v>146</v>
      </c>
      <c r="B14" s="14">
        <v>1692.7</v>
      </c>
      <c r="C14" s="14">
        <v>438.1</v>
      </c>
      <c r="D14" s="22">
        <v>0.2588172741773498</v>
      </c>
      <c r="E14" s="14">
        <v>1806.2</v>
      </c>
    </row>
    <row r="15" spans="1:5">
      <c r="A15" s="26" t="s">
        <v>147</v>
      </c>
      <c r="B15" s="14">
        <v>2578</v>
      </c>
      <c r="C15" s="14">
        <v>687.1</v>
      </c>
      <c r="D15" s="22">
        <v>0.2665244375484872</v>
      </c>
      <c r="E15" s="14">
        <v>2535.9</v>
      </c>
    </row>
    <row r="16" spans="1:5">
      <c r="A16" s="26" t="s">
        <v>148</v>
      </c>
      <c r="B16" s="14">
        <v>2802.6</v>
      </c>
      <c r="C16" s="14">
        <v>440.2</v>
      </c>
      <c r="D16" s="22">
        <v>0.1570684364518661</v>
      </c>
      <c r="E16" s="14">
        <v>2593.6</v>
      </c>
    </row>
    <row r="17" spans="1:5">
      <c r="A17" s="26" t="s">
        <v>149</v>
      </c>
      <c r="B17" s="14">
        <v>3055.1</v>
      </c>
      <c r="C17" s="14">
        <v>605</v>
      </c>
      <c r="D17" s="22">
        <v>0.1980295244018199</v>
      </c>
      <c r="E17" s="14">
        <v>3090.7</v>
      </c>
    </row>
    <row r="18" spans="1:5">
      <c r="A18" s="26" t="s">
        <v>150</v>
      </c>
      <c r="B18" s="14">
        <v>3646.2</v>
      </c>
      <c r="C18" s="14">
        <v>940</v>
      </c>
      <c r="D18" s="22">
        <v>0.2578026438483901</v>
      </c>
      <c r="E18" s="14">
        <v>4751.2</v>
      </c>
    </row>
    <row r="19" spans="1:5">
      <c r="A19" s="26" t="s">
        <v>151</v>
      </c>
      <c r="B19" s="14">
        <v>4221.8</v>
      </c>
      <c r="C19" s="14">
        <v>1251.9</v>
      </c>
      <c r="D19" s="22">
        <v>0.2965322848074281</v>
      </c>
      <c r="E19" s="14">
        <v>4745.2</v>
      </c>
    </row>
    <row r="20" spans="1:5">
      <c r="A20" s="23" t="s">
        <v>152</v>
      </c>
    </row>
    <row r="21" spans="1:5">
      <c r="A21" s="2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Bull &amp; Bear Scenarios</vt:lpstr>
      <vt:lpstr>Sensitivity Analysis</vt:lpstr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2026-03-27T06:46:26Z</dcterms:created>
  <dcterms:modified xsi:type="dcterms:W3CDTF">2026-03-27T06:46:26Z</dcterms:modified>
</cp:coreProperties>
</file>