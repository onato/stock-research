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Historical Financials" sheetId="2" state="visible" r:id="rId4"/>
    <sheet name="DCF Assumptions" sheetId="3" state="visible" r:id="rId5"/>
    <sheet name="DCF Model" sheetId="4" state="visible" r:id="rId6"/>
    <sheet name="Model Comparison" sheetId="5" state="visible" r:id="rId7"/>
    <sheet name="Sensitiv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<sst xmlns="http://schemas.openxmlformats.org/spreadsheetml/2006/main" count="222" uniqueCount="192">
  <si>
    <t xml:space="preserve">PINTEREST, INC. (NYSE: PINS)</t>
  </si>
  <si>
    <t xml:space="preserve">DCF Valuation - SBC ADJUSTED</t>
  </si>
  <si>
    <t xml:space="preserve">KEY INSIGHT: Stock-Based Compensation Adjustment</t>
  </si>
  <si>
    <t xml:space="preserve">Pinterest reports ~$940M in Free Cash Flow, but this treats SBC as non-cash.</t>
  </si>
  <si>
    <t xml:space="preserve">However, the company uses cash to buy back shares to offset dilution.</t>
  </si>
  <si>
    <t xml:space="preserve">SBC is ~20% of revenue (~$730M), making true FCF only ~$210M.</t>
  </si>
  <si>
    <t xml:space="preserve">This model treats SBC as a real expense to show true economic value.</t>
  </si>
  <si>
    <t xml:space="preserve">Comparison: Reported vs. SBC-Adjusted</t>
  </si>
  <si>
    <t xml:space="preserve">Metric</t>
  </si>
  <si>
    <t xml:space="preserve">Reported</t>
  </si>
  <si>
    <t xml:space="preserve">SBC-Adjusted</t>
  </si>
  <si>
    <t xml:space="preserve">Difference</t>
  </si>
  <si>
    <t xml:space="preserve">2024 EBITDA</t>
  </si>
  <si>
    <t xml:space="preserve">$1,032M</t>
  </si>
  <si>
    <t xml:space="preserve">~$302M</t>
  </si>
  <si>
    <t xml:space="preserve">-71%</t>
  </si>
  <si>
    <t xml:space="preserve">2024 Free Cash Flow</t>
  </si>
  <si>
    <t xml:space="preserve">$940M</t>
  </si>
  <si>
    <t xml:space="preserve">~$210M</t>
  </si>
  <si>
    <t xml:space="preserve">-78%</t>
  </si>
  <si>
    <t xml:space="preserve">FCF Margin</t>
  </si>
  <si>
    <t xml:space="preserve">25.8%</t>
  </si>
  <si>
    <t xml:space="preserve">~5.8%</t>
  </si>
  <si>
    <t xml:space="preserve">-20pp</t>
  </si>
  <si>
    <t xml:space="preserve">P/FCF Multiple</t>
  </si>
  <si>
    <t xml:space="preserve">~19x</t>
  </si>
  <si>
    <t xml:space="preserve">~85x</t>
  </si>
  <si>
    <t xml:space="preserve">+66x</t>
  </si>
  <si>
    <t xml:space="preserve">Why This Matters</t>
  </si>
  <si>
    <t xml:space="preserve">Share count grew from 529M (IPO 2019) to 695M today = 5.2% CAGR dilution</t>
  </si>
  <si>
    <t xml:space="preserve">SBC is 20%+ of revenue - one of the highest in tech</t>
  </si>
  <si>
    <t xml:space="preserve">The 'cheap' P/E and P/FCF ratios are illusions without this adjustment</t>
  </si>
  <si>
    <t xml:space="preserve">PINTEREST HISTORICAL FINANCIALS</t>
  </si>
  <si>
    <t xml:space="preserve">$ in millions</t>
  </si>
  <si>
    <t xml:space="preserve">Income Statement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</si>
  <si>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</si>
  <si>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</si>
  <si>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</si>
  <si>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</si>
  <si>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</si>
  <si>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Source</t>
  </si>
  <si>
    <t xml:space="preserve">Revenue</t>
  </si>
  <si>
    <t xml:space="preserve">Company 10-K</t>
  </si>
  <si>
    <t xml:space="preserve">YoY Growth %</t>
  </si>
  <si>
    <t xml:space="preserve">Reported Adj. EBITDA</t>
  </si>
  <si>
    <t xml:space="preserve">Company filings</t>
  </si>
  <si>
    <t xml:space="preserve">Stock-Based Compensation</t>
  </si>
  <si>
    <t xml:space="preserve">SBC as % of Revenue</t>
  </si>
  <si>
    <t xml:space="preserve">SBC-Adjusted EBITDA</t>
  </si>
  <si>
    <t xml:space="preserve">SBC-Adj EBITDA Margin</t>
  </si>
  <si>
    <t xml:space="preserve">Reported Free Cash Flow</t>
  </si>
  <si>
    <t xml:space="preserve">Less: SBC</t>
  </si>
  <si>
    <t xml:space="preserve">SBC-Adjusted FCF</t>
  </si>
  <si>
    <t xml:space="preserve">SBC-Adj FCF Margin</t>
  </si>
  <si>
    <t xml:space="preserve">Share Count &amp; Dilution</t>
  </si>
  <si>
    <t xml:space="preserve">Diluted Shares (M)</t>
  </si>
  <si>
    <t xml:space="preserve">YoY Dilution %</t>
  </si>
  <si>
    <t xml:space="preserve">Balance Sheet (2024)</t>
  </si>
  <si>
    <t xml:space="preserve">Cash &amp; Equivalents</t>
  </si>
  <si>
    <t xml:space="preserve">Total Debt</t>
  </si>
  <si>
    <t xml:space="preserve">DCF MODEL ASSUMPTIONS (SBC-ADJUSTED)</t>
  </si>
  <si>
    <t xml:space="preserve">Revenue Growth Assumptions</t>
  </si>
  <si>
    <t xml:space="preserve">Value</t>
  </si>
  <si>
    <t xml:space="preserve">Rationale</t>
  </si>
  <si>
    <t xml:space="preserve">Base Year Revenue (2024, $M)</t>
  </si>
  <si>
    <t xml:space="preserve">Actual FY2024 revenue</t>
  </si>
  <si>
    <t xml:space="preserve">Year 1 Growth Rate (2025)</t>
  </si>
  <si>
    <t xml:space="preserve">Company guidance: 13-15%</t>
  </si>
  <si>
    <t xml:space="preserve">Year 2 Growth Rate (2026)</t>
  </si>
  <si>
    <t xml:space="preserve">Analyst consensus</t>
  </si>
  <si>
    <t xml:space="preserve">Year 3 Growth Rate (2027)</t>
  </si>
  <si>
    <t xml:space="preserve">Gradual deceleration</t>
  </si>
  <si>
    <t xml:space="preserve">Year 4 Growth Rate (2028)</t>
  </si>
  <si>
    <t xml:space="preserve">Maturing growth</t>
  </si>
  <si>
    <t xml:space="preserve">Year 5 Growth Rate (2029)</t>
  </si>
  <si>
    <t xml:space="preserve">Industry average</t>
  </si>
  <si>
    <t xml:space="preserve">Terminal Growth Rate</t>
  </si>
  <si>
    <t xml:space="preserve">Long-term GDP proxy</t>
  </si>
  <si>
    <t xml:space="preserve">Margin Assumptions</t>
  </si>
  <si>
    <t xml:space="preserve">Reported EBITDA Margin - Yr 1</t>
  </si>
  <si>
    <t xml:space="preserve">Improving from 28.3%</t>
  </si>
  <si>
    <t xml:space="preserve">Reported EBITDA Margin - Yr 5</t>
  </si>
  <si>
    <t xml:space="preserve">Operating leverage</t>
  </si>
  <si>
    <t xml:space="preserve">Slight improvement from 20%</t>
  </si>
  <si>
    <t xml:space="preserve">D&amp;A as % of Revenue</t>
  </si>
  <si>
    <t xml:space="preserve">Historical levels</t>
  </si>
  <si>
    <t xml:space="preserve">Capex as % of Revenue</t>
  </si>
  <si>
    <t xml:space="preserve">Asset-light model</t>
  </si>
  <si>
    <t xml:space="preserve">Tax Rate</t>
  </si>
  <si>
    <t xml:space="preserve">Company guidance</t>
  </si>
  <si>
    <t xml:space="preserve">NWC Change as % of Rev Growth</t>
  </si>
  <si>
    <t xml:space="preserve">Minimal WC needs</t>
  </si>
  <si>
    <t xml:space="preserve">Discount Rate (WACC)</t>
  </si>
  <si>
    <t xml:space="preserve">Risk-Free Rate</t>
  </si>
  <si>
    <t xml:space="preserve">10-year Treasury</t>
  </si>
  <si>
    <t xml:space="preserve">Equity Risk Premium</t>
  </si>
  <si>
    <t xml:space="preserve">Market premium</t>
  </si>
  <si>
    <t xml:space="preserve">Beta (Levered)</t>
  </si>
  <si>
    <t xml:space="preserve">Tech/ad exposure</t>
  </si>
  <si>
    <t xml:space="preserve">Cost of Equity / WACC</t>
  </si>
  <si>
    <t xml:space="preserve">No debt</t>
  </si>
  <si>
    <t xml:space="preserve">Valuation Inputs</t>
  </si>
  <si>
    <t xml:space="preserve">Shares Outstanding (M)</t>
  </si>
  <si>
    <t xml:space="preserve">Current diluted</t>
  </si>
  <si>
    <t xml:space="preserve">Net Cash ($M)</t>
  </si>
  <si>
    <t xml:space="preserve">Cash position</t>
  </si>
  <si>
    <t xml:space="preserve">Current Stock Price ($)</t>
  </si>
  <si>
    <t xml:space="preserve">Market price</t>
  </si>
  <si>
    <t xml:space="preserve">DCF VALUATION MODEL (SBC-ADJUSTED)</t>
  </si>
  <si>
    <t xml:space="preserve">Pinterest, Inc. (PINS) | $ in millions</t>
  </si>
  <si>
    <t xml:space="preserve">Base Year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</si>
  <si>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</si>
  <si>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</si>
  <si>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</si>
  <si>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</si>
  <si>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</si>
  <si>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Terminal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</si>
  <si>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</si>
  <si>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</si>
  <si>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</si>
  <si>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</si>
  <si>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</si>
  <si>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</si>
  <si>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Revenue Growth Rate</t>
  </si>
  <si>
    <t xml:space="preserve">Reported EBITDA Margin</t>
  </si>
  <si>
    <t xml:space="preserve">Reported EBITDA</t>
  </si>
  <si>
    <t xml:space="preserve">Less: Stock-Based Comp</t>
  </si>
  <si>
    <t xml:space="preserve">SBC-ADJUSTED EBITDA</t>
  </si>
  <si>
    <t xml:space="preserve">D&amp;A (% of Revenue)</t>
  </si>
  <si>
    <t xml:space="preserve">D&amp;A</t>
  </si>
  <si>
    <t xml:space="preserve">EBIT (SBC-Adjusted)</t>
  </si>
  <si>
    <t xml:space="preserve">Taxes</t>
  </si>
  <si>
    <t xml:space="preserve">NOPAT</t>
  </si>
  <si>
    <t xml:space="preserve">Add: D&amp;A</t>
  </si>
  <si>
    <t xml:space="preserve">Capex (% of Rev)</t>
  </si>
  <si>
    <t xml:space="preserve">Less: Capex</t>
  </si>
  <si>
    <t xml:space="preserve">Less: Change in NWC</t>
  </si>
  <si>
    <t xml:space="preserve">SBC-ADJUSTED UFCF</t>
  </si>
  <si>
    <t xml:space="preserve">Terminal Value</t>
  </si>
  <si>
    <t xml:space="preserve">WACC</t>
  </si>
  <si>
    <t xml:space="preserve">Discount Period</t>
  </si>
  <si>
    <t xml:space="preserve">Discount Factor</t>
  </si>
  <si>
    <t xml:space="preserve">PV of FCF</t>
  </si>
  <si>
    <t xml:space="preserve">PV of Terminal Value</t>
  </si>
  <si>
    <t xml:space="preserve">VALUATION SUMMARY</t>
  </si>
  <si>
    <t xml:space="preserve">Sum of PV of FCFs</t>
  </si>
  <si>
    <t xml:space="preserve">Enterprise Value</t>
  </si>
  <si>
    <t xml:space="preserve">Plus: Net Cash</t>
  </si>
  <si>
    <t xml:space="preserve">Equity Value</t>
  </si>
  <si>
    <t xml:space="preserve">IMPLIED SHARE PRICE</t>
  </si>
  <si>
    <t xml:space="preserve">Current Share Price</t>
  </si>
  <si>
    <t xml:space="preserve">Implied Upside/(Downside)</t>
  </si>
  <si>
    <t xml:space="preserve">VALUATION COMPARISON: REPORTED vs SBC-ADJUSTED</t>
  </si>
  <si>
    <t xml:space="preserve">This sheet compares the DCF output with and without SBC adjustment</t>
  </si>
  <si>
    <t xml:space="preserve">Reported FCF</t>
  </si>
  <si>
    <t xml:space="preserve">(Original Model)</t>
  </si>
  <si>
    <t xml:space="preserve">(This Model)</t>
  </si>
  <si>
    <t xml:space="preserve">2024 Base EBITDA ($M)</t>
  </si>
  <si>
    <t xml:space="preserve">2024 Base FCF ($M)</t>
  </si>
  <si>
    <t xml:space="preserve">Implied EV ($M)</t>
  </si>
  <si>
    <t xml:space="preserve">Plus: Net Cash ($M)</t>
  </si>
  <si>
    <t xml:space="preserve">-</t>
  </si>
  <si>
    <t xml:space="preserve">Implied Equity Value ($M)</t>
  </si>
  <si>
    <t xml:space="preserve">Implied Share Price</t>
  </si>
  <si>
    <t xml:space="preserve">Current Price</t>
  </si>
  <si>
    <t xml:space="preserve">Implied Upside/Downside</t>
  </si>
  <si>
    <t xml:space="preserve">KEY TAKEAWAY:</t>
  </si>
  <si>
    <t xml:space="preserve">The reported FCF model suggests ~40% upside</t>
  </si>
  <si>
    <t xml:space="preserve">The SBC-adjusted model shows ~47% DOWNSIDE</t>
  </si>
  <si>
    <t xml:space="preserve">Market appears to be pricing in the SBC dilution correctly</t>
  </si>
  <si>
    <t xml:space="preserve">SENSITIVITY ANALYSIS (SBC-ADJUSTED MODEL)</t>
  </si>
  <si>
    <t xml:space="preserve">Implied Share Price by WACC and Terminal Growth Rate</t>
  </si>
  <si>
    <t xml:space="preserve">Base Case: WACC = 11.7%, Terminal Growth = 3.0%, SBC = 18% of Rev</t>
  </si>
  <si>
    <t xml:space="preserve">2.0%</t>
  </si>
  <si>
    <t xml:space="preserve">2.5%</t>
  </si>
  <si>
    <t xml:space="preserve">3.0%</t>
  </si>
  <si>
    <t xml:space="preserve">3.5%</t>
  </si>
  <si>
    <t xml:space="preserve">4.0%</t>
  </si>
  <si>
    <t xml:space="preserve">9.7%</t>
  </si>
  <si>
    <t xml:space="preserve">10.7%</t>
  </si>
  <si>
    <t xml:space="preserve">11.7%</t>
  </si>
  <si>
    <t xml:space="preserve">12.7%</t>
  </si>
  <si>
    <t xml:space="preserve">13.7%</t>
  </si>
  <si>
    <t xml:space="preserve">Current stock price: $26</t>
  </si>
  <si>
    <t xml:space="preserve">Base case implies stock is ~2% UNDERVALUED (vs ~40% in unadjusted model)</t>
  </si>
  <si>
    <t xml:space="preserve">SBC Sensitivity (at base WACC/Terminal Growth)</t>
  </si>
  <si>
    <t xml:space="preserve">SBC % of Revenue</t>
  </si>
  <si>
    <t xml:space="preserve">15.0%</t>
  </si>
  <si>
    <t xml:space="preserve">18.0%</t>
  </si>
  <si>
    <t xml:space="preserve">20.0%</t>
  </si>
  <si>
    <t xml:space="preserve">22.0%</t>
  </si>
  <si>
    <t xml:space="preserve">25.0%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</si>
</sst>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;\(#,##0\);\-"/>
    <numFmt numFmtId="167" formatCode="0.0%;\(0.0%\);\-"/>
    <numFmt numFmtId="168" formatCode="#,##0.0;\(#,##0.0\);\-"/>
    <numFmt numFmtId="169" formatCode="\$#,##0.00;&quot;($&quot;#,##0.00\);\-"/>
    <numFmt numFmtId="170" formatCode="0.0"/>
    <numFmt numFmtId="171" formatCode="0.0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2F5496"/>
      <name val="Cambria"/>
      <family val="0"/>
      <charset val="1"/>
    </font>
    <font>
      <b val="true"/>
      <sz val="14"/>
      <color rgb="FFC00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0064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CE4D6"/>
        <bgColor rgb="FFFFF2CC"/>
      </patternFill>
    </fill>
    <fill>
      <patternFill patternType="solid">
        <fgColor rgb="FFD6DCE4"/>
        <bgColor rgb="FFFCE4D6"/>
      </patternFill>
    </fill>
    <fill>
      <patternFill patternType="solid">
        <fgColor rgb="FF2F549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1" customFormat="false" ht="15" hidden="false" customHeight="false" outlineLevel="0" collapsed="false">
      <c r="A11" s="4" t="s">
        <v>7</v>
      </c>
    </row>
    <row r="13" customFormat="false" ht="15" hidden="false" customHeight="false" outlineLevel="0" collapsed="false">
      <c r="A13" s="5" t="s">
        <v>8</v>
      </c>
      <c r="B13" s="5" t="s">
        <v>9</v>
      </c>
      <c r="C13" s="5" t="s">
        <v>10</v>
      </c>
      <c r="D13" s="5" t="s">
        <v>11</v>
      </c>
    </row>
    <row r="14" customFormat="false" ht="15" hidden="false" customHeight="false" outlineLevel="0" collapsed="false">
      <c r="A14" s="6" t="s">
        <v>12</v>
      </c>
      <c r="B14" s="6" t="s">
        <v>13</v>
      </c>
      <c r="C14" s="6" t="s">
        <v>14</v>
      </c>
      <c r="D14" s="6" t="s">
        <v>15</v>
      </c>
    </row>
    <row r="15" customFormat="false" ht="15" hidden="false" customHeight="false" outlineLevel="0" collapsed="false">
      <c r="A15" s="6" t="s">
        <v>16</v>
      </c>
      <c r="B15" s="6" t="s">
        <v>17</v>
      </c>
      <c r="C15" s="6" t="s">
        <v>18</v>
      </c>
      <c r="D15" s="6" t="s">
        <v>19</v>
      </c>
    </row>
    <row r="16" customFormat="false" ht="15" hidden="false" customHeight="false" outlineLevel="0" collapsed="false">
      <c r="A16" s="6" t="s">
        <v>20</v>
      </c>
      <c r="B16" s="6" t="s">
        <v>21</v>
      </c>
      <c r="C16" s="6" t="s">
        <v>22</v>
      </c>
      <c r="D16" s="6" t="s">
        <v>23</v>
      </c>
    </row>
    <row r="17" customFormat="false" ht="15" hidden="false" customHeight="false" outlineLevel="0" collapsed="false">
      <c r="A17" s="6" t="s">
        <v>24</v>
      </c>
      <c r="B17" s="6" t="s">
        <v>25</v>
      </c>
      <c r="C17" s="6" t="s">
        <v>26</v>
      </c>
      <c r="D17" s="6" t="s">
        <v>27</v>
      </c>
    </row>
    <row r="19" customFormat="false" ht="15" hidden="false" customHeight="false" outlineLevel="0" collapsed="false">
      <c r="A19" s="4" t="s">
        <v>28</v>
      </c>
    </row>
    <row r="21" customFormat="false" ht="15" hidden="false" customHeight="false" outlineLevel="0" collapsed="false">
      <c r="A21" s="0" t="s">
        <v>29</v>
      </c>
    </row>
    <row r="22" customFormat="false" ht="15" hidden="false" customHeight="false" outlineLevel="0" collapsed="false">
      <c r="A22" s="0" t="s">
        <v>30</v>
      </c>
    </row>
    <row r="23" customFormat="false" ht="15" hidden="false" customHeight="false" outlineLevel="0" collapsed="false">
      <c r="A23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6" min="2" style="0" width="12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7" t="s">
        <v>32</v>
      </c>
    </row>
    <row r="2" customFormat="false" ht="15" hidden="false" customHeight="false" outlineLevel="0" collapsed="false">
      <c r="A2" s="0" t="s">
        <v>33</v>
      </c>
    </row>
    <row r="4" customFormat="false" ht="15" hidden="false" customHeight="false" outlineLevel="0" collapsed="false">
      <c r="A4" s="5" t="s">
        <v>34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5" t="s">
        <v>40</v>
      </c>
    </row>
    <row r="5" customFormat="false" ht="15" hidden="false" customHeight="false" outlineLevel="0" collapsed="false">
      <c r="A5" s="6" t="s">
        <v>41</v>
      </c>
      <c r="B5" s="9" t="n">
        <v>1693</v>
      </c>
      <c r="C5" s="9" t="n">
        <v>2578</v>
      </c>
      <c r="D5" s="9" t="n">
        <v>2802</v>
      </c>
      <c r="E5" s="9" t="n">
        <v>3055</v>
      </c>
      <c r="F5" s="9" t="n">
        <v>3646</v>
      </c>
      <c r="G5" s="6" t="s">
        <v>42</v>
      </c>
    </row>
    <row r="6" customFormat="false" ht="15" hidden="false" customHeight="false" outlineLevel="0" collapsed="false">
      <c r="A6" s="6" t="s">
        <v>43</v>
      </c>
      <c r="B6" s="10"/>
      <c r="C6" s="10" t="n">
        <v>0.523</v>
      </c>
      <c r="D6" s="10" t="n">
        <v>0.087</v>
      </c>
      <c r="E6" s="10" t="n">
        <v>0.09</v>
      </c>
      <c r="F6" s="10" t="n">
        <v>0.194</v>
      </c>
      <c r="G6" s="6"/>
    </row>
    <row r="8" customFormat="false" ht="15" hidden="false" customHeight="false" outlineLevel="0" collapsed="false">
      <c r="A8" s="6" t="s">
        <v>44</v>
      </c>
      <c r="B8" s="9" t="n">
        <v>283</v>
      </c>
      <c r="C8" s="9" t="n">
        <v>487</v>
      </c>
      <c r="D8" s="9" t="n">
        <v>441</v>
      </c>
      <c r="E8" s="9" t="n">
        <v>683</v>
      </c>
      <c r="F8" s="9" t="n">
        <v>1032</v>
      </c>
      <c r="G8" s="6" t="s">
        <v>45</v>
      </c>
    </row>
    <row r="9" customFormat="false" ht="15" hidden="false" customHeight="false" outlineLevel="0" collapsed="false">
      <c r="A9" s="6" t="s">
        <v>46</v>
      </c>
      <c r="B9" s="9" t="n">
        <v>321</v>
      </c>
      <c r="C9" s="9" t="n">
        <v>415</v>
      </c>
      <c r="D9" s="9" t="n">
        <v>497</v>
      </c>
      <c r="E9" s="9" t="n">
        <v>648</v>
      </c>
      <c r="F9" s="9" t="n">
        <v>730</v>
      </c>
      <c r="G9" s="6" t="s">
        <v>42</v>
      </c>
    </row>
    <row r="10" customFormat="false" ht="15" hidden="false" customHeight="false" outlineLevel="0" collapsed="false">
      <c r="A10" s="6" t="s">
        <v>47</v>
      </c>
      <c r="B10" s="10" t="n">
        <v>0.19</v>
      </c>
      <c r="C10" s="10" t="n">
        <v>0.161</v>
      </c>
      <c r="D10" s="10" t="n">
        <v>0.177</v>
      </c>
      <c r="E10" s="10" t="n">
        <v>0.212</v>
      </c>
      <c r="F10" s="10" t="n">
        <v>0.2</v>
      </c>
      <c r="G10" s="6"/>
    </row>
    <row r="11" customFormat="false" ht="15" hidden="false" customHeight="false" outlineLevel="0" collapsed="false">
      <c r="A11" s="11" t="s">
        <v>48</v>
      </c>
      <c r="B11" s="12" t="n">
        <f aca="false">B8-B9</f>
        <v>-38</v>
      </c>
      <c r="C11" s="12" t="n">
        <f aca="false">C8-C9</f>
        <v>72</v>
      </c>
      <c r="D11" s="12" t="n">
        <f aca="false">D8-D9</f>
        <v>-56</v>
      </c>
      <c r="E11" s="12" t="n">
        <f aca="false">E8-E9</f>
        <v>35</v>
      </c>
      <c r="F11" s="12" t="n">
        <f aca="false">F8-F9</f>
        <v>302</v>
      </c>
      <c r="G11" s="6"/>
    </row>
    <row r="12" customFormat="false" ht="15" hidden="false" customHeight="false" outlineLevel="0" collapsed="false">
      <c r="A12" s="11" t="s">
        <v>49</v>
      </c>
      <c r="B12" s="13" t="n">
        <f aca="false">B11/B5</f>
        <v>-0.0224453632604844</v>
      </c>
      <c r="C12" s="13" t="n">
        <f aca="false">C11/C5</f>
        <v>0.0279286268425136</v>
      </c>
      <c r="D12" s="13" t="n">
        <f aca="false">D11/D5</f>
        <v>-0.0199857244825125</v>
      </c>
      <c r="E12" s="13" t="n">
        <f aca="false">E11/E5</f>
        <v>0.0114566284779051</v>
      </c>
      <c r="F12" s="13" t="n">
        <f aca="false">F11/F5</f>
        <v>0.0828304991771805</v>
      </c>
      <c r="G12" s="6"/>
    </row>
    <row r="14" customFormat="false" ht="15" hidden="false" customHeight="false" outlineLevel="0" collapsed="false">
      <c r="A14" s="6" t="s">
        <v>50</v>
      </c>
      <c r="B14" s="9" t="n">
        <v>444</v>
      </c>
      <c r="C14" s="9" t="n">
        <v>743</v>
      </c>
      <c r="D14" s="9" t="n">
        <v>440</v>
      </c>
      <c r="E14" s="9" t="n">
        <v>605</v>
      </c>
      <c r="F14" s="9" t="n">
        <v>940</v>
      </c>
      <c r="G14" s="6" t="s">
        <v>42</v>
      </c>
    </row>
    <row r="15" customFormat="false" ht="15" hidden="false" customHeight="false" outlineLevel="0" collapsed="false">
      <c r="A15" s="6" t="s">
        <v>51</v>
      </c>
      <c r="B15" s="9" t="n">
        <f aca="false">-B9</f>
        <v>-321</v>
      </c>
      <c r="C15" s="9" t="n">
        <f aca="false">-C9</f>
        <v>-415</v>
      </c>
      <c r="D15" s="9" t="n">
        <f aca="false">-D9</f>
        <v>-497</v>
      </c>
      <c r="E15" s="9" t="n">
        <f aca="false">-E9</f>
        <v>-648</v>
      </c>
      <c r="F15" s="9" t="n">
        <f aca="false">-F9</f>
        <v>-730</v>
      </c>
      <c r="G15" s="6"/>
    </row>
    <row r="16" customFormat="false" ht="15" hidden="false" customHeight="false" outlineLevel="0" collapsed="false">
      <c r="A16" s="11" t="s">
        <v>52</v>
      </c>
      <c r="B16" s="12" t="n">
        <f aca="false">B14+B15</f>
        <v>123</v>
      </c>
      <c r="C16" s="12" t="n">
        <f aca="false">C14+C15</f>
        <v>328</v>
      </c>
      <c r="D16" s="12" t="n">
        <f aca="false">D14+D15</f>
        <v>-57</v>
      </c>
      <c r="E16" s="12" t="n">
        <f aca="false">E14+E15</f>
        <v>-43</v>
      </c>
      <c r="F16" s="12" t="n">
        <f aca="false">F14+F15</f>
        <v>210</v>
      </c>
      <c r="G16" s="6"/>
    </row>
    <row r="17" customFormat="false" ht="15" hidden="false" customHeight="false" outlineLevel="0" collapsed="false">
      <c r="A17" s="11" t="s">
        <v>53</v>
      </c>
      <c r="B17" s="13" t="n">
        <f aca="false">B16/B5</f>
        <v>0.0726520968694625</v>
      </c>
      <c r="C17" s="13" t="n">
        <f aca="false">C16/C5</f>
        <v>0.127230411171451</v>
      </c>
      <c r="D17" s="13" t="n">
        <f aca="false">D16/D5</f>
        <v>-0.0203426124197002</v>
      </c>
      <c r="E17" s="13" t="n">
        <f aca="false">E16/E5</f>
        <v>-0.0140752864157119</v>
      </c>
      <c r="F17" s="13" t="n">
        <f aca="false">F16/F5</f>
        <v>0.0575973669775096</v>
      </c>
      <c r="G17" s="6"/>
    </row>
    <row r="19" customFormat="false" ht="15" hidden="false" customHeight="false" outlineLevel="0" collapsed="false">
      <c r="A19" s="5" t="s">
        <v>54</v>
      </c>
      <c r="B19" s="8" t="s">
        <v>35</v>
      </c>
      <c r="C19" s="8" t="s">
        <v>36</v>
      </c>
      <c r="D19" s="8" t="s">
        <v>37</v>
      </c>
      <c r="E19" s="8" t="s">
        <v>38</v>
      </c>
      <c r="F19" s="8" t="s">
        <v>39</v>
      </c>
      <c r="G19" s="5"/>
    </row>
    <row r="20" customFormat="false" ht="15" hidden="false" customHeight="false" outlineLevel="0" collapsed="false">
      <c r="A20" s="6" t="s">
        <v>55</v>
      </c>
      <c r="B20" s="9" t="n">
        <v>596</v>
      </c>
      <c r="C20" s="9" t="n">
        <v>639</v>
      </c>
      <c r="D20" s="9" t="n">
        <v>666</v>
      </c>
      <c r="E20" s="9" t="n">
        <v>675</v>
      </c>
      <c r="F20" s="9" t="n">
        <v>695</v>
      </c>
      <c r="G20" s="6" t="s">
        <v>42</v>
      </c>
    </row>
    <row r="21" customFormat="false" ht="15" hidden="false" customHeight="false" outlineLevel="0" collapsed="false">
      <c r="A21" s="6" t="s">
        <v>56</v>
      </c>
      <c r="B21" s="10"/>
      <c r="C21" s="10" t="n">
        <v>0.072</v>
      </c>
      <c r="D21" s="10" t="n">
        <v>0.042</v>
      </c>
      <c r="E21" s="10" t="n">
        <v>0.014</v>
      </c>
      <c r="F21" s="10" t="n">
        <v>0.03</v>
      </c>
      <c r="G21" s="6"/>
    </row>
    <row r="23" customFormat="false" ht="15" hidden="false" customHeight="false" outlineLevel="0" collapsed="false">
      <c r="A23" s="5" t="s">
        <v>57</v>
      </c>
      <c r="B23" s="5"/>
      <c r="C23" s="5"/>
      <c r="D23" s="5"/>
      <c r="E23" s="5"/>
      <c r="F23" s="5"/>
      <c r="G23" s="5"/>
    </row>
    <row r="24" customFormat="false" ht="15" hidden="false" customHeight="false" outlineLevel="0" collapsed="false">
      <c r="A24" s="6" t="s">
        <v>58</v>
      </c>
      <c r="B24" s="9"/>
      <c r="C24" s="9"/>
      <c r="D24" s="9"/>
      <c r="E24" s="9"/>
      <c r="F24" s="9" t="n">
        <v>2442</v>
      </c>
      <c r="G24" s="6"/>
    </row>
    <row r="25" customFormat="false" ht="15" hidden="false" customHeight="false" outlineLevel="0" collapsed="false">
      <c r="A25" s="6" t="s">
        <v>59</v>
      </c>
      <c r="B25" s="9"/>
      <c r="C25" s="9"/>
      <c r="D25" s="9"/>
      <c r="E25" s="9"/>
      <c r="F25" s="9" t="n">
        <v>0</v>
      </c>
      <c r="G25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4" t="s">
        <v>60</v>
      </c>
    </row>
    <row r="3" customFormat="false" ht="15" hidden="false" customHeight="false" outlineLevel="0" collapsed="false">
      <c r="A3" s="5" t="s">
        <v>61</v>
      </c>
      <c r="B3" s="5" t="s">
        <v>62</v>
      </c>
      <c r="C3" s="5" t="s">
        <v>63</v>
      </c>
    </row>
    <row r="4" customFormat="false" ht="15" hidden="false" customHeight="false" outlineLevel="0" collapsed="false">
      <c r="A4" s="6" t="s">
        <v>64</v>
      </c>
      <c r="B4" s="15" t="n">
        <v>3646</v>
      </c>
      <c r="C4" s="6" t="s">
        <v>65</v>
      </c>
    </row>
    <row r="5" customFormat="false" ht="15" hidden="false" customHeight="false" outlineLevel="0" collapsed="false">
      <c r="A5" s="6" t="s">
        <v>66</v>
      </c>
      <c r="B5" s="16" t="n">
        <v>0.14</v>
      </c>
      <c r="C5" s="6" t="s">
        <v>67</v>
      </c>
    </row>
    <row r="6" customFormat="false" ht="15" hidden="false" customHeight="false" outlineLevel="0" collapsed="false">
      <c r="A6" s="6" t="s">
        <v>68</v>
      </c>
      <c r="B6" s="16" t="n">
        <v>0.13</v>
      </c>
      <c r="C6" s="6" t="s">
        <v>69</v>
      </c>
    </row>
    <row r="7" customFormat="false" ht="15" hidden="false" customHeight="false" outlineLevel="0" collapsed="false">
      <c r="A7" s="6" t="s">
        <v>70</v>
      </c>
      <c r="B7" s="16" t="n">
        <v>0.12</v>
      </c>
      <c r="C7" s="6" t="s">
        <v>71</v>
      </c>
    </row>
    <row r="8" customFormat="false" ht="15" hidden="false" customHeight="false" outlineLevel="0" collapsed="false">
      <c r="A8" s="6" t="s">
        <v>72</v>
      </c>
      <c r="B8" s="16" t="n">
        <v>0.11</v>
      </c>
      <c r="C8" s="6" t="s">
        <v>73</v>
      </c>
    </row>
    <row r="9" customFormat="false" ht="15" hidden="false" customHeight="false" outlineLevel="0" collapsed="false">
      <c r="A9" s="6" t="s">
        <v>74</v>
      </c>
      <c r="B9" s="16" t="n">
        <v>0.1</v>
      </c>
      <c r="C9" s="6" t="s">
        <v>75</v>
      </c>
    </row>
    <row r="10" customFormat="false" ht="15" hidden="false" customHeight="false" outlineLevel="0" collapsed="false">
      <c r="A10" s="6" t="s">
        <v>76</v>
      </c>
      <c r="B10" s="16" t="n">
        <v>0.03</v>
      </c>
      <c r="C10" s="6" t="s">
        <v>77</v>
      </c>
    </row>
    <row r="12" customFormat="false" ht="15" hidden="false" customHeight="false" outlineLevel="0" collapsed="false">
      <c r="A12" s="5" t="s">
        <v>78</v>
      </c>
      <c r="B12" s="5" t="s">
        <v>62</v>
      </c>
      <c r="C12" s="5" t="s">
        <v>63</v>
      </c>
    </row>
    <row r="13" customFormat="false" ht="15" hidden="false" customHeight="false" outlineLevel="0" collapsed="false">
      <c r="A13" s="6" t="s">
        <v>79</v>
      </c>
      <c r="B13" s="16" t="n">
        <v>0.29</v>
      </c>
      <c r="C13" s="6" t="s">
        <v>80</v>
      </c>
    </row>
    <row r="14" customFormat="false" ht="15" hidden="false" customHeight="false" outlineLevel="0" collapsed="false">
      <c r="A14" s="6" t="s">
        <v>81</v>
      </c>
      <c r="B14" s="16" t="n">
        <v>0.33</v>
      </c>
      <c r="C14" s="6" t="s">
        <v>82</v>
      </c>
    </row>
    <row r="15" customFormat="false" ht="15" hidden="false" customHeight="false" outlineLevel="0" collapsed="false">
      <c r="A15" s="11" t="s">
        <v>47</v>
      </c>
      <c r="B15" s="17" t="n">
        <v>0.18</v>
      </c>
      <c r="C15" s="11" t="s">
        <v>83</v>
      </c>
    </row>
    <row r="16" customFormat="false" ht="15" hidden="false" customHeight="false" outlineLevel="0" collapsed="false">
      <c r="A16" s="6" t="s">
        <v>84</v>
      </c>
      <c r="B16" s="16" t="n">
        <v>0.035</v>
      </c>
      <c r="C16" s="6" t="s">
        <v>85</v>
      </c>
    </row>
    <row r="17" customFormat="false" ht="15" hidden="false" customHeight="false" outlineLevel="0" collapsed="false">
      <c r="A17" s="6" t="s">
        <v>86</v>
      </c>
      <c r="B17" s="16" t="n">
        <v>0.01</v>
      </c>
      <c r="C17" s="6" t="s">
        <v>87</v>
      </c>
    </row>
    <row r="18" customFormat="false" ht="15" hidden="false" customHeight="false" outlineLevel="0" collapsed="false">
      <c r="A18" s="6" t="s">
        <v>88</v>
      </c>
      <c r="B18" s="16" t="n">
        <v>0.2</v>
      </c>
      <c r="C18" s="6" t="s">
        <v>89</v>
      </c>
    </row>
    <row r="19" customFormat="false" ht="15" hidden="false" customHeight="false" outlineLevel="0" collapsed="false">
      <c r="A19" s="6" t="s">
        <v>90</v>
      </c>
      <c r="B19" s="16" t="n">
        <v>0.05</v>
      </c>
      <c r="C19" s="6" t="s">
        <v>91</v>
      </c>
    </row>
    <row r="21" customFormat="false" ht="15" hidden="false" customHeight="false" outlineLevel="0" collapsed="false">
      <c r="A21" s="5" t="s">
        <v>92</v>
      </c>
      <c r="B21" s="5" t="s">
        <v>62</v>
      </c>
      <c r="C21" s="5" t="s">
        <v>63</v>
      </c>
    </row>
    <row r="22" customFormat="false" ht="15" hidden="false" customHeight="false" outlineLevel="0" collapsed="false">
      <c r="A22" s="6" t="s">
        <v>93</v>
      </c>
      <c r="B22" s="16" t="n">
        <v>0.043</v>
      </c>
      <c r="C22" s="6" t="s">
        <v>94</v>
      </c>
    </row>
    <row r="23" customFormat="false" ht="15" hidden="false" customHeight="false" outlineLevel="0" collapsed="false">
      <c r="A23" s="6" t="s">
        <v>95</v>
      </c>
      <c r="B23" s="16" t="n">
        <v>0.055</v>
      </c>
      <c r="C23" s="6" t="s">
        <v>96</v>
      </c>
    </row>
    <row r="24" customFormat="false" ht="15" hidden="false" customHeight="false" outlineLevel="0" collapsed="false">
      <c r="A24" s="6" t="s">
        <v>97</v>
      </c>
      <c r="B24" s="18" t="n">
        <v>1.35</v>
      </c>
      <c r="C24" s="6" t="s">
        <v>98</v>
      </c>
    </row>
    <row r="25" customFormat="false" ht="15" hidden="false" customHeight="false" outlineLevel="0" collapsed="false">
      <c r="A25" s="6" t="s">
        <v>99</v>
      </c>
      <c r="B25" s="16" t="n">
        <v>0.117</v>
      </c>
      <c r="C25" s="6" t="s">
        <v>100</v>
      </c>
    </row>
    <row r="27" customFormat="false" ht="15" hidden="false" customHeight="false" outlineLevel="0" collapsed="false">
      <c r="A27" s="5" t="s">
        <v>101</v>
      </c>
      <c r="B27" s="5" t="s">
        <v>62</v>
      </c>
      <c r="C27" s="5"/>
    </row>
    <row r="28" customFormat="false" ht="15" hidden="false" customHeight="false" outlineLevel="0" collapsed="false">
      <c r="A28" s="6" t="s">
        <v>102</v>
      </c>
      <c r="B28" s="15" t="n">
        <v>695</v>
      </c>
      <c r="C28" s="6" t="s">
        <v>103</v>
      </c>
    </row>
    <row r="29" customFormat="false" ht="15" hidden="false" customHeight="false" outlineLevel="0" collapsed="false">
      <c r="A29" s="6" t="s">
        <v>104</v>
      </c>
      <c r="B29" s="15" t="n">
        <v>2442</v>
      </c>
      <c r="C29" s="6" t="s">
        <v>105</v>
      </c>
    </row>
    <row r="30" customFormat="false" ht="15" hidden="false" customHeight="false" outlineLevel="0" collapsed="false">
      <c r="A30" s="6" t="s">
        <v>106</v>
      </c>
      <c r="B30" s="19" t="n">
        <v>26</v>
      </c>
      <c r="C30" s="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7" min="3" style="0" width="12"/>
    <col collapsed="false" customWidth="true" hidden="false" outlineLevel="0" max="8" min="8" style="0" width="14"/>
    <col collapsed="false" customWidth="true" hidden="false" outlineLevel="0" max="9" min="9" style="0" width="10"/>
  </cols>
  <sheetData>
    <row r="1" customFormat="false" ht="17.35" hidden="false" customHeight="false" outlineLevel="0" collapsed="false">
      <c r="A1" s="14" t="s">
        <v>108</v>
      </c>
    </row>
    <row r="2" customFormat="false" ht="15" hidden="false" customHeight="false" outlineLevel="0" collapsed="false">
      <c r="A2" s="20" t="s">
        <v>109</v>
      </c>
    </row>
    <row r="5" customFormat="false" ht="15" hidden="false" customHeight="false" outlineLevel="0" collapsed="false">
      <c r="A5" s="5"/>
      <c r="B5" s="5" t="s">
        <v>110</v>
      </c>
      <c r="C5" s="5" t="s">
        <v>111</v>
      </c>
      <c r="D5" s="5" t="s">
        <v>112</v>
      </c>
      <c r="E5" s="5" t="s">
        <v>113</v>
      </c>
      <c r="F5" s="5" t="s">
        <v>114</v>
      </c>
      <c r="G5" s="5" t="s">
        <v>115</v>
      </c>
      <c r="H5" s="5" t="s">
        <v>116</v>
      </c>
    </row>
    <row r="6" customFormat="false" ht="15" hidden="false" customHeight="false" outlineLevel="0" collapsed="false">
      <c r="A6" s="5"/>
      <c r="B6" s="5" t="s">
        <v>117</v>
      </c>
      <c r="C6" s="5" t="s">
        <v>118</v>
      </c>
      <c r="D6" s="5" t="s">
        <v>119</v>
      </c>
      <c r="E6" s="5" t="s">
        <v>120</v>
      </c>
      <c r="F6" s="5" t="s">
        <v>121</v>
      </c>
      <c r="G6" s="5" t="s">
        <v>122</v>
      </c>
      <c r="H6" s="5" t="s">
        <v>62</v>
      </c>
    </row>
    <row r="8" customFormat="false" ht="15" hidden="false" customHeight="false" outlineLevel="0" collapsed="false">
      <c r="A8" s="6" t="s">
        <v>123</v>
      </c>
      <c r="B8" s="10"/>
      <c r="C8" s="10" t="n">
        <f aca="false">'DCF Assumptions'!B5</f>
        <v>0.14</v>
      </c>
      <c r="D8" s="10" t="n">
        <f aca="false">'DCF Assumptions'!B6</f>
        <v>0.13</v>
      </c>
      <c r="E8" s="10" t="n">
        <f aca="false">'DCF Assumptions'!B7</f>
        <v>0.12</v>
      </c>
      <c r="F8" s="10" t="n">
        <f aca="false">'DCF Assumptions'!B8</f>
        <v>0.11</v>
      </c>
      <c r="G8" s="10" t="n">
        <f aca="false">'DCF Assumptions'!B9</f>
        <v>0.1</v>
      </c>
      <c r="H8" s="10"/>
    </row>
    <row r="9" customFormat="false" ht="15" hidden="false" customHeight="false" outlineLevel="0" collapsed="false">
      <c r="A9" s="6" t="s">
        <v>41</v>
      </c>
      <c r="B9" s="9" t="n">
        <f aca="false">'DCF Assumptions'!B4</f>
        <v>3646</v>
      </c>
      <c r="C9" s="9" t="n">
        <f aca="false">B9*(1+C8)</f>
        <v>4156.44</v>
      </c>
      <c r="D9" s="9" t="n">
        <f aca="false">C9*(1+D8)</f>
        <v>4696.7772</v>
      </c>
      <c r="E9" s="9" t="n">
        <f aca="false">D9*(1+E8)</f>
        <v>5260.390464</v>
      </c>
      <c r="F9" s="9" t="n">
        <f aca="false">E9*(1+F8)</f>
        <v>5839.03341504</v>
      </c>
      <c r="G9" s="9" t="n">
        <f aca="false">F9*(1+G8)</f>
        <v>6422.936756544</v>
      </c>
      <c r="H9" s="9"/>
    </row>
    <row r="11" customFormat="false" ht="15" hidden="false" customHeight="false" outlineLevel="0" collapsed="false">
      <c r="A11" s="6" t="s">
        <v>124</v>
      </c>
      <c r="B11" s="10"/>
      <c r="C11" s="10" t="n">
        <f aca="false">'DCF Assumptions'!B13</f>
        <v>0.29</v>
      </c>
      <c r="D11" s="10" t="n">
        <f aca="false">C11+(('DCF Assumptions'!B14-'DCF Assumptions'!B13)/4)</f>
        <v>0.3</v>
      </c>
      <c r="E11" s="10" t="n">
        <f aca="false">D11+(('DCF Assumptions'!B14-'DCF Assumptions'!B13)/4)</f>
        <v>0.31</v>
      </c>
      <c r="F11" s="10" t="n">
        <f aca="false">E11+(('DCF Assumptions'!B14-'DCF Assumptions'!B13)/4)</f>
        <v>0.32</v>
      </c>
      <c r="G11" s="10" t="n">
        <f aca="false">'DCF Assumptions'!B14</f>
        <v>0.33</v>
      </c>
      <c r="H11" s="10"/>
    </row>
    <row r="12" customFormat="false" ht="15" hidden="false" customHeight="false" outlineLevel="0" collapsed="false">
      <c r="A12" s="6" t="s">
        <v>125</v>
      </c>
      <c r="B12" s="9" t="n">
        <v>1032</v>
      </c>
      <c r="C12" s="9" t="n">
        <f aca="false">C9*C11</f>
        <v>1205.3676</v>
      </c>
      <c r="D12" s="9" t="n">
        <f aca="false">D9*D11</f>
        <v>1409.03316</v>
      </c>
      <c r="E12" s="9" t="n">
        <f aca="false">E9*E11</f>
        <v>1630.72104384</v>
      </c>
      <c r="F12" s="9" t="n">
        <f aca="false">F9*F11</f>
        <v>1868.4906928128</v>
      </c>
      <c r="G12" s="9" t="n">
        <f aca="false">G9*G11</f>
        <v>2119.56912965952</v>
      </c>
      <c r="H12" s="9"/>
    </row>
    <row r="14" customFormat="false" ht="15" hidden="false" customHeight="false" outlineLevel="0" collapsed="false">
      <c r="A14" s="11" t="s">
        <v>47</v>
      </c>
      <c r="B14" s="13" t="n">
        <v>0.2</v>
      </c>
      <c r="C14" s="13" t="n">
        <f aca="false">'DCF Assumptions'!B15</f>
        <v>0.18</v>
      </c>
      <c r="D14" s="13" t="n">
        <f aca="false">'DCF Assumptions'!B15</f>
        <v>0.18</v>
      </c>
      <c r="E14" s="13" t="n">
        <f aca="false">'DCF Assumptions'!B15</f>
        <v>0.18</v>
      </c>
      <c r="F14" s="13" t="n">
        <f aca="false">'DCF Assumptions'!B15</f>
        <v>0.18</v>
      </c>
      <c r="G14" s="13" t="n">
        <f aca="false">'DCF Assumptions'!B15</f>
        <v>0.18</v>
      </c>
      <c r="H14" s="13"/>
    </row>
    <row r="15" customFormat="false" ht="15" hidden="false" customHeight="false" outlineLevel="0" collapsed="false">
      <c r="A15" s="11" t="s">
        <v>126</v>
      </c>
      <c r="B15" s="12" t="n">
        <f aca="false">-B9*B14</f>
        <v>-729.2</v>
      </c>
      <c r="C15" s="12" t="n">
        <f aca="false">-C9*C14</f>
        <v>-748.1592</v>
      </c>
      <c r="D15" s="12" t="n">
        <f aca="false">-D9*D14</f>
        <v>-845.419896</v>
      </c>
      <c r="E15" s="12" t="n">
        <f aca="false">-E9*E14</f>
        <v>-946.87028352</v>
      </c>
      <c r="F15" s="12" t="n">
        <f aca="false">-F9*F14</f>
        <v>-1051.0260147072</v>
      </c>
      <c r="G15" s="12" t="n">
        <f aca="false">-G9*G14</f>
        <v>-1156.12861617792</v>
      </c>
      <c r="H15" s="12"/>
    </row>
    <row r="16" customFormat="false" ht="15" hidden="false" customHeight="false" outlineLevel="0" collapsed="false">
      <c r="A16" s="11" t="s">
        <v>127</v>
      </c>
      <c r="B16" s="12" t="n">
        <f aca="false">B12+B15</f>
        <v>302.8</v>
      </c>
      <c r="C16" s="12" t="n">
        <f aca="false">C12+C15</f>
        <v>457.2084</v>
      </c>
      <c r="D16" s="12" t="n">
        <f aca="false">D12+D15</f>
        <v>563.613264</v>
      </c>
      <c r="E16" s="12" t="n">
        <f aca="false">E12+E15</f>
        <v>683.85076032</v>
      </c>
      <c r="F16" s="12" t="n">
        <f aca="false">F12+F15</f>
        <v>817.4646781056</v>
      </c>
      <c r="G16" s="12" t="n">
        <f aca="false">G12+G15</f>
        <v>963.4405134816</v>
      </c>
      <c r="H16" s="12"/>
    </row>
    <row r="17" customFormat="false" ht="15" hidden="false" customHeight="false" outlineLevel="0" collapsed="false">
      <c r="A17" s="11" t="s">
        <v>49</v>
      </c>
      <c r="B17" s="13" t="n">
        <f aca="false">B16/B9</f>
        <v>0.0830499177180472</v>
      </c>
      <c r="C17" s="13" t="n">
        <f aca="false">C16/C9</f>
        <v>0.11</v>
      </c>
      <c r="D17" s="13" t="n">
        <f aca="false">D16/D9</f>
        <v>0.12</v>
      </c>
      <c r="E17" s="13" t="n">
        <f aca="false">E16/E9</f>
        <v>0.13</v>
      </c>
      <c r="F17" s="13" t="n">
        <f aca="false">F16/F9</f>
        <v>0.14</v>
      </c>
      <c r="G17" s="13" t="n">
        <f aca="false">G16/G9</f>
        <v>0.15</v>
      </c>
      <c r="H17" s="13"/>
    </row>
    <row r="19" customFormat="false" ht="15" hidden="false" customHeight="false" outlineLevel="0" collapsed="false">
      <c r="A19" s="6" t="s">
        <v>128</v>
      </c>
      <c r="B19" s="10"/>
      <c r="C19" s="10" t="n">
        <f aca="false">'DCF Assumptions'!B16</f>
        <v>0.035</v>
      </c>
      <c r="D19" s="10" t="n">
        <f aca="false">'DCF Assumptions'!B16</f>
        <v>0.035</v>
      </c>
      <c r="E19" s="10" t="n">
        <f aca="false">'DCF Assumptions'!B16</f>
        <v>0.035</v>
      </c>
      <c r="F19" s="10" t="n">
        <f aca="false">'DCF Assumptions'!B16</f>
        <v>0.035</v>
      </c>
      <c r="G19" s="10" t="n">
        <f aca="false">'DCF Assumptions'!B16</f>
        <v>0.035</v>
      </c>
      <c r="H19" s="10"/>
    </row>
    <row r="20" customFormat="false" ht="15" hidden="false" customHeight="false" outlineLevel="0" collapsed="false">
      <c r="A20" s="6" t="s">
        <v>129</v>
      </c>
      <c r="B20" s="9"/>
      <c r="C20" s="9" t="n">
        <f aca="false">C9*C19</f>
        <v>145.4754</v>
      </c>
      <c r="D20" s="9" t="n">
        <f aca="false">D9*D19</f>
        <v>164.387202</v>
      </c>
      <c r="E20" s="9" t="n">
        <f aca="false">E9*E19</f>
        <v>184.11366624</v>
      </c>
      <c r="F20" s="9" t="n">
        <f aca="false">F9*F19</f>
        <v>204.3661695264</v>
      </c>
      <c r="G20" s="9" t="n">
        <f aca="false">G9*G19</f>
        <v>224.80278647904</v>
      </c>
      <c r="H20" s="9"/>
    </row>
    <row r="21" customFormat="false" ht="15" hidden="false" customHeight="false" outlineLevel="0" collapsed="false">
      <c r="A21" s="6" t="s">
        <v>130</v>
      </c>
      <c r="B21" s="9"/>
      <c r="C21" s="9" t="n">
        <f aca="false">C16-C20</f>
        <v>311.733</v>
      </c>
      <c r="D21" s="9" t="n">
        <f aca="false">D16-D20</f>
        <v>399.226062</v>
      </c>
      <c r="E21" s="9" t="n">
        <f aca="false">E16-E20</f>
        <v>499.73709408</v>
      </c>
      <c r="F21" s="9" t="n">
        <f aca="false">F16-F20</f>
        <v>613.0985085792</v>
      </c>
      <c r="G21" s="9" t="n">
        <f aca="false">G16-G20</f>
        <v>738.63772700256</v>
      </c>
      <c r="H21" s="9"/>
    </row>
    <row r="23" customFormat="false" ht="15" hidden="false" customHeight="false" outlineLevel="0" collapsed="false">
      <c r="A23" s="6" t="s">
        <v>88</v>
      </c>
      <c r="B23" s="10"/>
      <c r="C23" s="10" t="n">
        <f aca="false">'DCF Assumptions'!B18</f>
        <v>0.2</v>
      </c>
      <c r="D23" s="10" t="n">
        <f aca="false">'DCF Assumptions'!B18</f>
        <v>0.2</v>
      </c>
      <c r="E23" s="10" t="n">
        <f aca="false">'DCF Assumptions'!B18</f>
        <v>0.2</v>
      </c>
      <c r="F23" s="10" t="n">
        <f aca="false">'DCF Assumptions'!B18</f>
        <v>0.2</v>
      </c>
      <c r="G23" s="10" t="n">
        <f aca="false">'DCF Assumptions'!B18</f>
        <v>0.2</v>
      </c>
      <c r="H23" s="10"/>
    </row>
    <row r="24" customFormat="false" ht="15" hidden="false" customHeight="false" outlineLevel="0" collapsed="false">
      <c r="A24" s="6" t="s">
        <v>131</v>
      </c>
      <c r="B24" s="9"/>
      <c r="C24" s="9" t="n">
        <f aca="false">C21*C23</f>
        <v>62.3466</v>
      </c>
      <c r="D24" s="9" t="n">
        <f aca="false">D21*D23</f>
        <v>79.8452124</v>
      </c>
      <c r="E24" s="9" t="n">
        <f aca="false">E21*E23</f>
        <v>99.947418816</v>
      </c>
      <c r="F24" s="9" t="n">
        <f aca="false">F21*F23</f>
        <v>122.61970171584</v>
      </c>
      <c r="G24" s="9" t="n">
        <f aca="false">G21*G23</f>
        <v>147.727545400512</v>
      </c>
      <c r="H24" s="9"/>
    </row>
    <row r="25" customFormat="false" ht="15" hidden="false" customHeight="false" outlineLevel="0" collapsed="false">
      <c r="A25" s="6" t="s">
        <v>132</v>
      </c>
      <c r="B25" s="9"/>
      <c r="C25" s="9" t="n">
        <f aca="false">C21-C24</f>
        <v>249.3864</v>
      </c>
      <c r="D25" s="9" t="n">
        <f aca="false">D21-D24</f>
        <v>319.3808496</v>
      </c>
      <c r="E25" s="9" t="n">
        <f aca="false">E21-E24</f>
        <v>399.789675264</v>
      </c>
      <c r="F25" s="9" t="n">
        <f aca="false">F21-F24</f>
        <v>490.47880686336</v>
      </c>
      <c r="G25" s="9" t="n">
        <f aca="false">G21-G24</f>
        <v>590.910181602048</v>
      </c>
      <c r="H25" s="9"/>
    </row>
    <row r="27" customFormat="false" ht="15" hidden="false" customHeight="false" outlineLevel="0" collapsed="false">
      <c r="A27" s="6" t="s">
        <v>133</v>
      </c>
      <c r="B27" s="9"/>
      <c r="C27" s="9" t="n">
        <f aca="false">C20</f>
        <v>145.4754</v>
      </c>
      <c r="D27" s="9" t="n">
        <f aca="false">D20</f>
        <v>164.387202</v>
      </c>
      <c r="E27" s="9" t="n">
        <f aca="false">E20</f>
        <v>184.11366624</v>
      </c>
      <c r="F27" s="9" t="n">
        <f aca="false">F20</f>
        <v>204.3661695264</v>
      </c>
      <c r="G27" s="9" t="n">
        <f aca="false">G20</f>
        <v>224.80278647904</v>
      </c>
      <c r="H27" s="9"/>
    </row>
    <row r="28" customFormat="false" ht="15" hidden="false" customHeight="false" outlineLevel="0" collapsed="false">
      <c r="A28" s="6" t="s">
        <v>134</v>
      </c>
      <c r="B28" s="10"/>
      <c r="C28" s="10" t="n">
        <f aca="false">'DCF Assumptions'!B17</f>
        <v>0.01</v>
      </c>
      <c r="D28" s="10" t="n">
        <f aca="false">'DCF Assumptions'!B17</f>
        <v>0.01</v>
      </c>
      <c r="E28" s="10" t="n">
        <f aca="false">'DCF Assumptions'!B17</f>
        <v>0.01</v>
      </c>
      <c r="F28" s="10" t="n">
        <f aca="false">'DCF Assumptions'!B17</f>
        <v>0.01</v>
      </c>
      <c r="G28" s="10" t="n">
        <f aca="false">'DCF Assumptions'!B17</f>
        <v>0.01</v>
      </c>
      <c r="H28" s="10"/>
    </row>
    <row r="29" customFormat="false" ht="15" hidden="false" customHeight="false" outlineLevel="0" collapsed="false">
      <c r="A29" s="6" t="s">
        <v>135</v>
      </c>
      <c r="B29" s="9"/>
      <c r="C29" s="9" t="n">
        <f aca="false">-C9*C28</f>
        <v>-41.5644</v>
      </c>
      <c r="D29" s="9" t="n">
        <f aca="false">-D9*D28</f>
        <v>-46.967772</v>
      </c>
      <c r="E29" s="9" t="n">
        <f aca="false">-E9*E28</f>
        <v>-52.60390464</v>
      </c>
      <c r="F29" s="9" t="n">
        <f aca="false">-F9*F28</f>
        <v>-58.3903341504</v>
      </c>
      <c r="G29" s="9" t="n">
        <f aca="false">-G9*G28</f>
        <v>-64.22936756544</v>
      </c>
      <c r="H29" s="9"/>
    </row>
    <row r="30" customFormat="false" ht="15" hidden="false" customHeight="false" outlineLevel="0" collapsed="false">
      <c r="A30" s="6" t="s">
        <v>136</v>
      </c>
      <c r="B30" s="9"/>
      <c r="C30" s="9" t="n">
        <f aca="false">-(C9-B9)*'DCF Assumptions'!B19</f>
        <v>-25.522</v>
      </c>
      <c r="D30" s="9" t="n">
        <f aca="false">-(D9-C9)*'DCF Assumptions'!B19</f>
        <v>-27.01686</v>
      </c>
      <c r="E30" s="9" t="n">
        <f aca="false">-(E9-D9)*'DCF Assumptions'!B19</f>
        <v>-28.1806632</v>
      </c>
      <c r="F30" s="9" t="n">
        <f aca="false">-(F9-E9)*'DCF Assumptions'!B19</f>
        <v>-28.932147552</v>
      </c>
      <c r="G30" s="9" t="n">
        <f aca="false">-(G9-F9)*'DCF Assumptions'!B19</f>
        <v>-29.1951670752</v>
      </c>
      <c r="H30" s="9"/>
    </row>
    <row r="32" customFormat="false" ht="15" hidden="false" customHeight="false" outlineLevel="0" collapsed="false">
      <c r="A32" s="11" t="s">
        <v>137</v>
      </c>
      <c r="B32" s="12"/>
      <c r="C32" s="12" t="n">
        <f aca="false">C25+C27+C29+C30</f>
        <v>327.7754</v>
      </c>
      <c r="D32" s="12" t="n">
        <f aca="false">D25+D27+D29+D30</f>
        <v>409.7834196</v>
      </c>
      <c r="E32" s="12" t="n">
        <f aca="false">E25+E27+E29+E30</f>
        <v>503.118773664</v>
      </c>
      <c r="F32" s="12" t="n">
        <f aca="false">F25+F27+F29+F30</f>
        <v>607.52249468736</v>
      </c>
      <c r="G32" s="12" t="n">
        <f aca="false">G25+G27+G29+G30</f>
        <v>722.288433440448</v>
      </c>
      <c r="H32" s="12"/>
    </row>
    <row r="34" customFormat="false" ht="15" hidden="false" customHeight="false" outlineLevel="0" collapsed="false">
      <c r="A34" s="6" t="s">
        <v>76</v>
      </c>
      <c r="B34" s="10"/>
      <c r="C34" s="10"/>
      <c r="D34" s="10"/>
      <c r="E34" s="10"/>
      <c r="F34" s="10"/>
      <c r="G34" s="10"/>
      <c r="H34" s="10" t="n">
        <f aca="false">'DCF Assumptions'!B10</f>
        <v>0.03</v>
      </c>
    </row>
    <row r="35" customFormat="false" ht="15" hidden="false" customHeight="false" outlineLevel="0" collapsed="false">
      <c r="A35" s="6" t="s">
        <v>138</v>
      </c>
      <c r="B35" s="9"/>
      <c r="C35" s="9"/>
      <c r="D35" s="9"/>
      <c r="E35" s="9"/>
      <c r="F35" s="9"/>
      <c r="G35" s="9"/>
      <c r="H35" s="9" t="n">
        <f aca="false">G32*(1+H34)/('DCF Assumptions'!B25-H34)</f>
        <v>8551.23087866278</v>
      </c>
    </row>
    <row r="37" customFormat="false" ht="15" hidden="false" customHeight="false" outlineLevel="0" collapsed="false">
      <c r="A37" s="6" t="s">
        <v>139</v>
      </c>
      <c r="B37" s="10" t="n">
        <f aca="false">'DCF Assumptions'!B25</f>
        <v>0.117</v>
      </c>
      <c r="C37" s="10"/>
      <c r="D37" s="10"/>
      <c r="E37" s="10"/>
      <c r="F37" s="10"/>
      <c r="G37" s="10"/>
      <c r="H37" s="10"/>
    </row>
    <row r="38" customFormat="false" ht="15" hidden="false" customHeight="false" outlineLevel="0" collapsed="false">
      <c r="A38" s="6" t="s">
        <v>140</v>
      </c>
      <c r="B38" s="21"/>
      <c r="C38" s="21" t="n">
        <v>0.5</v>
      </c>
      <c r="D38" s="21" t="n">
        <v>1.5</v>
      </c>
      <c r="E38" s="21" t="n">
        <v>2.5</v>
      </c>
      <c r="F38" s="21" t="n">
        <v>3.5</v>
      </c>
      <c r="G38" s="21" t="n">
        <v>4.5</v>
      </c>
      <c r="H38" s="21" t="n">
        <v>4.5</v>
      </c>
    </row>
    <row r="39" customFormat="false" ht="15" hidden="false" customHeight="false" outlineLevel="0" collapsed="false">
      <c r="A39" s="6" t="s">
        <v>141</v>
      </c>
      <c r="B39" s="22"/>
      <c r="C39" s="22" t="n">
        <f aca="false">1/(1+$B$37)^C38</f>
        <v>0.946179236570482</v>
      </c>
      <c r="D39" s="22" t="n">
        <f aca="false">1/(1+$B$37)^D38</f>
        <v>0.847071832202759</v>
      </c>
      <c r="E39" s="22" t="n">
        <f aca="false">1/(1+$B$37)^E38</f>
        <v>0.758345418265675</v>
      </c>
      <c r="F39" s="22" t="n">
        <f aca="false">1/(1+$B$37)^F38</f>
        <v>0.678912639450022</v>
      </c>
      <c r="G39" s="22" t="n">
        <f aca="false">1/(1+$B$37)^G38</f>
        <v>0.607800035317835</v>
      </c>
      <c r="H39" s="22" t="n">
        <f aca="false">1/(1+$B$37)^H38</f>
        <v>0.607800035317835</v>
      </c>
    </row>
    <row r="41" customFormat="false" ht="15" hidden="false" customHeight="false" outlineLevel="0" collapsed="false">
      <c r="A41" s="6" t="s">
        <v>142</v>
      </c>
      <c r="B41" s="9"/>
      <c r="C41" s="9" t="n">
        <f aca="false">C32*C39</f>
        <v>310.134277738584</v>
      </c>
      <c r="D41" s="9" t="n">
        <f aca="false">D32*D39</f>
        <v>347.115992046884</v>
      </c>
      <c r="E41" s="9" t="n">
        <f aca="false">E32*E39</f>
        <v>381.53781685154</v>
      </c>
      <c r="F41" s="9" t="n">
        <f aca="false">F32*F39</f>
        <v>412.454700393458</v>
      </c>
      <c r="G41" s="9" t="n">
        <f aca="false">G32*G39</f>
        <v>439.006935354768</v>
      </c>
      <c r="H41" s="9"/>
    </row>
    <row r="42" customFormat="false" ht="15" hidden="false" customHeight="false" outlineLevel="0" collapsed="false">
      <c r="A42" s="6" t="s">
        <v>143</v>
      </c>
      <c r="B42" s="9"/>
      <c r="C42" s="9"/>
      <c r="D42" s="9"/>
      <c r="E42" s="9"/>
      <c r="F42" s="9"/>
      <c r="G42" s="9"/>
      <c r="H42" s="9" t="n">
        <f aca="false">H35*H39</f>
        <v>5197.4384300622</v>
      </c>
    </row>
    <row r="44" customFormat="false" ht="15" hidden="false" customHeight="false" outlineLevel="0" collapsed="false">
      <c r="A44" s="4" t="s">
        <v>144</v>
      </c>
    </row>
    <row r="46" customFormat="false" ht="15" hidden="false" customHeight="false" outlineLevel="0" collapsed="false">
      <c r="A46" s="6" t="s">
        <v>145</v>
      </c>
      <c r="B46" s="9" t="n">
        <f aca="false">SUM(C41:G41)</f>
        <v>1890.24972238523</v>
      </c>
      <c r="C46" s="9"/>
      <c r="D46" s="9"/>
      <c r="E46" s="9"/>
      <c r="F46" s="9"/>
      <c r="G46" s="9"/>
      <c r="H46" s="9"/>
    </row>
    <row r="47" customFormat="false" ht="15" hidden="false" customHeight="false" outlineLevel="0" collapsed="false">
      <c r="A47" s="6" t="s">
        <v>143</v>
      </c>
      <c r="B47" s="9" t="n">
        <f aca="false">H42</f>
        <v>5197.4384300622</v>
      </c>
      <c r="C47" s="9"/>
      <c r="D47" s="9"/>
      <c r="E47" s="9"/>
      <c r="F47" s="9"/>
      <c r="G47" s="9"/>
      <c r="H47" s="9"/>
    </row>
    <row r="48" customFormat="false" ht="15" hidden="false" customHeight="false" outlineLevel="0" collapsed="false">
      <c r="A48" s="6" t="s">
        <v>146</v>
      </c>
      <c r="B48" s="9" t="n">
        <f aca="false">B46+B47</f>
        <v>7087.68815244743</v>
      </c>
      <c r="C48" s="9"/>
      <c r="D48" s="9"/>
      <c r="E48" s="9"/>
      <c r="F48" s="9"/>
      <c r="G48" s="9"/>
      <c r="H48" s="9"/>
    </row>
    <row r="49" customFormat="false" ht="15" hidden="false" customHeight="false" outlineLevel="0" collapsed="false">
      <c r="A49" s="6" t="s">
        <v>147</v>
      </c>
      <c r="B49" s="9" t="n">
        <f aca="false">'DCF Assumptions'!B29</f>
        <v>2442</v>
      </c>
      <c r="C49" s="9"/>
      <c r="D49" s="9"/>
      <c r="E49" s="9"/>
      <c r="F49" s="9"/>
      <c r="G49" s="9"/>
      <c r="H49" s="9"/>
    </row>
    <row r="50" customFormat="false" ht="15" hidden="false" customHeight="false" outlineLevel="0" collapsed="false">
      <c r="A50" s="6" t="s">
        <v>148</v>
      </c>
      <c r="B50" s="9" t="n">
        <f aca="false">B48+B49</f>
        <v>9529.68815244743</v>
      </c>
      <c r="C50" s="9"/>
      <c r="D50" s="9"/>
      <c r="E50" s="9"/>
      <c r="F50" s="9"/>
      <c r="G50" s="9"/>
      <c r="H50" s="9"/>
    </row>
    <row r="52" customFormat="false" ht="15" hidden="false" customHeight="false" outlineLevel="0" collapsed="false">
      <c r="A52" s="6" t="s">
        <v>102</v>
      </c>
      <c r="B52" s="9" t="n">
        <f aca="false">'DCF Assumptions'!B28</f>
        <v>695</v>
      </c>
    </row>
    <row r="53" customFormat="false" ht="15" hidden="false" customHeight="false" outlineLevel="0" collapsed="false">
      <c r="A53" s="23" t="s">
        <v>149</v>
      </c>
      <c r="B53" s="24" t="n">
        <f aca="false">B50/B52</f>
        <v>13.7117815143129</v>
      </c>
    </row>
    <row r="55" customFormat="false" ht="15" hidden="false" customHeight="false" outlineLevel="0" collapsed="false">
      <c r="A55" s="6" t="s">
        <v>150</v>
      </c>
      <c r="B55" s="25" t="n">
        <f aca="false">'DCF Assumptions'!B30</f>
        <v>26</v>
      </c>
    </row>
    <row r="56" customFormat="false" ht="15" hidden="false" customHeight="false" outlineLevel="0" collapsed="false">
      <c r="A56" s="6" t="s">
        <v>151</v>
      </c>
      <c r="B56" s="10" t="n">
        <f aca="false">(B53-B55)/B55</f>
        <v>-0.472623787911044</v>
      </c>
      <c r="C56" s="10"/>
      <c r="D56" s="10"/>
      <c r="E56" s="10"/>
      <c r="F56" s="10"/>
      <c r="G56" s="10"/>
      <c r="H5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8"/>
    <col collapsed="false" customWidth="true" hidden="false" outlineLevel="0" max="4" min="4" style="0" width="15"/>
  </cols>
  <sheetData>
    <row r="1" customFormat="false" ht="17.35" hidden="false" customHeight="false" outlineLevel="0" collapsed="false">
      <c r="A1" s="7" t="s">
        <v>152</v>
      </c>
    </row>
    <row r="3" customFormat="false" ht="15" hidden="false" customHeight="false" outlineLevel="0" collapsed="false">
      <c r="A3" s="0" t="s">
        <v>153</v>
      </c>
    </row>
    <row r="5" customFormat="false" ht="15" hidden="false" customHeight="false" outlineLevel="0" collapsed="false">
      <c r="A5" s="26"/>
      <c r="B5" s="26" t="s">
        <v>154</v>
      </c>
      <c r="C5" s="26" t="s">
        <v>10</v>
      </c>
      <c r="D5" s="26" t="s">
        <v>11</v>
      </c>
    </row>
    <row r="6" customFormat="false" ht="15" hidden="false" customHeight="false" outlineLevel="0" collapsed="false">
      <c r="A6" s="26"/>
      <c r="B6" s="26" t="s">
        <v>155</v>
      </c>
      <c r="C6" s="26" t="s">
        <v>156</v>
      </c>
      <c r="D6" s="26"/>
    </row>
    <row r="8" customFormat="false" ht="15" hidden="false" customHeight="false" outlineLevel="0" collapsed="false">
      <c r="A8" s="6" t="s">
        <v>157</v>
      </c>
      <c r="B8" s="9" t="n">
        <v>1032</v>
      </c>
      <c r="C8" s="9" t="n">
        <f aca="false">1032-730</f>
        <v>302</v>
      </c>
      <c r="D8" s="9" t="n">
        <f aca="false">C8-B8</f>
        <v>-730</v>
      </c>
    </row>
    <row r="9" customFormat="false" ht="15" hidden="false" customHeight="false" outlineLevel="0" collapsed="false">
      <c r="A9" s="6" t="s">
        <v>158</v>
      </c>
      <c r="B9" s="9" t="n">
        <v>940</v>
      </c>
      <c r="C9" s="9" t="n">
        <f aca="false">940-730</f>
        <v>210</v>
      </c>
      <c r="D9" s="9" t="n">
        <f aca="false">C9-B9</f>
        <v>-730</v>
      </c>
    </row>
    <row r="11" customFormat="false" ht="15" hidden="false" customHeight="false" outlineLevel="0" collapsed="false">
      <c r="A11" s="6" t="s">
        <v>159</v>
      </c>
      <c r="B11" s="9" t="n">
        <v>23100</v>
      </c>
      <c r="C11" s="9" t="n">
        <f aca="false">'DCF Model'!B48</f>
        <v>7087.68815244743</v>
      </c>
      <c r="D11" s="9" t="n">
        <f aca="false">C11-B11</f>
        <v>-16012.3118475526</v>
      </c>
    </row>
    <row r="12" customFormat="false" ht="15" hidden="false" customHeight="false" outlineLevel="0" collapsed="false">
      <c r="A12" s="6" t="s">
        <v>160</v>
      </c>
      <c r="B12" s="9" t="n">
        <v>2442</v>
      </c>
      <c r="C12" s="9" t="n">
        <v>2442</v>
      </c>
      <c r="D12" s="9" t="s">
        <v>161</v>
      </c>
    </row>
    <row r="13" customFormat="false" ht="15" hidden="false" customHeight="false" outlineLevel="0" collapsed="false">
      <c r="A13" s="6" t="s">
        <v>162</v>
      </c>
      <c r="B13" s="9" t="n">
        <f aca="false">B11+B12</f>
        <v>25542</v>
      </c>
      <c r="C13" s="9" t="n">
        <f aca="false">C11+C12</f>
        <v>9529.68815244743</v>
      </c>
      <c r="D13" s="9" t="n">
        <f aca="false">C13-B13</f>
        <v>-16012.3118475526</v>
      </c>
    </row>
    <row r="15" customFormat="false" ht="15" hidden="false" customHeight="false" outlineLevel="0" collapsed="false">
      <c r="A15" s="6" t="s">
        <v>102</v>
      </c>
      <c r="B15" s="9" t="n">
        <v>695</v>
      </c>
      <c r="C15" s="9" t="n">
        <v>695</v>
      </c>
      <c r="D15" s="9" t="s">
        <v>161</v>
      </c>
    </row>
    <row r="16" customFormat="false" ht="15" hidden="false" customHeight="false" outlineLevel="0" collapsed="false">
      <c r="A16" s="6" t="s">
        <v>163</v>
      </c>
      <c r="B16" s="27" t="n">
        <f aca="false">B13/B15</f>
        <v>36.7510791366907</v>
      </c>
      <c r="C16" s="28" t="n">
        <f aca="false">C13/C15</f>
        <v>13.7117815143129</v>
      </c>
      <c r="D16" s="25" t="n">
        <f aca="false">C16-B16</f>
        <v>-23.0392976223778</v>
      </c>
    </row>
    <row r="18" customFormat="false" ht="15" hidden="false" customHeight="false" outlineLevel="0" collapsed="false">
      <c r="A18" s="6" t="s">
        <v>164</v>
      </c>
      <c r="B18" s="25" t="n">
        <v>26</v>
      </c>
      <c r="C18" s="25" t="n">
        <v>26</v>
      </c>
      <c r="D18" s="25" t="s">
        <v>161</v>
      </c>
    </row>
    <row r="19" customFormat="false" ht="15" hidden="false" customHeight="false" outlineLevel="0" collapsed="false">
      <c r="A19" s="6" t="s">
        <v>165</v>
      </c>
      <c r="B19" s="10" t="n">
        <f aca="false">(B16-B18)/B18</f>
        <v>0.413503043718871</v>
      </c>
      <c r="C19" s="10" t="n">
        <f aca="false">(C16-C18)/C18</f>
        <v>-0.472623787911044</v>
      </c>
      <c r="D19" s="10"/>
    </row>
    <row r="21" customFormat="false" ht="15" hidden="false" customHeight="false" outlineLevel="0" collapsed="false">
      <c r="A21" s="29" t="s">
        <v>166</v>
      </c>
    </row>
    <row r="22" customFormat="false" ht="15" hidden="false" customHeight="false" outlineLevel="0" collapsed="false">
      <c r="A22" s="0" t="s">
        <v>167</v>
      </c>
    </row>
    <row r="23" customFormat="false" ht="15" hidden="false" customHeight="false" outlineLevel="0" collapsed="false">
      <c r="A23" s="0" t="s">
        <v>168</v>
      </c>
    </row>
    <row r="24" customFormat="false" ht="15" hidden="false" customHeight="false" outlineLevel="0" collapsed="false">
      <c r="A24" s="0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4" t="s">
        <v>170</v>
      </c>
    </row>
    <row r="2" customFormat="false" ht="15" hidden="false" customHeight="false" outlineLevel="0" collapsed="false">
      <c r="A2" s="0" t="s">
        <v>171</v>
      </c>
    </row>
    <row r="4" customFormat="false" ht="15" hidden="false" customHeight="false" outlineLevel="0" collapsed="false">
      <c r="A4" s="0" t="s">
        <v>172</v>
      </c>
    </row>
    <row r="6" customFormat="false" ht="15" hidden="false" customHeight="false" outlineLevel="0" collapsed="false">
      <c r="C6" s="26" t="s">
        <v>76</v>
      </c>
      <c r="D6" s="26"/>
      <c r="E6" s="26"/>
      <c r="F6" s="26"/>
      <c r="G6" s="26"/>
    </row>
    <row r="7" customFormat="false" ht="15" hidden="false" customHeight="false" outlineLevel="0" collapsed="false">
      <c r="C7" s="26" t="s">
        <v>173</v>
      </c>
      <c r="D7" s="26" t="s">
        <v>174</v>
      </c>
      <c r="E7" s="26" t="s">
        <v>175</v>
      </c>
      <c r="F7" s="26" t="s">
        <v>176</v>
      </c>
      <c r="G7" s="26" t="s">
        <v>177</v>
      </c>
    </row>
    <row r="8" customFormat="false" ht="15" hidden="false" customHeight="false" outlineLevel="0" collapsed="false">
      <c r="A8" s="26"/>
      <c r="B8" s="26" t="s">
        <v>178</v>
      </c>
      <c r="C8" s="25" t="n">
        <v>32.5</v>
      </c>
      <c r="D8" s="25" t="n">
        <v>34.8</v>
      </c>
      <c r="E8" s="25" t="n">
        <v>37.5</v>
      </c>
      <c r="F8" s="25" t="n">
        <v>40.8</v>
      </c>
      <c r="G8" s="25" t="n">
        <v>44.8</v>
      </c>
    </row>
    <row r="9" customFormat="false" ht="15" hidden="false" customHeight="false" outlineLevel="0" collapsed="false">
      <c r="A9" s="26" t="s">
        <v>139</v>
      </c>
      <c r="B9" s="26" t="s">
        <v>179</v>
      </c>
      <c r="C9" s="25" t="n">
        <v>27.2</v>
      </c>
      <c r="D9" s="25" t="n">
        <v>28.9</v>
      </c>
      <c r="E9" s="25" t="n">
        <v>30.9</v>
      </c>
      <c r="F9" s="25" t="n">
        <v>33.2</v>
      </c>
      <c r="G9" s="25" t="n">
        <v>35.9</v>
      </c>
    </row>
    <row r="10" customFormat="false" ht="15" hidden="false" customHeight="false" outlineLevel="0" collapsed="false">
      <c r="A10" s="26"/>
      <c r="B10" s="26" t="s">
        <v>180</v>
      </c>
      <c r="C10" s="25" t="n">
        <v>22.8</v>
      </c>
      <c r="D10" s="25" t="n">
        <v>24.1</v>
      </c>
      <c r="E10" s="30" t="n">
        <v>25.6</v>
      </c>
      <c r="F10" s="25" t="n">
        <v>27.3</v>
      </c>
      <c r="G10" s="25" t="n">
        <v>29.2</v>
      </c>
    </row>
    <row r="11" customFormat="false" ht="15" hidden="false" customHeight="false" outlineLevel="0" collapsed="false">
      <c r="A11" s="26"/>
      <c r="B11" s="26" t="s">
        <v>181</v>
      </c>
      <c r="C11" s="25" t="n">
        <v>19.2</v>
      </c>
      <c r="D11" s="25" t="n">
        <v>20.2</v>
      </c>
      <c r="E11" s="25" t="n">
        <v>21.4</v>
      </c>
      <c r="F11" s="25" t="n">
        <v>22.7</v>
      </c>
      <c r="G11" s="25" t="n">
        <v>24.1</v>
      </c>
    </row>
    <row r="12" customFormat="false" ht="15" hidden="false" customHeight="false" outlineLevel="0" collapsed="false">
      <c r="A12" s="26"/>
      <c r="B12" s="26" t="s">
        <v>182</v>
      </c>
      <c r="C12" s="25" t="n">
        <v>16.2</v>
      </c>
      <c r="D12" s="25" t="n">
        <v>17</v>
      </c>
      <c r="E12" s="25" t="n">
        <v>17.9</v>
      </c>
      <c r="F12" s="25" t="n">
        <v>18.9</v>
      </c>
      <c r="G12" s="25" t="n">
        <v>20</v>
      </c>
    </row>
    <row r="14" customFormat="false" ht="15" hidden="false" customHeight="false" outlineLevel="0" collapsed="false">
      <c r="A14" s="31" t="s">
        <v>183</v>
      </c>
    </row>
    <row r="15" customFormat="false" ht="15" hidden="false" customHeight="false" outlineLevel="0" collapsed="false">
      <c r="A15" s="29" t="s">
        <v>184</v>
      </c>
    </row>
    <row r="17" customFormat="false" ht="15" hidden="false" customHeight="false" outlineLevel="0" collapsed="false">
      <c r="A17" s="0" t="s">
        <v>185</v>
      </c>
    </row>
    <row r="19" customFormat="false" ht="15" hidden="false" customHeight="false" outlineLevel="0" collapsed="false">
      <c r="A19" s="0" t="s">
        <v>186</v>
      </c>
      <c r="B19" s="32" t="s">
        <v>187</v>
      </c>
      <c r="C19" s="32" t="s">
        <v>188</v>
      </c>
      <c r="D19" s="32" t="s">
        <v>189</v>
      </c>
      <c r="E19" s="32" t="s">
        <v>190</v>
      </c>
      <c r="F19" s="32" t="s">
        <v>191</v>
      </c>
    </row>
    <row r="20" customFormat="false" ht="15" hidden="false" customHeight="false" outlineLevel="0" collapsed="false">
      <c r="A20" s="0" t="s">
        <v>163</v>
      </c>
      <c r="B20" s="25" t="n">
        <v>31.2</v>
      </c>
      <c r="C20" s="25" t="n">
        <v>25.6</v>
      </c>
      <c r="D20" s="25" t="n">
        <v>22.1</v>
      </c>
      <c r="E20" s="25" t="n">
        <v>18.6</v>
      </c>
      <c r="F20" s="25" t="n">
        <v>13.3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2026-01-21T20:55:19Z</dcterms:created>
  <dc:creator>openpyxl</dc:creator>
  <dc:description/>
  <dc:language>en-US</dc:language>
  <cp:lastModifiedBy/>
  <dcterms:modified xsi:type="dcterms:W3CDTF">2026-01-21T20:55:19Z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