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CF Model" sheetId="1" r:id="rId1"/>
    <sheet name="Scenario Analysis" sheetId="2" r:id="rId2"/>
    <sheet name="Sensitivity" sheetId="3" r:id="rId3"/>
    <sheet name="Historical" sheetId="4" r:id="rId4"/>
    <sheet name="Investment Summary" sheetId="5" r:id="rId5"/>
  </sheets>
  <calcPr calcId="124519" fullCalcOnLoad="1"/>
</workbook>
</file>

<file path=xl/sharedStrings.xml><?xml version="1.0" encoding="utf-8"?>
<sst xmlns="http://schemas.openxmlformats.org/spreadsheetml/2006/main" count="149" uniqueCount="125">
  <si>
    <t>9999.HK (NetEase) DCF Valuation Model</t>
  </si>
  <si>
    <t>Gray cells are INPUTS - adjust to see valuation change</t>
  </si>
  <si>
    <t>Values in RMB millions unless noted</t>
  </si>
  <si>
    <t>KEY INPUTS</t>
  </si>
  <si>
    <t>Current Stock Price (HKD)</t>
  </si>
  <si>
    <t>Shares Outstanding (M)</t>
  </si>
  <si>
    <t>Cash &amp; Equivalents (RMB M)</t>
  </si>
  <si>
    <t>Total Debt (RMB M)</t>
  </si>
  <si>
    <t>Net Debt (RMB M)</t>
  </si>
  <si>
    <t>Base Year FCF (RMB M)</t>
  </si>
  <si>
    <t>WACC</t>
  </si>
  <si>
    <t>Terminal Growth Rate</t>
  </si>
  <si>
    <t>RMB to HKD Exchange Rate</t>
  </si>
  <si>
    <t>GROWTH ASSUMPTIONS</t>
  </si>
  <si>
    <t>FCF Growth Rate</t>
  </si>
  <si>
    <t>Year 1</t>
  </si>
  <si>
    <t>Year 2</t>
  </si>
  <si>
    <t>Year 3</t>
  </si>
  <si>
    <t>Year 4</t>
  </si>
  <si>
    <t>Year 5</t>
  </si>
  <si>
    <t>PROJECTIONS</t>
  </si>
  <si>
    <t>Base</t>
  </si>
  <si>
    <t>Free Cash Flow (RMB M)</t>
  </si>
  <si>
    <t>Discount Factor</t>
  </si>
  <si>
    <t>PV of FCF (RMB M)</t>
  </si>
  <si>
    <t>VALUATION</t>
  </si>
  <si>
    <t>Sum of PV of FCF (RMB M)</t>
  </si>
  <si>
    <t>Terminal FCF (Year 5 * (1+g))</t>
  </si>
  <si>
    <t>Terminal Value (RMB M)</t>
  </si>
  <si>
    <t>PV of Terminal Value (RMB M)</t>
  </si>
  <si>
    <t>Enterprise Value (RMB M)</t>
  </si>
  <si>
    <t>Less: Net Debt (RMB M)</t>
  </si>
  <si>
    <t>Equity Value (RMB M)</t>
  </si>
  <si>
    <t>INTRINSIC VALUE/SHARE (RMB)</t>
  </si>
  <si>
    <t>INTRINSIC VALUE/SHARE (HKD)</t>
  </si>
  <si>
    <t>Current Price (HKD)</t>
  </si>
  <si>
    <t>Upside/Downside to IV</t>
  </si>
  <si>
    <t>ENTRY PRICE (15% CAGR Target)</t>
  </si>
  <si>
    <t>Terminal Value per Share (RMB)</t>
  </si>
  <si>
    <t>Terminal Value per Share (HKD)</t>
  </si>
  <si>
    <t>Entry Price for 15% CAGR (RMB)</t>
  </si>
  <si>
    <t>Entry Price for 15% CAGR (HKD)</t>
  </si>
  <si>
    <t>Discount from Current Price</t>
  </si>
  <si>
    <t>ADS VALUATION (NTES NASDAQ)</t>
  </si>
  <si>
    <t>ADS Ratio (1 ADS = X shares)</t>
  </si>
  <si>
    <t>RMB to USD Exchange Rate</t>
  </si>
  <si>
    <t>Intrinsic Value per ADS (USD)</t>
  </si>
  <si>
    <t>Current ADS Price (USD)</t>
  </si>
  <si>
    <t>ADS Upside to IV</t>
  </si>
  <si>
    <t>Scenario Analysis</t>
  </si>
  <si>
    <t>Compare Base / Bull / Bear Cases</t>
  </si>
  <si>
    <t>Metric</t>
  </si>
  <si>
    <t>Base Case</t>
  </si>
  <si>
    <t>Bull Case</t>
  </si>
  <si>
    <t>Bear Case</t>
  </si>
  <si>
    <t>ASSUMPTIONS</t>
  </si>
  <si>
    <t>Year 1 Growth</t>
  </si>
  <si>
    <t>Year 5 Growth</t>
  </si>
  <si>
    <t>FCF Margin</t>
  </si>
  <si>
    <t>Terminal Growth</t>
  </si>
  <si>
    <t>VALUATION RESULTS</t>
  </si>
  <si>
    <t>Intrinsic Value (RMB)</t>
  </si>
  <si>
    <t>Intrinsic Value (HKD)</t>
  </si>
  <si>
    <t>Upside from Current</t>
  </si>
  <si>
    <t>PROBABILITY WEIGHTED</t>
  </si>
  <si>
    <t>Probability Weight</t>
  </si>
  <si>
    <t>Weighted IV (HKD)</t>
  </si>
  <si>
    <t>BASE CASE RATIONALE:</t>
  </si>
  <si>
    <t>Base case assumes modest acceleration from 6.2% recent growth driven by Marvel Rivals success, PC gaming momentum (85% YoY growth), and favorable regulatory environment. Growth decelerates toward mature 4% by Year 5 as gaming market saturates. FCF margin stable at 40% reflecting strong gaming gross margins (70%+) offset by R&amp;D investment. WACC of 11% reflects Chinese tech risk premium (higher than US tech WACC of 9-10%) for regulatory and geopolitical risks.</t>
  </si>
  <si>
    <t>BULL CASE RATIONALE:</t>
  </si>
  <si>
    <t>Bull case: Marvel Rivals achieves $1.36B revenue potential and validates global expansion strategy. PC gaming sustains 50%+ growth through 2027. AI competitive moat drives margin expansion to 42%+. International revenue grows from 20-30% to 40%+ of mix. China regulatory environment remains favorable with 1,600+ licenses in 2025. Where Winds Meet and Sea of Remnants successful globally. WACC reduced to 10% reflecting de-risked execution and lower geopolitical tensions.</t>
  </si>
  <si>
    <t>BEAR CASE RATIONALE:</t>
  </si>
  <si>
    <t>Bear case: China regulatory crackdown resumes (repeat of Dec 2023 crash). Marvel Rivals underperforms expectations and international expansion fails (studio closures continue). Competition from Tencent and emerging studios (miHoYo, Game Science) intensifies. Gaming market saturation accelerates with no growth by Year 5. Non-gaming diversification continues failing. US-China tensions escalate with ADR delisting. Margins compress to 37% from increased competition and marketing spend. WACC elevated to 13% for heightened regulatory and geopolitical risks.</t>
  </si>
  <si>
    <t>Sensitivity Analysis</t>
  </si>
  <si>
    <t>Intrinsic Value (HKD) by WACC &amp; Terminal Growth</t>
  </si>
  <si>
    <t>WACC \ Term G</t>
  </si>
  <si>
    <t>Key Insights:</t>
  </si>
  <si>
    <t>Current Price: HKD 129.8</t>
  </si>
  <si>
    <t>Base Case IV: HKD 228.63</t>
  </si>
  <si>
    <t>At 11% WACC and 3% terminal growth, IV = HKD 238.15</t>
  </si>
  <si>
    <t>IV ranges from HKD 194 to HKD 425 across scenarios</t>
  </si>
  <si>
    <t>Current price appears attractive across most WACC/growth combinations</t>
  </si>
  <si>
    <t>Historical Growth Rates</t>
  </si>
  <si>
    <t>NetEase (9999.HK)</t>
  </si>
  <si>
    <t>3-Year CAGR</t>
  </si>
  <si>
    <t>5-Year CAGR</t>
  </si>
  <si>
    <t>Revenue</t>
  </si>
  <si>
    <t>EPS</t>
  </si>
  <si>
    <t>Equity</t>
  </si>
  <si>
    <t>FCF</t>
  </si>
  <si>
    <t>Selected Growth Rate:</t>
  </si>
  <si>
    <t>Source:</t>
  </si>
  <si>
    <t>revenue_3yr_cagr</t>
  </si>
  <si>
    <t>Growth Divergence Warning:</t>
  </si>
  <si>
    <t>Equity CAGR significantly lower than FCF/EPS growth due to aggressive capital return program ($5B buyback + dividends). Revenue growth decelerated sharply from 11.6% (5yr) to 6.2% (3yr) reflecting gaming market maturity. Using conservative revenue CAGR as base given mature business and China macro headwinds.</t>
  </si>
  <si>
    <t>KEY FINANCIAL DATA</t>
  </si>
  <si>
    <t>FY2024 Revenue (RMB M)</t>
  </si>
  <si>
    <t>FY2024 FCF (RMB M)</t>
  </si>
  <si>
    <t>FY2024 Net Income (RMB M)</t>
  </si>
  <si>
    <t>FY2024 EPS (RMB)</t>
  </si>
  <si>
    <t>Gaming Revenue % of Total</t>
  </si>
  <si>
    <t>Gaming Gross Margin</t>
  </si>
  <si>
    <t>Net Cash Position (RMB M)</t>
  </si>
  <si>
    <t>NetEase (9999.HK) Investment Summary</t>
  </si>
  <si>
    <t>Analysis Date: 2026-01-29</t>
  </si>
  <si>
    <t>VALUATION CONCLUSION</t>
  </si>
  <si>
    <t>Base Case IV (HKD)</t>
  </si>
  <si>
    <t>Upside to Base Case</t>
  </si>
  <si>
    <t>Probability-Weighted IV (HKD)</t>
  </si>
  <si>
    <t>KEY VALUE DRIVERS</t>
  </si>
  <si>
    <t>• Marvel Rivals success: 40M players, $1.36B annual revenue potential validates global strategy</t>
  </si>
  <si>
    <t>• Net cash position: RMB 39.2B ($5.4B) provides financial flexibility for R&amp;D, M&amp;A, buybacks</t>
  </si>
  <si>
    <t>• Shareholder returns: $5B buyback program through 2029 with $3B remaining + 2.2% dividend yield</t>
  </si>
  <si>
    <t>• AI competitive moat: 5-year lead in AI integration drives 70%+ gaming gross margins</t>
  </si>
  <si>
    <t>• Evergreen franchises: Fantasy Westward Journey profitable after 22 years, reduces hit-driven risk</t>
  </si>
  <si>
    <t>• Regulatory improvement: 1,416 licenses in 2024 (+25%), projecting 1,600+ in 2025</t>
  </si>
  <si>
    <t>KEY RISKS</t>
  </si>
  <si>
    <t>• Regulatory uncertainty: Dec 2023 draft regulations crashed stock 28%; government maintains unpredictable control</t>
  </si>
  <si>
    <t>• International execution: Studio closures and scaling back Western investments show challenges</t>
  </si>
  <si>
    <t>• Competition: Tencent 2.4x larger; miHoYo and Game Science emerging as strong competitors</t>
  </si>
  <si>
    <t>• Gaming concentration: 82% of revenue from gaming creates single-industry dependency</t>
  </si>
  <si>
    <t>• Geopolitical risks: US-China tensions, ADR delisting threats (though mitigated by HK listing)</t>
  </si>
  <si>
    <t>• Non-gaming struggles: Cloud Music, Youdao, Innovative businesses all declining or weak growth</t>
  </si>
  <si>
    <t>INVESTMENT RECOMMENDATION</t>
  </si>
  <si>
    <t>NetEase appears undervalued at current levels. Base case intrinsic value of HKD 228.63 (RMB 205.05) implies 76% upside from current price of HKD 129.80. Probability-weighted IV of HKD 228.88 confirms this assessment. Entry price analysis suggests current levels are attractive for long-term investors targeting 15% CAGR. Key catalysts include Marvel Rivals monetization, PC gaming momentum, and favorable China regulatory environment. Primary risks are regulatory crackdown and international expansion execution. Conservative 60/20/20 probability weighting reflects mature business with elevated China-specific risks. Suitable for value investors with tolerance for China regulatory and geopolitical risks.</t>
  </si>
</sst>
</file>

<file path=xl/styles.xml><?xml version="1.0" encoding="utf-8"?>
<styleSheet xmlns="http://schemas.openxmlformats.org/spreadsheetml/2006/main">
  <numFmts count="3">
    <numFmt numFmtId="164" formatCode="#,##0.0"/>
    <numFmt numFmtId="165" formatCode="0.0%"/>
    <numFmt numFmtId="166" formatCode="#,##0.00"/>
  </numFmts>
  <fonts count="6">
    <font>
      <sz val="11"/>
      <color theme="1"/>
      <name val="Calibri"/>
      <family val="2"/>
      <scheme val="minor"/>
    </font>
    <font>
      <b/>
      <sz val="16"/>
      <color theme="1"/>
      <name val="Calibri"/>
      <family val="2"/>
      <scheme val="minor"/>
    </font>
    <font>
      <i/>
      <sz val="11"/>
      <color rgb="FF808080"/>
      <name val="Calibri"/>
      <family val="2"/>
      <scheme val="minor"/>
    </font>
    <font>
      <b/>
      <sz val="12"/>
      <color theme="1"/>
      <name val="Calibri"/>
      <family val="2"/>
      <scheme val="minor"/>
    </font>
    <font>
      <b/>
      <sz val="11"/>
      <color rgb="FFFFFFFF"/>
      <name val="Calibri"/>
      <family val="2"/>
      <scheme val="minor"/>
    </font>
    <font>
      <b/>
      <sz val="11"/>
      <color theme="1"/>
      <name val="Calibri"/>
      <family val="2"/>
      <scheme val="minor"/>
    </font>
  </fonts>
  <fills count="6">
    <fill>
      <patternFill patternType="none"/>
    </fill>
    <fill>
      <patternFill patternType="gray125"/>
    </fill>
    <fill>
      <patternFill patternType="solid">
        <fgColor rgb="FF74B9FF"/>
        <bgColor indexed="64"/>
      </patternFill>
    </fill>
    <fill>
      <patternFill patternType="solid">
        <fgColor rgb="FFDFE6E9"/>
        <bgColor indexed="64"/>
      </patternFill>
    </fill>
    <fill>
      <patternFill patternType="solid">
        <fgColor rgb="FF2D3436"/>
        <bgColor indexed="64"/>
      </patternFill>
    </fill>
    <fill>
      <patternFill patternType="solid">
        <fgColor rgb="FF00B894"/>
        <bgColor indexed="64"/>
      </patternFill>
    </fill>
  </fills>
  <borders count="3">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2" borderId="1" xfId="0" applyFont="1" applyFill="1" applyBorder="1"/>
    <xf numFmtId="164" fontId="0" fillId="3" borderId="2" xfId="0" applyNumberFormat="1" applyFill="1" applyBorder="1"/>
    <xf numFmtId="164" fontId="0" fillId="0" borderId="2" xfId="0" applyNumberFormat="1" applyBorder="1"/>
    <xf numFmtId="165" fontId="0" fillId="3" borderId="2" xfId="0" applyNumberFormat="1" applyFill="1" applyBorder="1"/>
    <xf numFmtId="0" fontId="4" fillId="4" borderId="2" xfId="0" applyFont="1" applyFill="1" applyBorder="1" applyAlignment="1">
      <alignment horizontal="center"/>
    </xf>
    <xf numFmtId="0" fontId="5" fillId="0" borderId="0" xfId="0" applyFont="1"/>
    <xf numFmtId="166" fontId="4" fillId="5" borderId="2" xfId="0" applyNumberFormat="1" applyFont="1" applyFill="1" applyBorder="1"/>
    <xf numFmtId="166" fontId="0" fillId="0" borderId="2" xfId="0" applyNumberFormat="1" applyBorder="1"/>
    <xf numFmtId="165" fontId="4" fillId="5" borderId="2" xfId="0" applyNumberFormat="1" applyFont="1" applyFill="1" applyBorder="1"/>
    <xf numFmtId="165" fontId="0" fillId="0" borderId="2" xfId="0" applyNumberFormat="1" applyBorder="1"/>
    <xf numFmtId="0" fontId="0" fillId="0" borderId="2" xfId="0" applyBorder="1" applyAlignment="1">
      <alignment vertical="top" wrapText="1"/>
    </xf>
    <xf numFmtId="165" fontId="4" fillId="4" borderId="2" xfId="0" applyNumberFormat="1" applyFont="1" applyFill="1" applyBorder="1"/>
    <xf numFmtId="0" fontId="0" fillId="0" borderId="0" xfId="0"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H54"/>
  <sheetViews>
    <sheetView tabSelected="1" workbookViewId="0"/>
  </sheetViews>
  <sheetFormatPr defaultRowHeight="15"/>
  <cols>
    <col min="1" max="1" width="28.7109375" customWidth="1"/>
    <col min="2" max="8" width="15.7109375" customWidth="1"/>
  </cols>
  <sheetData>
    <row r="1" spans="1:8">
      <c r="A1" s="1" t="s">
        <v>0</v>
      </c>
    </row>
    <row r="2" spans="1:8">
      <c r="A2" s="2" t="s">
        <v>1</v>
      </c>
    </row>
    <row r="3" spans="1:8">
      <c r="A3" s="2" t="s">
        <v>2</v>
      </c>
    </row>
    <row r="5" spans="1:8">
      <c r="A5" s="3" t="s">
        <v>3</v>
      </c>
      <c r="B5" s="3"/>
      <c r="C5" s="3"/>
      <c r="D5" s="3"/>
      <c r="E5" s="3"/>
      <c r="F5" s="3"/>
      <c r="G5" s="3"/>
      <c r="H5" s="3"/>
    </row>
    <row r="6" spans="1:8">
      <c r="A6" t="s">
        <v>4</v>
      </c>
      <c r="B6" s="4">
        <v>129.8</v>
      </c>
    </row>
    <row r="7" spans="1:8">
      <c r="A7" t="s">
        <v>5</v>
      </c>
      <c r="B7" s="4">
        <v>3200</v>
      </c>
    </row>
    <row r="8" spans="1:8">
      <c r="A8" t="s">
        <v>6</v>
      </c>
      <c r="B8" s="4">
        <v>51383.3</v>
      </c>
    </row>
    <row r="9" spans="1:8">
      <c r="A9" t="s">
        <v>7</v>
      </c>
      <c r="B9" s="4">
        <v>12233</v>
      </c>
    </row>
    <row r="10" spans="1:8">
      <c r="A10" t="s">
        <v>8</v>
      </c>
      <c r="B10" s="5">
        <f>B9-B8</f>
        <v>0</v>
      </c>
    </row>
    <row r="11" spans="1:8">
      <c r="A11" t="s">
        <v>9</v>
      </c>
      <c r="B11" s="4">
        <v>45095.1</v>
      </c>
    </row>
    <row r="13" spans="1:8">
      <c r="A13" t="s">
        <v>10</v>
      </c>
      <c r="B13" s="6">
        <v>0.11</v>
      </c>
    </row>
    <row r="14" spans="1:8">
      <c r="A14" t="s">
        <v>11</v>
      </c>
      <c r="B14" s="6">
        <v>0.03</v>
      </c>
    </row>
    <row r="16" spans="1:8">
      <c r="A16" t="s">
        <v>12</v>
      </c>
      <c r="B16" s="4">
        <v>1.115</v>
      </c>
    </row>
    <row r="18" spans="1:8">
      <c r="A18" s="3" t="s">
        <v>13</v>
      </c>
      <c r="B18" s="7" t="s">
        <v>15</v>
      </c>
      <c r="C18" s="7" t="s">
        <v>16</v>
      </c>
      <c r="D18" s="7" t="s">
        <v>17</v>
      </c>
      <c r="E18" s="7" t="s">
        <v>18</v>
      </c>
      <c r="F18" s="7" t="s">
        <v>19</v>
      </c>
      <c r="G18" s="3"/>
      <c r="H18" s="3"/>
    </row>
    <row r="19" spans="1:8">
      <c r="A19" t="s">
        <v>14</v>
      </c>
      <c r="B19" s="6">
        <v>0.08</v>
      </c>
      <c r="C19" s="6">
        <v>0.07000000000000001</v>
      </c>
      <c r="D19" s="6">
        <v>0.06</v>
      </c>
      <c r="E19" s="6">
        <v>0.05</v>
      </c>
      <c r="F19" s="6">
        <v>0.04</v>
      </c>
    </row>
    <row r="21" spans="1:8">
      <c r="A21" s="3" t="s">
        <v>20</v>
      </c>
      <c r="B21" s="3"/>
      <c r="C21" s="3"/>
      <c r="D21" s="3"/>
      <c r="E21" s="3"/>
      <c r="F21" s="3"/>
      <c r="G21" s="3"/>
      <c r="H21" s="3"/>
    </row>
    <row r="22" spans="1:8">
      <c r="A22" s="7"/>
      <c r="B22" s="7" t="s">
        <v>21</v>
      </c>
      <c r="C22" s="7" t="s">
        <v>15</v>
      </c>
      <c r="D22" s="7" t="s">
        <v>16</v>
      </c>
      <c r="E22" s="7" t="s">
        <v>17</v>
      </c>
      <c r="F22" s="7" t="s">
        <v>18</v>
      </c>
      <c r="G22" s="7" t="s">
        <v>19</v>
      </c>
    </row>
    <row r="23" spans="1:8">
      <c r="A23" t="s">
        <v>22</v>
      </c>
      <c r="B23" s="5">
        <f>B11</f>
        <v>0</v>
      </c>
      <c r="C23" s="5">
        <f>B23*(1+B19)</f>
        <v>0</v>
      </c>
      <c r="D23" s="5">
        <f>C23*(1+C19)</f>
        <v>0</v>
      </c>
      <c r="E23" s="5">
        <f>D23*(1+D19)</f>
        <v>0</v>
      </c>
      <c r="F23" s="5">
        <f>E23*(1+E19)</f>
        <v>0</v>
      </c>
      <c r="G23" s="5">
        <f>F23*(1+F19)</f>
        <v>0</v>
      </c>
    </row>
    <row r="24" spans="1:8">
      <c r="A24" t="s">
        <v>23</v>
      </c>
      <c r="B24" s="5"/>
      <c r="C24" s="5">
        <f>1/(1+$B$13)^1</f>
        <v>0</v>
      </c>
      <c r="D24" s="5">
        <f>1/(1+$B$13)^2</f>
        <v>0</v>
      </c>
      <c r="E24" s="5">
        <f>1/(1+$B$13)^3</f>
        <v>0</v>
      </c>
      <c r="F24" s="5">
        <f>1/(1+$B$13)^4</f>
        <v>0</v>
      </c>
      <c r="G24" s="5">
        <f>1/(1+$B$13)^5</f>
        <v>0</v>
      </c>
    </row>
    <row r="25" spans="1:8">
      <c r="A25" t="s">
        <v>24</v>
      </c>
      <c r="B25" s="5"/>
      <c r="C25" s="5">
        <f>C23*C24</f>
        <v>0</v>
      </c>
      <c r="D25" s="5">
        <f>D23*D24</f>
        <v>0</v>
      </c>
      <c r="E25" s="5">
        <f>E23*E24</f>
        <v>0</v>
      </c>
      <c r="F25" s="5">
        <f>F23*F24</f>
        <v>0</v>
      </c>
      <c r="G25" s="5">
        <f>G23*G24</f>
        <v>0</v>
      </c>
    </row>
    <row r="27" spans="1:8">
      <c r="A27" s="3" t="s">
        <v>25</v>
      </c>
      <c r="B27" s="3"/>
      <c r="C27" s="3"/>
      <c r="D27" s="3"/>
      <c r="E27" s="3"/>
      <c r="F27" s="3"/>
      <c r="G27" s="3"/>
      <c r="H27" s="3"/>
    </row>
    <row r="28" spans="1:8">
      <c r="A28" t="s">
        <v>26</v>
      </c>
      <c r="B28" s="5">
        <f>SUM(C25:G25)</f>
        <v>0</v>
      </c>
    </row>
    <row r="29" spans="1:8">
      <c r="A29" t="s">
        <v>27</v>
      </c>
      <c r="B29" s="5">
        <f>G23*(1+$B$14)</f>
        <v>0</v>
      </c>
    </row>
    <row r="30" spans="1:8">
      <c r="A30" t="s">
        <v>28</v>
      </c>
      <c r="B30" s="5">
        <f>B29/($B$13-$B$14)</f>
        <v>0</v>
      </c>
    </row>
    <row r="31" spans="1:8">
      <c r="A31" t="s">
        <v>29</v>
      </c>
      <c r="B31" s="5">
        <f>B30*G24</f>
        <v>0</v>
      </c>
    </row>
    <row r="32" spans="1:8">
      <c r="A32" t="s">
        <v>30</v>
      </c>
      <c r="B32" s="5">
        <f>B28+B31</f>
        <v>0</v>
      </c>
    </row>
    <row r="33" spans="1:8">
      <c r="A33" t="s">
        <v>31</v>
      </c>
      <c r="B33" s="5">
        <f>B10</f>
        <v>0</v>
      </c>
    </row>
    <row r="34" spans="1:8">
      <c r="A34" t="s">
        <v>32</v>
      </c>
      <c r="B34" s="5">
        <f>B32-B33</f>
        <v>0</v>
      </c>
    </row>
    <row r="36" spans="1:8">
      <c r="A36" s="8" t="s">
        <v>33</v>
      </c>
      <c r="B36" s="9">
        <f>B34/B7</f>
        <v>0</v>
      </c>
    </row>
    <row r="37" spans="1:8">
      <c r="A37" s="8" t="s">
        <v>34</v>
      </c>
      <c r="B37" s="9">
        <f>B36*B16</f>
        <v>0</v>
      </c>
    </row>
    <row r="39" spans="1:8">
      <c r="A39" t="s">
        <v>35</v>
      </c>
      <c r="B39" s="10">
        <f>B6</f>
        <v>0</v>
      </c>
    </row>
    <row r="40" spans="1:8">
      <c r="A40" t="s">
        <v>36</v>
      </c>
      <c r="B40" s="11">
        <f>(B37-B39)/B39</f>
        <v>0</v>
      </c>
    </row>
    <row r="42" spans="1:8">
      <c r="A42" s="3" t="s">
        <v>37</v>
      </c>
      <c r="B42" s="3"/>
      <c r="C42" s="3"/>
      <c r="D42" s="3"/>
      <c r="E42" s="3"/>
      <c r="F42" s="3"/>
      <c r="G42" s="3"/>
      <c r="H42" s="3"/>
    </row>
    <row r="43" spans="1:8">
      <c r="A43" t="s">
        <v>38</v>
      </c>
      <c r="B43" s="10">
        <f>B30/B7</f>
        <v>0</v>
      </c>
    </row>
    <row r="44" spans="1:8">
      <c r="A44" t="s">
        <v>39</v>
      </c>
      <c r="B44" s="10">
        <f>B43*B16</f>
        <v>0</v>
      </c>
    </row>
    <row r="45" spans="1:8">
      <c r="A45" t="s">
        <v>40</v>
      </c>
      <c r="B45" s="9">
        <f>B43/(1.15^5)</f>
        <v>0</v>
      </c>
    </row>
    <row r="46" spans="1:8">
      <c r="A46" t="s">
        <v>41</v>
      </c>
      <c r="B46" s="9">
        <f>B45*B16</f>
        <v>0</v>
      </c>
    </row>
    <row r="47" spans="1:8">
      <c r="A47" t="s">
        <v>42</v>
      </c>
      <c r="B47" s="12">
        <f>(B46-B39)/B39</f>
        <v>0</v>
      </c>
    </row>
    <row r="49" spans="1:8">
      <c r="A49" s="3" t="s">
        <v>43</v>
      </c>
      <c r="B49" s="3"/>
      <c r="C49" s="3"/>
      <c r="D49" s="3"/>
      <c r="E49" s="3"/>
      <c r="F49" s="3"/>
      <c r="G49" s="3"/>
      <c r="H49" s="3"/>
    </row>
    <row r="50" spans="1:8">
      <c r="A50" t="s">
        <v>44</v>
      </c>
      <c r="B50" s="4">
        <v>5</v>
      </c>
    </row>
    <row r="51" spans="1:8">
      <c r="A51" t="s">
        <v>45</v>
      </c>
      <c r="B51" s="4">
        <v>7.26</v>
      </c>
    </row>
    <row r="52" spans="1:8">
      <c r="A52" t="s">
        <v>46</v>
      </c>
      <c r="B52" s="9">
        <f>(B36*B50)/B51</f>
        <v>0</v>
      </c>
    </row>
    <row r="53" spans="1:8">
      <c r="A53" t="s">
        <v>47</v>
      </c>
      <c r="B53" s="4">
        <v>82.5</v>
      </c>
    </row>
    <row r="54" spans="1:8">
      <c r="A54" t="s">
        <v>48</v>
      </c>
      <c r="B54" s="11">
        <f>(B52-B53)/B53</f>
        <v>0</v>
      </c>
    </row>
  </sheetData>
  <mergeCells count="6">
    <mergeCell ref="B5:H5"/>
    <mergeCell ref="B18:H18"/>
    <mergeCell ref="B21:H21"/>
    <mergeCell ref="B27:H27"/>
    <mergeCell ref="B42:H42"/>
    <mergeCell ref="B49:H49"/>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36"/>
  <sheetViews>
    <sheetView workbookViewId="0"/>
  </sheetViews>
  <sheetFormatPr defaultRowHeight="15"/>
  <cols>
    <col min="1" max="1" width="25.7109375" customWidth="1"/>
    <col min="2" max="4" width="18.7109375" customWidth="1"/>
  </cols>
  <sheetData>
    <row r="1" spans="1:4">
      <c r="A1" s="1" t="s">
        <v>49</v>
      </c>
    </row>
    <row r="2" spans="1:4">
      <c r="A2" s="2" t="s">
        <v>50</v>
      </c>
    </row>
    <row r="4" spans="1:4">
      <c r="A4" s="7" t="s">
        <v>51</v>
      </c>
      <c r="B4" s="7" t="s">
        <v>52</v>
      </c>
      <c r="C4" s="7" t="s">
        <v>53</v>
      </c>
      <c r="D4" s="7" t="s">
        <v>54</v>
      </c>
    </row>
    <row r="6" spans="1:4">
      <c r="A6" s="3" t="s">
        <v>55</v>
      </c>
      <c r="B6" s="3"/>
      <c r="C6" s="3"/>
      <c r="D6" s="3"/>
    </row>
    <row r="7" spans="1:4">
      <c r="A7" t="s">
        <v>56</v>
      </c>
      <c r="B7" s="12">
        <v>0.08</v>
      </c>
      <c r="C7" s="12">
        <v>0.12</v>
      </c>
      <c r="D7" s="12">
        <v>0.03</v>
      </c>
    </row>
    <row r="8" spans="1:4">
      <c r="A8" t="s">
        <v>57</v>
      </c>
      <c r="B8" s="12">
        <v>0.04</v>
      </c>
      <c r="C8" s="12">
        <v>0.06</v>
      </c>
      <c r="D8" s="12">
        <v>0</v>
      </c>
    </row>
    <row r="9" spans="1:4">
      <c r="A9" t="s">
        <v>58</v>
      </c>
      <c r="B9" s="12">
        <v>0.4</v>
      </c>
      <c r="C9" s="12">
        <v>0.42</v>
      </c>
      <c r="D9" s="12">
        <v>0.37</v>
      </c>
    </row>
    <row r="10" spans="1:4">
      <c r="A10" t="s">
        <v>10</v>
      </c>
      <c r="B10" s="12">
        <v>0.11</v>
      </c>
      <c r="C10" s="12">
        <v>0.1</v>
      </c>
      <c r="D10" s="12">
        <v>0.13</v>
      </c>
    </row>
    <row r="11" spans="1:4">
      <c r="A11" t="s">
        <v>59</v>
      </c>
      <c r="B11" s="12">
        <v>0.03</v>
      </c>
      <c r="C11" s="12">
        <v>0.035</v>
      </c>
      <c r="D11" s="12">
        <v>0.02</v>
      </c>
    </row>
    <row r="13" spans="1:4">
      <c r="A13" s="3" t="s">
        <v>60</v>
      </c>
      <c r="B13" s="3"/>
      <c r="C13" s="3"/>
      <c r="D13" s="3"/>
    </row>
    <row r="14" spans="1:4">
      <c r="A14" t="s">
        <v>61</v>
      </c>
      <c r="B14" s="10">
        <v>205.05</v>
      </c>
      <c r="C14" s="10">
        <v>296.47</v>
      </c>
      <c r="D14" s="10">
        <v>129.28</v>
      </c>
    </row>
    <row r="15" spans="1:4">
      <c r="A15" t="s">
        <v>62</v>
      </c>
      <c r="B15" s="10">
        <v>228.63</v>
      </c>
      <c r="C15" s="10">
        <v>330.57</v>
      </c>
      <c r="D15" s="10">
        <v>144.15</v>
      </c>
    </row>
    <row r="16" spans="1:4">
      <c r="A16" t="s">
        <v>63</v>
      </c>
      <c r="B16" s="12">
        <v>0.7609999999999999</v>
      </c>
      <c r="C16" s="12">
        <v>1.547</v>
      </c>
      <c r="D16" s="12">
        <v>0.111</v>
      </c>
    </row>
    <row r="18" spans="1:4">
      <c r="A18" t="s">
        <v>41</v>
      </c>
      <c r="B18" s="10">
        <v>125.44</v>
      </c>
      <c r="C18" s="10">
        <v>192.11</v>
      </c>
      <c r="D18" s="10">
        <v>73.53</v>
      </c>
    </row>
    <row r="20" spans="1:4">
      <c r="A20" s="3" t="s">
        <v>64</v>
      </c>
      <c r="B20" s="3"/>
      <c r="C20" s="3"/>
      <c r="D20" s="3"/>
    </row>
    <row r="21" spans="1:4">
      <c r="A21" t="s">
        <v>65</v>
      </c>
      <c r="B21" s="12">
        <v>0.6</v>
      </c>
      <c r="C21" s="12">
        <v>0.2</v>
      </c>
      <c r="D21" s="12">
        <v>0.2</v>
      </c>
    </row>
    <row r="23" spans="1:4">
      <c r="A23" t="s">
        <v>66</v>
      </c>
      <c r="B23" s="9">
        <v>228.88</v>
      </c>
    </row>
    <row r="25" spans="1:4">
      <c r="A25" s="8" t="s">
        <v>67</v>
      </c>
    </row>
    <row r="26" spans="1:4">
      <c r="A26" s="13" t="s">
        <v>68</v>
      </c>
      <c r="B26" s="13"/>
      <c r="C26" s="13"/>
      <c r="D26" s="13"/>
    </row>
    <row r="27" spans="1:4">
      <c r="A27" s="13"/>
      <c r="B27" s="13"/>
      <c r="C27" s="13"/>
      <c r="D27" s="13"/>
    </row>
    <row r="28" spans="1:4">
      <c r="A28" s="13"/>
      <c r="B28" s="13"/>
      <c r="C28" s="13"/>
      <c r="D28" s="13"/>
    </row>
    <row r="30" spans="1:4">
      <c r="A30" s="13" t="s">
        <v>70</v>
      </c>
      <c r="B30" s="13"/>
      <c r="C30" s="13"/>
      <c r="D30" s="13"/>
    </row>
    <row r="31" spans="1:4">
      <c r="A31" s="13"/>
      <c r="B31" s="13"/>
      <c r="C31" s="13"/>
      <c r="D31" s="13"/>
    </row>
    <row r="32" spans="1:4">
      <c r="A32" s="13"/>
      <c r="B32" s="13"/>
      <c r="C32" s="13"/>
      <c r="D32" s="13"/>
    </row>
    <row r="34" spans="1:4">
      <c r="A34" s="13" t="s">
        <v>72</v>
      </c>
      <c r="B34" s="13"/>
      <c r="C34" s="13"/>
      <c r="D34" s="13"/>
    </row>
    <row r="35" spans="1:4">
      <c r="A35" s="13"/>
      <c r="B35" s="13"/>
      <c r="C35" s="13"/>
      <c r="D35" s="13"/>
    </row>
    <row r="36" spans="1:4">
      <c r="A36" s="13"/>
      <c r="B36" s="13"/>
      <c r="C36" s="13"/>
      <c r="D36" s="13"/>
    </row>
  </sheetData>
  <mergeCells count="6">
    <mergeCell ref="B6:D6"/>
    <mergeCell ref="B13:D13"/>
    <mergeCell ref="B20:D20"/>
    <mergeCell ref="A26:D28"/>
    <mergeCell ref="A30:D32"/>
    <mergeCell ref="A34:D36"/>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16"/>
  <sheetViews>
    <sheetView workbookViewId="0"/>
  </sheetViews>
  <sheetFormatPr defaultRowHeight="15"/>
  <cols>
    <col min="1" max="1" width="18.7109375" customWidth="1"/>
    <col min="2" max="7" width="14.7109375" customWidth="1"/>
  </cols>
  <sheetData>
    <row r="1" spans="1:6">
      <c r="A1" s="1" t="s">
        <v>73</v>
      </c>
    </row>
    <row r="2" spans="1:6">
      <c r="A2" s="2" t="s">
        <v>74</v>
      </c>
    </row>
    <row r="4" spans="1:6">
      <c r="A4" s="7" t="s">
        <v>75</v>
      </c>
      <c r="B4" s="14">
        <v>0.02</v>
      </c>
      <c r="C4" s="14">
        <v>0.025</v>
      </c>
      <c r="D4" s="14">
        <v>0.03</v>
      </c>
      <c r="E4" s="14">
        <v>0.035</v>
      </c>
      <c r="F4" s="14">
        <v>0.04</v>
      </c>
    </row>
    <row r="5" spans="1:6">
      <c r="A5" s="14">
        <v>0.09</v>
      </c>
      <c r="B5" s="10">
        <v>299.32</v>
      </c>
      <c r="C5" s="10">
        <v>321.94</v>
      </c>
      <c r="D5" s="10">
        <v>349.31</v>
      </c>
      <c r="E5" s="10">
        <v>383.17</v>
      </c>
      <c r="F5" s="10">
        <v>425.34</v>
      </c>
    </row>
    <row r="6" spans="1:6">
      <c r="A6" s="14">
        <v>0.1</v>
      </c>
      <c r="B6" s="10">
        <v>264.05</v>
      </c>
      <c r="C6" s="10">
        <v>281.15</v>
      </c>
      <c r="D6" s="10">
        <v>301.7</v>
      </c>
      <c r="E6" s="10">
        <v>326.36</v>
      </c>
      <c r="F6" s="10">
        <v>356.97</v>
      </c>
    </row>
    <row r="7" spans="1:6">
      <c r="A7" s="14">
        <v>0.11</v>
      </c>
      <c r="B7" s="10">
        <v>235.64</v>
      </c>
      <c r="C7" s="10">
        <v>249.44</v>
      </c>
      <c r="D7" s="10">
        <v>265.44</v>
      </c>
      <c r="E7" s="10">
        <v>284.51</v>
      </c>
      <c r="F7" s="10">
        <v>307.13</v>
      </c>
    </row>
    <row r="8" spans="1:6">
      <c r="A8" s="14">
        <v>0.12</v>
      </c>
      <c r="B8" s="10">
        <v>212.6</v>
      </c>
      <c r="C8" s="10">
        <v>223.65</v>
      </c>
      <c r="D8" s="10">
        <v>236.24</v>
      </c>
      <c r="E8" s="10">
        <v>250.76</v>
      </c>
      <c r="F8" s="10">
        <v>267.59</v>
      </c>
    </row>
    <row r="9" spans="1:6">
      <c r="A9" s="14">
        <v>0.13</v>
      </c>
      <c r="B9" s="10">
        <v>193.65</v>
      </c>
      <c r="C9" s="10">
        <v>202.66</v>
      </c>
      <c r="D9" s="10">
        <v>212.61</v>
      </c>
      <c r="E9" s="10">
        <v>223.71</v>
      </c>
      <c r="F9" s="10">
        <v>236.21</v>
      </c>
    </row>
    <row r="11" spans="1:6">
      <c r="A11" s="8" t="s">
        <v>76</v>
      </c>
    </row>
    <row r="12" spans="1:6">
      <c r="A12" t="s">
        <v>77</v>
      </c>
    </row>
    <row r="13" spans="1:6">
      <c r="A13" t="s">
        <v>78</v>
      </c>
    </row>
    <row r="14" spans="1:6">
      <c r="A14" t="s">
        <v>79</v>
      </c>
    </row>
    <row r="15" spans="1:6">
      <c r="A15" t="s">
        <v>80</v>
      </c>
    </row>
    <row r="16" spans="1:6">
      <c r="A16" t="s">
        <v>81</v>
      </c>
    </row>
  </sheetData>
  <conditionalFormatting sqref="B5:F9">
    <cfRule type="colorScale" priority="1">
      <colorScale>
        <cfvo type="min" val="0"/>
        <cfvo type="percentile" val="50"/>
        <cfvo type="max" val="0"/>
        <color rgb="FFF8D7DA"/>
        <color rgb="FFFFF3CD"/>
        <color rgb="FFD4EDDA"/>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26"/>
  <sheetViews>
    <sheetView workbookViewId="0"/>
  </sheetViews>
  <sheetFormatPr defaultRowHeight="15"/>
  <cols>
    <col min="1" max="1" width="25.7109375" customWidth="1"/>
    <col min="2" max="3" width="15.7109375" customWidth="1"/>
  </cols>
  <sheetData>
    <row r="1" spans="1:3">
      <c r="A1" s="1" t="s">
        <v>82</v>
      </c>
    </row>
    <row r="2" spans="1:3">
      <c r="A2" s="2" t="s">
        <v>83</v>
      </c>
    </row>
    <row r="4" spans="1:3">
      <c r="A4" s="7" t="s">
        <v>51</v>
      </c>
      <c r="B4" s="7" t="s">
        <v>84</v>
      </c>
      <c r="C4" s="7" t="s">
        <v>85</v>
      </c>
    </row>
    <row r="5" spans="1:3">
      <c r="A5" t="s">
        <v>86</v>
      </c>
      <c r="B5" s="12">
        <v>0.062</v>
      </c>
      <c r="C5" s="12">
        <v>0.116</v>
      </c>
    </row>
    <row r="6" spans="1:3">
      <c r="A6" t="s">
        <v>87</v>
      </c>
      <c r="B6" s="12">
        <v>0.197</v>
      </c>
      <c r="C6" s="12">
        <v>0.225</v>
      </c>
    </row>
    <row r="7" spans="1:3">
      <c r="A7" t="s">
        <v>88</v>
      </c>
      <c r="B7" s="12">
        <v>0.025</v>
      </c>
      <c r="C7" s="12">
        <v>0.063</v>
      </c>
    </row>
    <row r="8" spans="1:3">
      <c r="A8" t="s">
        <v>89</v>
      </c>
      <c r="B8" s="12">
        <v>0.116</v>
      </c>
      <c r="C8" s="12">
        <v>0.232</v>
      </c>
    </row>
    <row r="10" spans="1:3">
      <c r="A10" s="8" t="s">
        <v>90</v>
      </c>
      <c r="B10" s="12">
        <v>0.062</v>
      </c>
    </row>
    <row r="11" spans="1:3">
      <c r="A11" t="s">
        <v>91</v>
      </c>
      <c r="B11" t="s">
        <v>92</v>
      </c>
    </row>
    <row r="13" spans="1:3">
      <c r="A13" s="8" t="s">
        <v>93</v>
      </c>
    </row>
    <row r="14" spans="1:3">
      <c r="A14" s="13" t="s">
        <v>94</v>
      </c>
      <c r="B14" s="13"/>
      <c r="C14" s="13"/>
    </row>
    <row r="15" spans="1:3">
      <c r="A15" s="13"/>
      <c r="B15" s="13"/>
      <c r="C15" s="13"/>
    </row>
    <row r="16" spans="1:3">
      <c r="A16" s="13"/>
      <c r="B16" s="13"/>
      <c r="C16" s="13"/>
    </row>
    <row r="18" spans="1:3">
      <c r="A18" s="3" t="s">
        <v>95</v>
      </c>
      <c r="B18" s="3"/>
      <c r="C18" s="3"/>
    </row>
    <row r="19" spans="1:3">
      <c r="A19" t="s">
        <v>96</v>
      </c>
      <c r="B19" s="5">
        <v>105377.6</v>
      </c>
    </row>
    <row r="20" spans="1:3">
      <c r="A20" t="s">
        <v>97</v>
      </c>
      <c r="B20" s="5">
        <v>45095.1</v>
      </c>
    </row>
    <row r="21" spans="1:3">
      <c r="A21" t="s">
        <v>98</v>
      </c>
      <c r="B21" s="5">
        <v>29697.6</v>
      </c>
    </row>
    <row r="22" spans="1:3">
      <c r="A22" t="s">
        <v>99</v>
      </c>
      <c r="B22" s="10">
        <v>33.23</v>
      </c>
    </row>
    <row r="23" spans="1:3">
      <c r="A23" t="s">
        <v>100</v>
      </c>
      <c r="B23" s="12">
        <v>0.82</v>
      </c>
    </row>
    <row r="24" spans="1:3">
      <c r="A24" t="s">
        <v>101</v>
      </c>
      <c r="B24" s="12">
        <v>0.7</v>
      </c>
    </row>
    <row r="25" spans="1:3">
      <c r="A25" t="s">
        <v>102</v>
      </c>
      <c r="B25" s="5">
        <v>39150.3</v>
      </c>
    </row>
    <row r="26" spans="1:3">
      <c r="A26" t="s">
        <v>5</v>
      </c>
      <c r="B26" s="5">
        <v>3200</v>
      </c>
    </row>
  </sheetData>
  <mergeCells count="2">
    <mergeCell ref="A14:C16"/>
    <mergeCell ref="B18:C18"/>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34"/>
  <sheetViews>
    <sheetView workbookViewId="0"/>
  </sheetViews>
  <sheetFormatPr defaultRowHeight="15"/>
  <cols>
    <col min="1" max="2" width="35.7109375" customWidth="1"/>
  </cols>
  <sheetData>
    <row r="1" spans="1:2">
      <c r="A1" s="1" t="s">
        <v>103</v>
      </c>
    </row>
    <row r="2" spans="1:2">
      <c r="A2" s="2" t="s">
        <v>104</v>
      </c>
    </row>
    <row r="4" spans="1:2">
      <c r="A4" s="3" t="s">
        <v>105</v>
      </c>
    </row>
    <row r="5" spans="1:2">
      <c r="A5" t="s">
        <v>35</v>
      </c>
      <c r="B5" s="10">
        <v>129.8</v>
      </c>
    </row>
    <row r="6" spans="1:2">
      <c r="A6" t="s">
        <v>106</v>
      </c>
      <c r="B6" s="9">
        <v>228.63</v>
      </c>
    </row>
    <row r="7" spans="1:2">
      <c r="A7" t="s">
        <v>107</v>
      </c>
      <c r="B7" s="11">
        <v>0.7609999999999999</v>
      </c>
    </row>
    <row r="8" spans="1:2">
      <c r="A8" t="s">
        <v>108</v>
      </c>
      <c r="B8" s="9">
        <v>228.88</v>
      </c>
    </row>
    <row r="10" spans="1:2">
      <c r="A10" t="s">
        <v>41</v>
      </c>
      <c r="B10" s="10">
        <v>125.44</v>
      </c>
    </row>
    <row r="12" spans="1:2">
      <c r="A12" s="3" t="s">
        <v>109</v>
      </c>
    </row>
    <row r="13" spans="1:2">
      <c r="A13" s="15" t="s">
        <v>110</v>
      </c>
      <c r="B13" s="15"/>
    </row>
    <row r="14" spans="1:2">
      <c r="A14" s="15" t="s">
        <v>111</v>
      </c>
      <c r="B14" s="15"/>
    </row>
    <row r="15" spans="1:2">
      <c r="A15" s="15" t="s">
        <v>112</v>
      </c>
      <c r="B15" s="15"/>
    </row>
    <row r="16" spans="1:2">
      <c r="A16" s="15" t="s">
        <v>113</v>
      </c>
      <c r="B16" s="15"/>
    </row>
    <row r="17" spans="1:2">
      <c r="A17" s="15" t="s">
        <v>114</v>
      </c>
      <c r="B17" s="15"/>
    </row>
    <row r="18" spans="1:2">
      <c r="A18" s="15" t="s">
        <v>115</v>
      </c>
      <c r="B18" s="15"/>
    </row>
    <row r="20" spans="1:2">
      <c r="A20" s="3" t="s">
        <v>116</v>
      </c>
    </row>
    <row r="21" spans="1:2">
      <c r="A21" s="15" t="s">
        <v>117</v>
      </c>
      <c r="B21" s="15"/>
    </row>
    <row r="22" spans="1:2">
      <c r="A22" s="15" t="s">
        <v>118</v>
      </c>
      <c r="B22" s="15"/>
    </row>
    <row r="23" spans="1:2">
      <c r="A23" s="15" t="s">
        <v>119</v>
      </c>
      <c r="B23" s="15"/>
    </row>
    <row r="24" spans="1:2">
      <c r="A24" s="15" t="s">
        <v>120</v>
      </c>
      <c r="B24" s="15"/>
    </row>
    <row r="25" spans="1:2">
      <c r="A25" s="15" t="s">
        <v>121</v>
      </c>
      <c r="B25" s="15"/>
    </row>
    <row r="26" spans="1:2">
      <c r="A26" s="15" t="s">
        <v>122</v>
      </c>
      <c r="B26" s="15"/>
    </row>
    <row r="29" spans="1:2">
      <c r="A29" s="3" t="s">
        <v>123</v>
      </c>
    </row>
    <row r="30" spans="1:2">
      <c r="A30" s="13" t="s">
        <v>124</v>
      </c>
      <c r="B30" s="13"/>
    </row>
    <row r="31" spans="1:2">
      <c r="A31" s="13"/>
      <c r="B31" s="13"/>
    </row>
    <row r="32" spans="1:2">
      <c r="A32" s="13"/>
      <c r="B32" s="13"/>
    </row>
    <row r="33" spans="1:2">
      <c r="A33" s="13"/>
      <c r="B33" s="13"/>
    </row>
    <row r="34" spans="1:2">
      <c r="A34" s="13"/>
      <c r="B34" s="13"/>
    </row>
  </sheetData>
  <mergeCells count="13">
    <mergeCell ref="A13:B13"/>
    <mergeCell ref="A14:B14"/>
    <mergeCell ref="A15:B15"/>
    <mergeCell ref="A16:B16"/>
    <mergeCell ref="A17:B17"/>
    <mergeCell ref="A18:B18"/>
    <mergeCell ref="A21:B21"/>
    <mergeCell ref="A22:B22"/>
    <mergeCell ref="A23:B23"/>
    <mergeCell ref="A24:B24"/>
    <mergeCell ref="A25:B25"/>
    <mergeCell ref="A26:B26"/>
    <mergeCell ref="A30:B3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DCF Model</vt:lpstr>
      <vt:lpstr>Scenario Analysis</vt:lpstr>
      <vt:lpstr>Sensitivity</vt:lpstr>
      <vt:lpstr>Historical</vt:lpstr>
      <vt:lpstr>Investment Summary</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2026-01-29T07:24:16Z</dcterms:created>
  <dcterms:modified xsi:type="dcterms:W3CDTF">2026-01-29T07:24:16Z</dcterms:modified>
</cp:coreProperties>
</file>