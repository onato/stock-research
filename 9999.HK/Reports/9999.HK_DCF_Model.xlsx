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CF Model" sheetId="1" r:id="rId1"/>
    <sheet name="Sensitivity" sheetId="2" r:id="rId2"/>
    <sheet name="Historical Data" sheetId="3" r:id="rId3"/>
    <sheet name="Notes &amp; Philosophy" sheetId="4" r:id="rId4"/>
  </sheets>
  <calcPr calcId="124519" fullCalcOnLoad="1"/>
</workbook>
</file>

<file path=xl/sharedStrings.xml><?xml version="1.0" encoding="utf-8"?>
<sst xmlns="http://schemas.openxmlformats.org/spreadsheetml/2006/main" count="146" uniqueCount="132">
  <si>
    <t>NetEase Inc. (9999.HK / NTES) — DCF Valuation Model</t>
  </si>
  <si>
    <t>Valuation date: 2026-06-25 | Model in RMB millions | Gray cells = inputs (adjust freely)</t>
  </si>
  <si>
    <t>KEY INPUTS</t>
  </si>
  <si>
    <t>Current HK Share Price (HKD)</t>
  </si>
  <si>
    <t>Current ADS Price (USD)</t>
  </si>
  <si>
    <t>Ordinary Shares Outstanding (millions)</t>
  </si>
  <si>
    <t>ADS Outstanding (millions, 1 ADS = 5 ord)</t>
  </si>
  <si>
    <t>Total Debt (RMB millions)</t>
  </si>
  <si>
    <t>Cash &amp; Cash Equivalents (RMB millions)</t>
  </si>
  <si>
    <t>Net Debt (RMB millions, negative = net cash)</t>
  </si>
  <si>
    <t>Base Year FCF (RMB millions, FY2025 actual)</t>
  </si>
  <si>
    <t>RMB:HKD Exchange Rate</t>
  </si>
  <si>
    <t>RMB:USD Exchange Rate (RMB per USD)</t>
  </si>
  <si>
    <t>BASE CASE WACC</t>
  </si>
  <si>
    <t>BASE CASE Terminal Growth Rate</t>
  </si>
  <si>
    <t>GROWTH RATE ASSUMPTIONS (% per year)</t>
  </si>
  <si>
    <t>Year 1</t>
  </si>
  <si>
    <t>Year 2</t>
  </si>
  <si>
    <t>Year 3</t>
  </si>
  <si>
    <t>Year 4</t>
  </si>
  <si>
    <t>Year 5</t>
  </si>
  <si>
    <t>Base Case FCF Growth Rates</t>
  </si>
  <si>
    <t>Bull Case FCF Growth Rates</t>
  </si>
  <si>
    <t>Bear Case FCF Growth Rates</t>
  </si>
  <si>
    <t>Bull WACC</t>
  </si>
  <si>
    <t>Bull Terminal Growth Rate</t>
  </si>
  <si>
    <t>Bear WACC</t>
  </si>
  <si>
    <t>Bear Terminal Growth Rate</t>
  </si>
  <si>
    <t>BASE CASE PROJECTIONS (RMB millions)</t>
  </si>
  <si>
    <t>Free Cash Flow (Base)</t>
  </si>
  <si>
    <t>Discount Factor (Base WACC)</t>
  </si>
  <si>
    <t>PV of FCF (Base)</t>
  </si>
  <si>
    <t>BASE CASE VALUATION</t>
  </si>
  <si>
    <t>Sum of PV of FCF</t>
  </si>
  <si>
    <t>Terminal FCF (Y5 × (1 + Terminal Growth))</t>
  </si>
  <si>
    <t>Terminal Value (Gordon Growth)</t>
  </si>
  <si>
    <t>PV of Terminal Value</t>
  </si>
  <si>
    <t>Enterprise Value</t>
  </si>
  <si>
    <t>Less: Net Debt (add back net cash)</t>
  </si>
  <si>
    <t>Equity Value (RMB millions)</t>
  </si>
  <si>
    <t>INTRINSIC VALUE per ordinary share (RMB)</t>
  </si>
  <si>
    <t>INTRINSIC VALUE per ordinary share (HKD)</t>
  </si>
  <si>
    <t>Upside / (Downside) to IV (HKD)</t>
  </si>
  <si>
    <t>INTRINSIC VALUE per ADS (USD)</t>
  </si>
  <si>
    <t>Upside / (Downside) to IV (NTES ADS)</t>
  </si>
  <si>
    <t>ENTRY PRICE — BASE CASE (15% CAGR Target)</t>
  </si>
  <si>
    <t>Terminal Value per Ordinary Share (RMB)</t>
  </si>
  <si>
    <t>Entry Price — HKD (15% CAGR to TV)</t>
  </si>
  <si>
    <t>Entry Price — USD/ADS (15% CAGR to TV)</t>
  </si>
  <si>
    <t>Premium / (Discount) to Entry Price (HKD)</t>
  </si>
  <si>
    <t>SCENARIO SUMMARY</t>
  </si>
  <si>
    <t>Bull</t>
  </si>
  <si>
    <t>Base</t>
  </si>
  <si>
    <t>Bear</t>
  </si>
  <si>
    <t>FCF Y5 (RMB millions)</t>
  </si>
  <si>
    <t>Terminal Value (RMB millions)</t>
  </si>
  <si>
    <t>PV Terminal Value (RMB millions)</t>
  </si>
  <si>
    <t>Enterprise Value (RMB millions)</t>
  </si>
  <si>
    <t>IV per Ord Share — HKD</t>
  </si>
  <si>
    <t>IV per ADS — USD</t>
  </si>
  <si>
    <t>Upside / (Downside) to IV (HKD %)</t>
  </si>
  <si>
    <t>Probability Weight</t>
  </si>
  <si>
    <t>PROBABILITY-WEIGHTED IV — HKD</t>
  </si>
  <si>
    <t>Upside to Prob-Weighted IV (from current HKD)</t>
  </si>
  <si>
    <t>NOTES</t>
  </si>
  <si>
    <t>Current price in HKD (9999.HK). Net debt = TotalDebt (10,955.5) - Cash (50,815.2) = -39,859.7 RMBm (net cash), from Q1 2026 balance sheet (Mar 31 2026). Cash figure uses narrow cash and cash equivalents per Q1 2026 CSV row; the prior model used a similar net cash basis from FY2024 balance sheet. last_fcf is FY2025 actual FCF = 48,687.3 RMBm. Shares outstanding represents 3,200M ordinary shares; DO NOT use CSV SharesOutstanding column as it erroneously mirrors GameRevenue. ADS share count = 640M (3,200M / 5). RMB:HKD rate ~1.08; RMB:USD rate ~1/7.20 = 0.1389 (June 2025).</t>
  </si>
  <si>
    <t>Sanity check: PASS — All current-price multiples within reasonable bounds for a profitable, net-cash Chinese gaming company growing FC...</t>
  </si>
  <si>
    <t>Sanity check: PASS — All current-price multiples within reasonable bounds for a profitable, net-cash Chinese gaming company growing FCF at ~7% annually. P/E of 15.9x and EV/FCF of 10.2x are undemanding given: (1) 43.2% FCF margin; (2) RMB 39.9B net cash = 8.3% of market cap; (3) active $5B buyback program; (4) growing international revenue from Marvel Rivals and Where Winds Meet. Base-case IV implies 22.8x P/E and 15.8x P/FCF, which are reasonable for the projected growth trajectory. No assumptions were auto-corrected.</t>
  </si>
  <si>
    <t>Sensitivity Analysis — Intrinsic Value per Ordinary Share (HKD)</t>
  </si>
  <si>
    <t>Base case FCF growth rates [8.5%, 7.5%, 6.5%, 5.5%, 4.5%] | FCF margin 43%</t>
  </si>
  <si>
    <t>Rows = WACC | Columns = Terminal Growth Rate</t>
  </si>
  <si>
    <t>Current HKD price: 180.9 | Base IV: 259.49</t>
  </si>
  <si>
    <t>WACC \ Term-G</t>
  </si>
  <si>
    <t>Intrinsic Value per Ordinary Share (RMB)</t>
  </si>
  <si>
    <t>Intrinsic Value per ADS (USD) — divide HKD per ord share by 1.08 x 5 / 7.20</t>
  </si>
  <si>
    <t>Sensitivity matrix uses base case growth rate assumptions [8.5, 7.5, 6.5, 5.5, 4.5]% with FCF margin 43%. Rows = WACC (9%-13%), Columns = terminal growth (2.0%-4.0%). Current HKD price of 180.90 falls below all matrix values, confirming undervaluation across most WACC/terminal growth combinations. Only at WACC 13%+ with terminal growth 2% does the intrinsic value approach current price.</t>
  </si>
  <si>
    <t>NetEase — Historical Growth Rates &amp; Valuation Context</t>
  </si>
  <si>
    <t>Metric</t>
  </si>
  <si>
    <t>3-Year CAGR (2022-2025)</t>
  </si>
  <si>
    <t>5-Year CAGR (2020-2025)</t>
  </si>
  <si>
    <t>Revenue</t>
  </si>
  <si>
    <t>EPS</t>
  </si>
  <si>
    <t>FCF</t>
  </si>
  <si>
    <t>Shareholders Equity</t>
  </si>
  <si>
    <t>Selected Growth Rate:</t>
  </si>
  <si>
    <t>Source:</t>
  </si>
  <si>
    <t>fcf_3yr_cagr</t>
  </si>
  <si>
    <t>Note:</t>
  </si>
  <si>
    <t>EPS 5yr CAGR (21.1%) is significantly higher than FCF 5yr CAGR (15.1%) and revenue 5yr CAGR (8.9%) due to the FY2020 EPS anomaly (RMB 2.80 EPS from one-off charges). EPS 3yr CAGR (16.4%) is 12.2pp above revenue 3yr CAGR (4.2%), reflecting margin expansion rather than a divergence warning — operating leverage is genuine given gaming gross margins expanding from ~54% (FY2022) to ~64% (FY2025). FCF 3yr CAGR (7.4%) selected as the most representative sustainable cash generation rate, positioned between revenue growth (4.2%) and EPS growth (16.4%). No divergence warning triggered as FCF-to-revenue difference is 3.2pp (well below 30pp threshold).</t>
  </si>
  <si>
    <t>CURRENT PRICE VALUATION MULTIPLES</t>
  </si>
  <si>
    <t>At HKD 180.9</t>
  </si>
  <si>
    <t>Reasonable Range</t>
  </si>
  <si>
    <t>P/E (GAAP TTM)</t>
  </si>
  <si>
    <t>15.9x</t>
  </si>
  <si>
    <t>12-22x</t>
  </si>
  <si>
    <t>P/FCF (TTM)</t>
  </si>
  <si>
    <t>11.0x</t>
  </si>
  <si>
    <t>10-20x</t>
  </si>
  <si>
    <t>EV/FCF</t>
  </si>
  <si>
    <t>10.2x</t>
  </si>
  <si>
    <t>8-15x</t>
  </si>
  <si>
    <t>EV/EBITDA</t>
  </si>
  <si>
    <t>13.0x</t>
  </si>
  <si>
    <t>10-18x</t>
  </si>
  <si>
    <t>FCF Yield (%)</t>
  </si>
  <si>
    <t>5-12%</t>
  </si>
  <si>
    <t>Sanity Check Result:</t>
  </si>
  <si>
    <t>PASS — All current-price multiples within reasonable bounds for a profitable, net-cash Chinese gaming company growing FCF at ~7% annually. P/E of 15.9x and EV/FCF of 10.2x are undemanding given: (1) 43.2% FCF margin; (2) RMB 39.9B net cash = 8.3% of market cap; (3) active $5B buyback program; (4) growing international revenue from Marvel Rivals and Where Winds Meet. Base-case IV implies 22.8x P/E and 15.8x P/FCF, which are reasonable for the projected growth trajectory. No assumptions were auto-corrected.</t>
  </si>
  <si>
    <t>FY FINANCIAL DATA REFERENCE (RMB millions)</t>
  </si>
  <si>
    <t>Fiscal Year</t>
  </si>
  <si>
    <t>Net Income</t>
  </si>
  <si>
    <t>Equity</t>
  </si>
  <si>
    <t>2019</t>
  </si>
  <si>
    <t>2020</t>
  </si>
  <si>
    <t>2021</t>
  </si>
  <si>
    <t>2022</t>
  </si>
  <si>
    <t>2023</t>
  </si>
  <si>
    <t>2024</t>
  </si>
  <si>
    <t>2025</t>
  </si>
  <si>
    <t>NetEase DCF — Valuation Philosophy &amp; Model Notes</t>
  </si>
  <si>
    <t>VALUATION PHILOSOPHY</t>
  </si>
  <si>
    <t>Intrinsic value estimated via a 5-year discounted cash flow model using free cash flow as the primary metric, consistent with NetEase's asset-light, high-FCF-conversion gaming business model (FY2025 FCF margin: 43.2%). Terminal value calculated using the Gordon Growth Model (perpetuity growth formula). WACC incorporates a China-specific regulatory and geopolitical risk premium of ~2-3pp above a US-equivalent discount rate. The net cash position (RMB 39.9B at March 31, 2026) is added back to enterprise value rather than treated as an earnings contributor, providing a conservative floor. Shares outstanding are 3,200M ordinary shares (640M ADS); the CSV SharesOutstanding column is not used as it erroneously mirrors GameRevenue data. All cash flows are modeled in RMB millions and converted to HKD (x1.08) and USD (x1/7.20) for reference.</t>
  </si>
  <si>
    <t>SANITY CHECK</t>
  </si>
  <si>
    <t>Sanity check compared current-price implied multiples against NetEase's own trading history (17-28x P/E range, 2021-2024) and comparable companies (Tencent 24-26x P/E, gaming sector 15-25x EV/EBITDA). Current multiples of 15.9x P/E and 13.0x EV/EBITDA represent the lower end of the historical range, consistent with the stock trading below its prior intrinsic value estimate of HKD 228.63 (January 2026 model). The stock has declined approximately 12.4% from the prior model's current price (HKD 206.60 to 180.90) without a corresponding deterioration in fundamentals — FY2025 FCF of 48,687 was above the prior model's 45,095 base.</t>
  </si>
  <si>
    <t>BASE CASE RATIONALE</t>
  </si>
  <si>
    <t>Base case assumes moderate revenue acceleration from FY2025 levels driven by Marvel Rivals live-service maturation (40M+ players, 2026 Avengers content roadmap), Where Winds Meet console expansion (Xbox/Game Pass launch June 2026, 80M+ cumulative players), Blizzard partnership record revenue, and Destiny: Rising global traction. FCF margin held at 43% (consistent with FY2025 actuals of 43.2%), as operating leverage on higher gaming gross margins (69.4% total company, 74.8% gaming in Q1 2026) is offset by continued R&amp;D investment (~15.7% of revenue). WACC 11% reflects Chinese tech risk premium for regulatory and geopolitical risks. Growth decelerates toward 4.5% in Year 5 as gaming market matures and non-gaming segments continue declining. Revenue growth from 8.5% (Y1) reflects slightly above current 6.1% Q1 2026 pace due to upcoming title releases and international expansion.</t>
  </si>
  <si>
    <t>BULL CASE RATIONALE</t>
  </si>
  <si>
    <t>Bull case: Marvel Rivals achieves $1.5B+ annual revenue and sustains 40M+ players through 2026 Avengers film seasonal campaign, Nintendo Switch 2 version in development. Where Winds Meet Xbox/Game Pass launch drives Western user growth with strong conversion to in-game purchase. AI-powered cost efficiencies push gaming gross margins above 76% and total FCF margin to 45%. Favorable NPPA environment (2,300+ licenses forecast in 2026) enables rapid new title monetization. International revenue reaches 35%+ of gaming mix by FY2028. Blizzard titles sustain record revenue. WACC reduced to 10% reflecting de-risked execution, persistent HKEX dual-listing discount compression, and continued $5B buyback program.</t>
  </si>
  <si>
    <t>BEAR CASE RATIONALE</t>
  </si>
  <si>
    <t>Bear case: Chinese regulatory crackdown resumes (repeat of Dec 2023 draft-rule crash). Marvel Rivals player retention deteriorates under competition from Overwatch 2 and Valorant. International studio closures continue with pipeline gaps. Non-gaming segments (Cloud Music, Innovative Businesses) continue structural decline. Macro consumer weakness compresses in-game spending. Marketing spend spikes (Q4 2025 pattern) erode FCF margins to 38%. Q4 2025 sequential earnings decline (Non-GAAP NI: RMB 7.1B vs Q3's RMB 9.5B) seen as harbinger. US-China geopolitical escalation risks ADR delisting and institutional investor outflows. WACC elevated to 13% for regulatory tail risk and geopolitical premium.</t>
  </si>
  <si>
    <t>INVESTMENT RECOMMENDATION</t>
  </si>
  <si>
    <t>NetEase appears materially undervalued at HKD 180.90 (USD 117.64 ADS). Base case intrinsic value of HKD 259.49 (USD 166.85/ADS) implies 43.4% upside for HK shares and 41.8% for NTES ADR. Probability-weighted IV of HKD 257.91 confirms material undervaluation. The stock has declined ~12.4% since the prior January 2026 model (HKD 206.60) despite FY2025 FCF of RMB 48.7B exceeding the prior model's starting FCF of RMB 45.1B. Current multiples of 15.9x P/E and 10.2x EV/FCF represent the low end of NetEase's historical range and are undemanding for a business generating 43%+ FCF margins with a growing net cash position. Entry price for 15% CAGR to terminal value is HKD 144.05, so current price of HKD 180.90 does not offer a 15%-CAGR entry point in the base case — but given the 43.4% upside and fortress balance sheet, current prices appear to offer attractive risk-adjusted returns for a 3-5 year holding period. Bear case downside is limited (~10%) given the RMB 39.9B net cash floor.</t>
  </si>
</sst>
</file>

<file path=xl/styles.xml><?xml version="1.0" encoding="utf-8"?>
<styleSheet xmlns="http://schemas.openxmlformats.org/spreadsheetml/2006/main">
  <numFmts count="5">
    <numFmt numFmtId="164" formatCode="&quot;HK$&quot;#,##0.00"/>
    <numFmt numFmtId="165" formatCode="&quot;$&quot;#,##0.00"/>
    <numFmt numFmtId="166" formatCode="#,##0.0"/>
    <numFmt numFmtId="167" formatCode="0.0%"/>
    <numFmt numFmtId="168" formatCode="&quot;¥&quot;#,##0.00"/>
  </numFmts>
  <fonts count="8">
    <font>
      <sz val="11"/>
      <color theme="1"/>
      <name val="Calibri"/>
      <family val="2"/>
      <scheme val="minor"/>
    </font>
    <font>
      <b/>
      <sz val="16"/>
      <color rgb="FF2D3436"/>
      <name val="Calibri"/>
      <family val="2"/>
      <scheme val="minor"/>
    </font>
    <font>
      <i/>
      <sz val="10"/>
      <color rgb="FF636E72"/>
      <name val="Calibri"/>
      <family val="2"/>
      <scheme val="minor"/>
    </font>
    <font>
      <b/>
      <sz val="11"/>
      <color rgb="FF2D3436"/>
      <name val="Calibri"/>
      <family val="2"/>
      <scheme val="minor"/>
    </font>
    <font>
      <b/>
      <sz val="11"/>
      <color rgb="FFFFFFFF"/>
      <name val="Calibri"/>
      <family val="2"/>
      <scheme val="minor"/>
    </font>
    <font>
      <b/>
      <sz val="11"/>
      <color theme="1"/>
      <name val="Calibri"/>
      <family val="2"/>
      <scheme val="minor"/>
    </font>
    <font>
      <i/>
      <sz val="9"/>
      <color rgb="FF636E72"/>
      <name val="Calibri"/>
      <family val="2"/>
      <scheme val="minor"/>
    </font>
    <font>
      <sz val="11"/>
      <color rgb="FFFFFFFF"/>
      <name val="Calibri"/>
      <family val="2"/>
      <scheme val="minor"/>
    </font>
  </fonts>
  <fills count="11">
    <fill>
      <patternFill patternType="none"/>
    </fill>
    <fill>
      <patternFill patternType="gray125"/>
    </fill>
    <fill>
      <patternFill patternType="solid">
        <fgColor rgb="FFDFE6E9"/>
        <bgColor indexed="64"/>
      </patternFill>
    </fill>
    <fill>
      <patternFill patternType="solid">
        <fgColor rgb="FF2D3436"/>
        <bgColor indexed="64"/>
      </patternFill>
    </fill>
    <fill>
      <patternFill patternType="solid">
        <fgColor rgb="FF00B894"/>
        <bgColor indexed="64"/>
      </patternFill>
    </fill>
    <fill>
      <patternFill patternType="solid">
        <fgColor rgb="FF0984E3"/>
        <bgColor indexed="64"/>
      </patternFill>
    </fill>
    <fill>
      <patternFill patternType="solid">
        <fgColor rgb="FFD63031"/>
        <bgColor indexed="64"/>
      </patternFill>
    </fill>
    <fill>
      <patternFill patternType="solid">
        <fgColor rgb="FFD5F5E3"/>
        <bgColor indexed="64"/>
      </patternFill>
    </fill>
    <fill>
      <patternFill patternType="solid">
        <fgColor rgb="FFD6EAF8"/>
        <bgColor indexed="64"/>
      </patternFill>
    </fill>
    <fill>
      <patternFill patternType="solid">
        <fgColor rgb="FFFADBD8"/>
        <bgColor indexed="64"/>
      </patternFill>
    </fill>
    <fill>
      <patternFill patternType="solid">
        <fgColor rgb="FF55EFC4"/>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3" fillId="0" borderId="1" xfId="0" applyFont="1" applyBorder="1"/>
    <xf numFmtId="164" fontId="0" fillId="2" borderId="2" xfId="0" applyNumberFormat="1" applyFill="1" applyBorder="1"/>
    <xf numFmtId="165" fontId="0" fillId="2" borderId="2" xfId="0" applyNumberFormat="1" applyFill="1" applyBorder="1"/>
    <xf numFmtId="166" fontId="0" fillId="2" borderId="2" xfId="0" applyNumberFormat="1" applyFill="1" applyBorder="1"/>
    <xf numFmtId="166" fontId="0" fillId="0" borderId="2" xfId="0" applyNumberFormat="1" applyBorder="1"/>
    <xf numFmtId="167" fontId="0" fillId="2" borderId="2" xfId="0" applyNumberFormat="1" applyFill="1" applyBorder="1"/>
    <xf numFmtId="0" fontId="4" fillId="3" borderId="2" xfId="0" applyFont="1" applyFill="1" applyBorder="1" applyAlignment="1">
      <alignment horizontal="center"/>
    </xf>
    <xf numFmtId="0" fontId="5" fillId="0" borderId="0" xfId="0" applyFont="1"/>
    <xf numFmtId="168" fontId="4" fillId="4" borderId="2" xfId="0" applyNumberFormat="1" applyFont="1" applyFill="1" applyBorder="1"/>
    <xf numFmtId="164" fontId="4" fillId="4" borderId="2" xfId="0" applyNumberFormat="1" applyFont="1" applyFill="1" applyBorder="1"/>
    <xf numFmtId="167" fontId="4" fillId="4" borderId="2" xfId="0" applyNumberFormat="1" applyFont="1" applyFill="1" applyBorder="1"/>
    <xf numFmtId="165" fontId="4" fillId="4" borderId="2" xfId="0" applyNumberFormat="1" applyFont="1" applyFill="1" applyBorder="1"/>
    <xf numFmtId="168" fontId="0" fillId="0" borderId="2" xfId="0" applyNumberFormat="1" applyBorder="1"/>
    <xf numFmtId="167" fontId="0" fillId="0" borderId="2" xfId="0" applyNumberFormat="1" applyBorder="1"/>
    <xf numFmtId="0" fontId="4" fillId="4" borderId="2" xfId="0" applyFont="1" applyFill="1" applyBorder="1" applyAlignment="1">
      <alignment horizontal="center"/>
    </xf>
    <xf numFmtId="0" fontId="4" fillId="5" borderId="2" xfId="0" applyFont="1" applyFill="1" applyBorder="1" applyAlignment="1">
      <alignment horizontal="center"/>
    </xf>
    <xf numFmtId="0" fontId="4" fillId="6" borderId="2" xfId="0" applyFont="1" applyFill="1" applyBorder="1" applyAlignment="1">
      <alignment horizontal="center"/>
    </xf>
    <xf numFmtId="166" fontId="0" fillId="7" borderId="2" xfId="0" applyNumberFormat="1" applyFill="1" applyBorder="1"/>
    <xf numFmtId="166" fontId="0" fillId="8" borderId="2" xfId="0" applyNumberFormat="1" applyFill="1" applyBorder="1"/>
    <xf numFmtId="166" fontId="0" fillId="9" borderId="2" xfId="0" applyNumberFormat="1" applyFill="1" applyBorder="1"/>
    <xf numFmtId="164" fontId="0" fillId="7" borderId="2" xfId="0" applyNumberFormat="1" applyFill="1" applyBorder="1"/>
    <xf numFmtId="164" fontId="0" fillId="8" borderId="2" xfId="0" applyNumberFormat="1" applyFill="1" applyBorder="1"/>
    <xf numFmtId="164" fontId="0" fillId="9" borderId="2" xfId="0" applyNumberFormat="1" applyFill="1" applyBorder="1"/>
    <xf numFmtId="165" fontId="0" fillId="7" borderId="2" xfId="0" applyNumberFormat="1" applyFill="1" applyBorder="1"/>
    <xf numFmtId="165" fontId="0" fillId="8" borderId="2" xfId="0" applyNumberFormat="1" applyFill="1" applyBorder="1"/>
    <xf numFmtId="165" fontId="0" fillId="9" borderId="2" xfId="0" applyNumberFormat="1" applyFill="1" applyBorder="1"/>
    <xf numFmtId="167" fontId="0" fillId="7" borderId="2" xfId="0" applyNumberFormat="1" applyFill="1" applyBorder="1"/>
    <xf numFmtId="167" fontId="0" fillId="8" borderId="2" xfId="0" applyNumberFormat="1" applyFill="1" applyBorder="1"/>
    <xf numFmtId="167" fontId="0" fillId="9" borderId="2" xfId="0" applyNumberFormat="1" applyFill="1" applyBorder="1"/>
    <xf numFmtId="0" fontId="6" fillId="0" borderId="0" xfId="0" applyFont="1" applyAlignment="1">
      <alignment wrapText="1"/>
    </xf>
    <xf numFmtId="167" fontId="4" fillId="3" borderId="2" xfId="0" applyNumberFormat="1" applyFont="1" applyFill="1" applyBorder="1" applyAlignment="1">
      <alignment horizontal="center"/>
    </xf>
    <xf numFmtId="167" fontId="4" fillId="3" borderId="2" xfId="0" applyNumberFormat="1" applyFont="1" applyFill="1" applyBorder="1"/>
    <xf numFmtId="164" fontId="7" fillId="4" borderId="2" xfId="0" applyNumberFormat="1" applyFont="1" applyFill="1" applyBorder="1"/>
    <xf numFmtId="164" fontId="0" fillId="10" borderId="2" xfId="0" applyNumberFormat="1" applyFill="1" applyBorder="1"/>
    <xf numFmtId="165" fontId="7" fillId="4" borderId="2" xfId="0" applyNumberFormat="1" applyFont="1" applyFill="1" applyBorder="1"/>
    <xf numFmtId="165" fontId="0" fillId="10" borderId="2" xfId="0" applyNumberForma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5"/>
  <sheetViews>
    <sheetView tabSelected="1" zoomScale="90" zoomScaleNormal="90" workbookViewId="0"/>
  </sheetViews>
  <sheetFormatPr defaultRowHeight="15"/>
  <cols>
    <col min="1" max="1" width="32.7109375" customWidth="1"/>
    <col min="2" max="2" width="16.7109375" customWidth="1"/>
    <col min="3" max="8" width="14.7109375" customWidth="1"/>
  </cols>
  <sheetData>
    <row r="1" spans="1:2">
      <c r="A1" s="1" t="s">
        <v>0</v>
      </c>
    </row>
    <row r="2" spans="1:2">
      <c r="A2" s="2" t="s">
        <v>1</v>
      </c>
    </row>
    <row r="4" spans="1:2">
      <c r="A4" s="3" t="s">
        <v>2</v>
      </c>
    </row>
    <row r="5" spans="1:2">
      <c r="A5" t="s">
        <v>3</v>
      </c>
      <c r="B5" s="4">
        <v>180.9</v>
      </c>
    </row>
    <row r="6" spans="1:2">
      <c r="A6" t="s">
        <v>4</v>
      </c>
      <c r="B6" s="5">
        <v>117.64</v>
      </c>
    </row>
    <row r="7" spans="1:2">
      <c r="A7" t="s">
        <v>5</v>
      </c>
      <c r="B7" s="6">
        <v>3200</v>
      </c>
    </row>
    <row r="8" spans="1:2">
      <c r="A8" t="s">
        <v>6</v>
      </c>
      <c r="B8" s="7">
        <f>B7/5</f>
        <v>0</v>
      </c>
    </row>
    <row r="9" spans="1:2">
      <c r="A9" t="s">
        <v>7</v>
      </c>
      <c r="B9" s="6">
        <v>10955.5</v>
      </c>
    </row>
    <row r="10" spans="1:2">
      <c r="A10" t="s">
        <v>8</v>
      </c>
      <c r="B10" s="6">
        <v>50815.2</v>
      </c>
    </row>
    <row r="11" spans="1:2">
      <c r="A11" t="s">
        <v>9</v>
      </c>
      <c r="B11" s="7">
        <f>B9-B10</f>
        <v>0</v>
      </c>
    </row>
    <row r="12" spans="1:2">
      <c r="A12" t="s">
        <v>10</v>
      </c>
      <c r="B12" s="6">
        <v>48687.3</v>
      </c>
    </row>
    <row r="13" spans="1:2">
      <c r="A13" t="s">
        <v>11</v>
      </c>
      <c r="B13" s="6">
        <v>1.08</v>
      </c>
    </row>
    <row r="14" spans="1:2">
      <c r="A14" t="s">
        <v>12</v>
      </c>
      <c r="B14" s="6">
        <v>7.2</v>
      </c>
    </row>
    <row r="16" spans="1:2">
      <c r="A16" t="s">
        <v>13</v>
      </c>
      <c r="B16" s="8">
        <v>0.11</v>
      </c>
    </row>
    <row r="17" spans="1:6">
      <c r="A17" t="s">
        <v>14</v>
      </c>
      <c r="B17" s="8">
        <v>0.03</v>
      </c>
    </row>
    <row r="19" spans="1:6">
      <c r="A19" s="3" t="s">
        <v>15</v>
      </c>
    </row>
    <row r="20" spans="1:6">
      <c r="B20" s="9" t="s">
        <v>16</v>
      </c>
      <c r="C20" s="9" t="s">
        <v>17</v>
      </c>
      <c r="D20" s="9" t="s">
        <v>18</v>
      </c>
      <c r="E20" s="9" t="s">
        <v>19</v>
      </c>
      <c r="F20" s="9" t="s">
        <v>20</v>
      </c>
    </row>
    <row r="21" spans="1:6">
      <c r="A21" t="s">
        <v>21</v>
      </c>
      <c r="B21" s="8">
        <v>0.08500000000000001</v>
      </c>
      <c r="C21" s="8">
        <v>0.075</v>
      </c>
      <c r="D21" s="8">
        <v>0.065</v>
      </c>
      <c r="E21" s="8">
        <v>0.055</v>
      </c>
      <c r="F21" s="8">
        <v>0.045</v>
      </c>
    </row>
    <row r="22" spans="1:6">
      <c r="A22" t="s">
        <v>22</v>
      </c>
      <c r="B22" s="8">
        <v>0.12</v>
      </c>
      <c r="C22" s="8">
        <v>0.105</v>
      </c>
      <c r="D22" s="8">
        <v>0.09</v>
      </c>
      <c r="E22" s="8">
        <v>0.08</v>
      </c>
      <c r="F22" s="8">
        <v>0.065</v>
      </c>
    </row>
    <row r="23" spans="1:6">
      <c r="A23" t="s">
        <v>23</v>
      </c>
      <c r="B23" s="8">
        <v>0.035</v>
      </c>
      <c r="C23" s="8">
        <v>0.02</v>
      </c>
      <c r="D23" s="8">
        <v>0.01</v>
      </c>
      <c r="E23" s="8">
        <v>0.005</v>
      </c>
      <c r="F23" s="8">
        <v>0</v>
      </c>
    </row>
    <row r="24" spans="1:6">
      <c r="A24" t="s">
        <v>24</v>
      </c>
      <c r="B24" s="8">
        <v>0.1</v>
      </c>
    </row>
    <row r="25" spans="1:6">
      <c r="A25" t="s">
        <v>25</v>
      </c>
      <c r="B25" s="8">
        <v>0.035</v>
      </c>
    </row>
    <row r="26" spans="1:6">
      <c r="A26" t="s">
        <v>26</v>
      </c>
      <c r="B26" s="8">
        <v>0.13</v>
      </c>
    </row>
    <row r="27" spans="1:6">
      <c r="A27" t="s">
        <v>27</v>
      </c>
      <c r="B27" s="8">
        <v>0.02</v>
      </c>
    </row>
    <row r="29" spans="1:6">
      <c r="A29" s="3" t="s">
        <v>28</v>
      </c>
    </row>
    <row r="30" spans="1:6">
      <c r="A30" s="9"/>
      <c r="B30" s="9" t="s">
        <v>16</v>
      </c>
      <c r="C30" s="9" t="s">
        <v>17</v>
      </c>
      <c r="D30" s="9" t="s">
        <v>18</v>
      </c>
      <c r="E30" s="9" t="s">
        <v>19</v>
      </c>
      <c r="F30" s="9" t="s">
        <v>20</v>
      </c>
    </row>
    <row r="31" spans="1:6">
      <c r="A31" t="s">
        <v>29</v>
      </c>
      <c r="B31" s="7">
        <f>$B$12*(1+B21)</f>
        <v>0</v>
      </c>
      <c r="C31" s="7">
        <f>B31*(1+C21)</f>
        <v>0</v>
      </c>
      <c r="D31" s="7">
        <f>C31*(1+D21)</f>
        <v>0</v>
      </c>
      <c r="E31" s="7">
        <f>D31*(1+E21)</f>
        <v>0</v>
      </c>
      <c r="F31" s="7">
        <f>E31*(1+F21)</f>
        <v>0</v>
      </c>
    </row>
    <row r="32" spans="1:6">
      <c r="A32" t="s">
        <v>30</v>
      </c>
      <c r="B32" s="7">
        <f>1/(1+$B$16)^1</f>
        <v>0</v>
      </c>
      <c r="C32" s="7">
        <f>1/(1+$B$16)^2</f>
        <v>0</v>
      </c>
      <c r="D32" s="7">
        <f>1/(1+$B$16)^3</f>
        <v>0</v>
      </c>
      <c r="E32" s="7">
        <f>1/(1+$B$16)^4</f>
        <v>0</v>
      </c>
      <c r="F32" s="7">
        <f>1/(1+$B$16)^5</f>
        <v>0</v>
      </c>
    </row>
    <row r="33" spans="1:6">
      <c r="A33" t="s">
        <v>31</v>
      </c>
      <c r="B33" s="7">
        <f>B31*B32</f>
        <v>0</v>
      </c>
      <c r="C33" s="7">
        <f>C31*C32</f>
        <v>0</v>
      </c>
      <c r="D33" s="7">
        <f>D31*D32</f>
        <v>0</v>
      </c>
      <c r="E33" s="7">
        <f>E31*E32</f>
        <v>0</v>
      </c>
      <c r="F33" s="7">
        <f>F31*F32</f>
        <v>0</v>
      </c>
    </row>
    <row r="35" spans="1:6">
      <c r="A35" s="3" t="s">
        <v>32</v>
      </c>
    </row>
    <row r="36" spans="1:6">
      <c r="A36" t="s">
        <v>33</v>
      </c>
      <c r="B36" s="7">
        <f>SUM(B33:F33)</f>
        <v>0</v>
      </c>
    </row>
    <row r="37" spans="1:6">
      <c r="A37" t="s">
        <v>34</v>
      </c>
      <c r="B37" s="7">
        <f>F31*(1+$B$17)</f>
        <v>0</v>
      </c>
    </row>
    <row r="38" spans="1:6">
      <c r="A38" t="s">
        <v>35</v>
      </c>
      <c r="B38" s="7">
        <f>B37/($B$16-$B$17)</f>
        <v>0</v>
      </c>
    </row>
    <row r="39" spans="1:6">
      <c r="A39" t="s">
        <v>36</v>
      </c>
      <c r="B39" s="7">
        <f>B38*F32</f>
        <v>0</v>
      </c>
    </row>
    <row r="40" spans="1:6">
      <c r="A40" t="s">
        <v>37</v>
      </c>
      <c r="B40" s="7">
        <f>B36+B39</f>
        <v>0</v>
      </c>
    </row>
    <row r="41" spans="1:6">
      <c r="A41" t="s">
        <v>38</v>
      </c>
      <c r="B41" s="7">
        <f>B11</f>
        <v>0</v>
      </c>
    </row>
    <row r="42" spans="1:6">
      <c r="A42" t="s">
        <v>39</v>
      </c>
      <c r="B42" s="7">
        <f>B40-B41</f>
        <v>0</v>
      </c>
    </row>
    <row r="43" spans="1:6">
      <c r="A43" s="10" t="s">
        <v>40</v>
      </c>
      <c r="B43" s="11">
        <f>B42/$B$7</f>
        <v>0</v>
      </c>
    </row>
    <row r="44" spans="1:6">
      <c r="A44" s="10" t="s">
        <v>41</v>
      </c>
      <c r="B44" s="12">
        <f>B43*$B$13</f>
        <v>0</v>
      </c>
    </row>
    <row r="45" spans="1:6">
      <c r="A45" t="s">
        <v>42</v>
      </c>
      <c r="B45" s="13">
        <f>(B44-$B$5)/$B$5</f>
        <v>0</v>
      </c>
    </row>
    <row r="46" spans="1:6">
      <c r="A46" s="10" t="s">
        <v>43</v>
      </c>
      <c r="B46" s="14">
        <f>B43*5/$B$14</f>
        <v>0</v>
      </c>
    </row>
    <row r="47" spans="1:6">
      <c r="A47" t="s">
        <v>44</v>
      </c>
      <c r="B47" s="13">
        <f>(B46-$B$6)/$B$6</f>
        <v>0</v>
      </c>
    </row>
    <row r="49" spans="1:4">
      <c r="A49" s="3" t="s">
        <v>45</v>
      </c>
    </row>
    <row r="50" spans="1:4">
      <c r="A50" t="s">
        <v>46</v>
      </c>
      <c r="B50" s="15">
        <f>B38/$B$7</f>
        <v>0</v>
      </c>
    </row>
    <row r="51" spans="1:4">
      <c r="A51" t="s">
        <v>47</v>
      </c>
      <c r="B51" s="12">
        <f>(B50/$B$14*$B$13)/(1.15^5)</f>
        <v>0</v>
      </c>
    </row>
    <row r="52" spans="1:4">
      <c r="A52" t="s">
        <v>48</v>
      </c>
      <c r="B52" s="14">
        <f>(B50*5/$B$14)/(1.15^5)</f>
        <v>0</v>
      </c>
    </row>
    <row r="53" spans="1:4">
      <c r="A53" t="s">
        <v>49</v>
      </c>
      <c r="B53" s="16">
        <f>($B$5-B51)/$B$5</f>
        <v>0</v>
      </c>
    </row>
    <row r="55" spans="1:4">
      <c r="A55" s="3" t="s">
        <v>50</v>
      </c>
    </row>
    <row r="56" spans="1:4">
      <c r="B56" s="17" t="s">
        <v>51</v>
      </c>
      <c r="C56" s="18" t="s">
        <v>52</v>
      </c>
      <c r="D56" s="19" t="s">
        <v>53</v>
      </c>
    </row>
    <row r="57" spans="1:4">
      <c r="A57" t="s">
        <v>54</v>
      </c>
      <c r="B57" s="20">
        <v>75543.3</v>
      </c>
      <c r="C57" s="21">
        <v>66676.39999999999</v>
      </c>
      <c r="D57" s="22">
        <v>52172.7</v>
      </c>
    </row>
    <row r="58" spans="1:4">
      <c r="A58" t="s">
        <v>55</v>
      </c>
      <c r="B58" s="20">
        <v>1202881.8</v>
      </c>
      <c r="C58" s="21">
        <v>858458.6</v>
      </c>
      <c r="D58" s="22">
        <v>483783.2</v>
      </c>
    </row>
    <row r="59" spans="1:4">
      <c r="A59" t="s">
        <v>56</v>
      </c>
      <c r="B59" s="20">
        <v>746869.3</v>
      </c>
      <c r="C59" s="21">
        <v>509495.2</v>
      </c>
      <c r="D59" s="22">
        <v>262597.5</v>
      </c>
    </row>
    <row r="60" spans="1:4">
      <c r="A60" t="s">
        <v>57</v>
      </c>
      <c r="B60" s="20">
        <v>990939.2</v>
      </c>
      <c r="C60" s="21">
        <v>728997.3</v>
      </c>
      <c r="D60" s="22">
        <v>443738.9</v>
      </c>
    </row>
    <row r="61" spans="1:4">
      <c r="A61" t="s">
        <v>39</v>
      </c>
      <c r="B61" s="20">
        <v>1030798.9</v>
      </c>
      <c r="C61" s="21">
        <v>768857</v>
      </c>
      <c r="D61" s="22">
        <v>483598.6</v>
      </c>
    </row>
    <row r="62" spans="1:4">
      <c r="A62" t="s">
        <v>58</v>
      </c>
      <c r="B62" s="23">
        <v>347.89</v>
      </c>
      <c r="C62" s="24">
        <v>259.49</v>
      </c>
      <c r="D62" s="25">
        <v>163.21</v>
      </c>
    </row>
    <row r="63" spans="1:4">
      <c r="A63" t="s">
        <v>59</v>
      </c>
      <c r="B63" s="26">
        <v>223.69</v>
      </c>
      <c r="C63" s="27">
        <v>166.85</v>
      </c>
      <c r="D63" s="28">
        <v>104.94</v>
      </c>
    </row>
    <row r="64" spans="1:4">
      <c r="A64" t="s">
        <v>60</v>
      </c>
      <c r="B64" s="29">
        <v>0.9229999999999999</v>
      </c>
      <c r="C64" s="30">
        <v>0.434</v>
      </c>
      <c r="D64" s="31">
        <v>-0.098</v>
      </c>
    </row>
    <row r="65" spans="1:8">
      <c r="A65" t="s">
        <v>61</v>
      </c>
      <c r="B65" s="29">
        <v>0.2</v>
      </c>
      <c r="C65" s="30">
        <v>0.6</v>
      </c>
      <c r="D65" s="31">
        <v>0.2</v>
      </c>
    </row>
    <row r="66" spans="1:8">
      <c r="A66" s="10" t="s">
        <v>62</v>
      </c>
      <c r="B66" s="12">
        <v>257.91</v>
      </c>
      <c r="C66" s="11">
        <v>238.81</v>
      </c>
    </row>
    <row r="67" spans="1:8">
      <c r="A67" t="s">
        <v>63</v>
      </c>
      <c r="B67" s="13">
        <f>(B66-$B$5)/$B$5</f>
        <v>0</v>
      </c>
    </row>
    <row r="69" spans="1:8">
      <c r="A69" s="3" t="s">
        <v>64</v>
      </c>
    </row>
    <row r="70" spans="1:8">
      <c r="A70" s="32" t="s">
        <v>65</v>
      </c>
      <c r="B70" s="32"/>
      <c r="C70" s="32"/>
      <c r="D70" s="32"/>
      <c r="E70" s="32"/>
      <c r="F70" s="32"/>
      <c r="G70" s="32"/>
      <c r="H70" s="32"/>
    </row>
    <row r="71" spans="1:8">
      <c r="A71" s="32"/>
      <c r="B71" s="32"/>
      <c r="C71" s="32"/>
      <c r="D71" s="32"/>
      <c r="E71" s="32"/>
      <c r="F71" s="32"/>
      <c r="G71" s="32"/>
      <c r="H71" s="32"/>
    </row>
    <row r="72" spans="1:8">
      <c r="A72" s="32"/>
      <c r="B72" s="32"/>
      <c r="C72" s="32"/>
      <c r="D72" s="32"/>
      <c r="E72" s="32"/>
      <c r="F72" s="32"/>
      <c r="G72" s="32"/>
      <c r="H72" s="32"/>
    </row>
    <row r="73" spans="1:8">
      <c r="A73" s="32"/>
      <c r="B73" s="32"/>
      <c r="C73" s="32"/>
      <c r="D73" s="32"/>
      <c r="E73" s="32"/>
      <c r="F73" s="32"/>
      <c r="G73" s="32"/>
      <c r="H73" s="32"/>
    </row>
    <row r="74" spans="1:8">
      <c r="A74" s="32" t="s">
        <v>67</v>
      </c>
      <c r="B74" s="32"/>
      <c r="C74" s="32"/>
      <c r="D74" s="32"/>
      <c r="E74" s="32"/>
      <c r="F74" s="32"/>
      <c r="G74" s="32"/>
      <c r="H74" s="32"/>
    </row>
    <row r="75" spans="1:8">
      <c r="A75" s="32"/>
      <c r="B75" s="32"/>
      <c r="C75" s="32"/>
      <c r="D75" s="32"/>
      <c r="E75" s="32"/>
      <c r="F75" s="32"/>
      <c r="G75" s="32"/>
      <c r="H75" s="32"/>
    </row>
  </sheetData>
  <mergeCells count="2">
    <mergeCell ref="A70:H73"/>
    <mergeCell ref="A74:H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32"/>
  <sheetViews>
    <sheetView zoomScale="90" zoomScaleNormal="90" workbookViewId="0"/>
  </sheetViews>
  <sheetFormatPr defaultRowHeight="15"/>
  <cols>
    <col min="1" max="1" width="22.7109375" customWidth="1"/>
    <col min="2" max="7" width="14.7109375" customWidth="1"/>
  </cols>
  <sheetData>
    <row r="1" spans="1:6">
      <c r="A1" s="1" t="s">
        <v>68</v>
      </c>
    </row>
    <row r="2" spans="1:6">
      <c r="A2" s="2" t="s">
        <v>69</v>
      </c>
    </row>
    <row r="3" spans="1:6">
      <c r="A3" s="2" t="s">
        <v>70</v>
      </c>
    </row>
    <row r="5" spans="1:6">
      <c r="A5" s="10" t="s">
        <v>71</v>
      </c>
    </row>
    <row r="7" spans="1:6">
      <c r="A7" s="9" t="s">
        <v>72</v>
      </c>
      <c r="B7" s="33">
        <v>0.02</v>
      </c>
      <c r="C7" s="33">
        <v>0.025</v>
      </c>
      <c r="D7" s="33">
        <v>0.03</v>
      </c>
      <c r="E7" s="33">
        <v>0.035</v>
      </c>
      <c r="F7" s="33">
        <v>0.04</v>
      </c>
    </row>
    <row r="8" spans="1:6">
      <c r="A8" s="34">
        <v>0.09</v>
      </c>
      <c r="B8" s="35">
        <v>304.69</v>
      </c>
      <c r="C8" s="35">
        <v>322.21</v>
      </c>
      <c r="D8" s="35">
        <v>342.64</v>
      </c>
      <c r="E8" s="35">
        <v>366.8</v>
      </c>
      <c r="F8" s="35">
        <v>395.78</v>
      </c>
    </row>
    <row r="9" spans="1:6">
      <c r="A9" s="34">
        <v>0.1</v>
      </c>
      <c r="B9" s="35">
        <v>267.66</v>
      </c>
      <c r="C9" s="35">
        <v>280.47</v>
      </c>
      <c r="D9" s="35">
        <v>295.11</v>
      </c>
      <c r="E9" s="35">
        <v>312</v>
      </c>
      <c r="F9" s="35">
        <v>331.7</v>
      </c>
    </row>
    <row r="10" spans="1:6">
      <c r="A10" s="34">
        <v>0.11</v>
      </c>
      <c r="B10" s="35">
        <v>238.9</v>
      </c>
      <c r="C10" s="35">
        <v>248.59</v>
      </c>
      <c r="D10" s="35">
        <v>259.49</v>
      </c>
      <c r="E10" s="35">
        <v>271.84</v>
      </c>
      <c r="F10" s="35">
        <v>285.96</v>
      </c>
    </row>
    <row r="11" spans="1:6">
      <c r="A11" s="34">
        <v>0.12</v>
      </c>
      <c r="B11" s="35">
        <v>215.87</v>
      </c>
      <c r="C11" s="35">
        <v>223.4</v>
      </c>
      <c r="D11" s="35">
        <v>231.76</v>
      </c>
      <c r="E11" s="35">
        <v>241.11</v>
      </c>
      <c r="F11" s="35">
        <v>251.62</v>
      </c>
    </row>
    <row r="12" spans="1:6">
      <c r="A12" s="34">
        <v>0.13</v>
      </c>
      <c r="B12" s="36">
        <v>197.07</v>
      </c>
      <c r="C12" s="35">
        <v>203.05</v>
      </c>
      <c r="D12" s="35">
        <v>209.62</v>
      </c>
      <c r="E12" s="35">
        <v>216.88</v>
      </c>
      <c r="F12" s="35">
        <v>224.96</v>
      </c>
    </row>
    <row r="14" spans="1:6">
      <c r="A14" s="3" t="s">
        <v>73</v>
      </c>
    </row>
    <row r="15" spans="1:6">
      <c r="A15" s="9" t="s">
        <v>72</v>
      </c>
      <c r="B15" s="33">
        <v>0.02</v>
      </c>
      <c r="C15" s="33">
        <v>0.025</v>
      </c>
      <c r="D15" s="33">
        <v>0.03</v>
      </c>
      <c r="E15" s="33">
        <v>0.035</v>
      </c>
      <c r="F15" s="33">
        <v>0.04</v>
      </c>
    </row>
    <row r="16" spans="1:6">
      <c r="A16" s="34">
        <v>0.09</v>
      </c>
      <c r="B16" s="15">
        <v>282.12</v>
      </c>
      <c r="C16" s="15">
        <v>298.34</v>
      </c>
      <c r="D16" s="15">
        <v>317.26</v>
      </c>
      <c r="E16" s="15">
        <v>339.63</v>
      </c>
      <c r="F16" s="15">
        <v>366.46</v>
      </c>
    </row>
    <row r="17" spans="1:6">
      <c r="A17" s="34">
        <v>0.1</v>
      </c>
      <c r="B17" s="15">
        <v>247.83</v>
      </c>
      <c r="C17" s="15">
        <v>259.7</v>
      </c>
      <c r="D17" s="15">
        <v>273.25</v>
      </c>
      <c r="E17" s="15">
        <v>288.89</v>
      </c>
      <c r="F17" s="15">
        <v>307.13</v>
      </c>
    </row>
    <row r="18" spans="1:6">
      <c r="A18" s="34">
        <v>0.11</v>
      </c>
      <c r="B18" s="15">
        <v>221.2</v>
      </c>
      <c r="C18" s="15">
        <v>230.18</v>
      </c>
      <c r="D18" s="15">
        <v>240.27</v>
      </c>
      <c r="E18" s="15">
        <v>251.7</v>
      </c>
      <c r="F18" s="15">
        <v>264.78</v>
      </c>
    </row>
    <row r="19" spans="1:6">
      <c r="A19" s="34">
        <v>0.12</v>
      </c>
      <c r="B19" s="15">
        <v>199.88</v>
      </c>
      <c r="C19" s="15">
        <v>206.85</v>
      </c>
      <c r="D19" s="15">
        <v>214.59</v>
      </c>
      <c r="E19" s="15">
        <v>222.88</v>
      </c>
      <c r="F19" s="15">
        <v>233.91</v>
      </c>
    </row>
    <row r="20" spans="1:6">
      <c r="A20" s="34">
        <v>0.13</v>
      </c>
      <c r="B20" s="15">
        <v>182.48</v>
      </c>
      <c r="C20" s="15">
        <v>188.01</v>
      </c>
      <c r="D20" s="15">
        <v>194.09</v>
      </c>
      <c r="E20" s="15">
        <v>200.82</v>
      </c>
      <c r="F20" s="15">
        <v>208.3</v>
      </c>
    </row>
    <row r="22" spans="1:6">
      <c r="A22" s="3" t="s">
        <v>74</v>
      </c>
    </row>
    <row r="23" spans="1:6">
      <c r="A23" s="9" t="s">
        <v>72</v>
      </c>
      <c r="B23" s="33">
        <v>0.02</v>
      </c>
      <c r="C23" s="33">
        <v>0.025</v>
      </c>
      <c r="D23" s="33">
        <v>0.03</v>
      </c>
      <c r="E23" s="33">
        <v>0.035</v>
      </c>
      <c r="F23" s="33">
        <v>0.04</v>
      </c>
    </row>
    <row r="24" spans="1:6">
      <c r="A24" s="34">
        <v>0.09</v>
      </c>
      <c r="B24" s="37">
        <v>195.92</v>
      </c>
      <c r="C24" s="37">
        <v>207.18</v>
      </c>
      <c r="D24" s="37">
        <v>220.32</v>
      </c>
      <c r="E24" s="37">
        <v>235.85</v>
      </c>
      <c r="F24" s="37">
        <v>254.49</v>
      </c>
    </row>
    <row r="25" spans="1:6">
      <c r="A25" s="34">
        <v>0.1</v>
      </c>
      <c r="B25" s="37">
        <v>172.1</v>
      </c>
      <c r="C25" s="37">
        <v>180.35</v>
      </c>
      <c r="D25" s="37">
        <v>189.76</v>
      </c>
      <c r="E25" s="37">
        <v>200.62</v>
      </c>
      <c r="F25" s="37">
        <v>213.28</v>
      </c>
    </row>
    <row r="26" spans="1:6">
      <c r="A26" s="34">
        <v>0.11</v>
      </c>
      <c r="B26" s="37">
        <v>153.61</v>
      </c>
      <c r="C26" s="37">
        <v>159.85</v>
      </c>
      <c r="D26" s="37">
        <v>166.85</v>
      </c>
      <c r="E26" s="37">
        <v>174.79</v>
      </c>
      <c r="F26" s="37">
        <v>183.87</v>
      </c>
    </row>
    <row r="27" spans="1:6">
      <c r="A27" s="34">
        <v>0.12</v>
      </c>
      <c r="B27" s="37">
        <v>138.81</v>
      </c>
      <c r="C27" s="37">
        <v>143.65</v>
      </c>
      <c r="D27" s="37">
        <v>149.02</v>
      </c>
      <c r="E27" s="37">
        <v>154.78</v>
      </c>
      <c r="F27" s="37">
        <v>162.44</v>
      </c>
    </row>
    <row r="28" spans="1:6">
      <c r="A28" s="34">
        <v>0.13</v>
      </c>
      <c r="B28" s="38">
        <v>126.72</v>
      </c>
      <c r="C28" s="37">
        <v>130.56</v>
      </c>
      <c r="D28" s="37">
        <v>134.78</v>
      </c>
      <c r="E28" s="37">
        <v>139.46</v>
      </c>
      <c r="F28" s="37">
        <v>144.65</v>
      </c>
    </row>
    <row r="30" spans="1:6">
      <c r="A30" s="32" t="s">
        <v>75</v>
      </c>
      <c r="B30" s="32"/>
      <c r="C30" s="32"/>
      <c r="D30" s="32"/>
      <c r="E30" s="32"/>
      <c r="F30" s="32"/>
    </row>
    <row r="31" spans="1:6">
      <c r="A31" s="32"/>
      <c r="B31" s="32"/>
      <c r="C31" s="32"/>
      <c r="D31" s="32"/>
      <c r="E31" s="32"/>
      <c r="F31" s="32"/>
    </row>
    <row r="32" spans="1:6">
      <c r="A32" s="32"/>
      <c r="B32" s="32"/>
      <c r="C32" s="32"/>
      <c r="D32" s="32"/>
      <c r="E32" s="32"/>
      <c r="F32" s="32"/>
    </row>
  </sheetData>
  <mergeCells count="1">
    <mergeCell ref="A30:F3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35"/>
  <sheetViews>
    <sheetView zoomScale="90" zoomScaleNormal="90" workbookViewId="0"/>
  </sheetViews>
  <sheetFormatPr defaultRowHeight="15"/>
  <cols>
    <col min="1" max="1" width="20.7109375" customWidth="1"/>
    <col min="2" max="3" width="16.7109375" customWidth="1"/>
  </cols>
  <sheetData>
    <row r="1" spans="1:4">
      <c r="A1" s="1" t="s">
        <v>76</v>
      </c>
    </row>
    <row r="3" spans="1:4">
      <c r="A3" s="9" t="s">
        <v>77</v>
      </c>
      <c r="B3" s="9" t="s">
        <v>78</v>
      </c>
      <c r="C3" s="9" t="s">
        <v>79</v>
      </c>
    </row>
    <row r="5" spans="1:4">
      <c r="A5" t="s">
        <v>80</v>
      </c>
      <c r="B5" s="16">
        <v>0.042</v>
      </c>
      <c r="C5" s="16">
        <v>0.08900000000000001</v>
      </c>
    </row>
    <row r="6" spans="1:4">
      <c r="A6" t="s">
        <v>81</v>
      </c>
      <c r="B6" s="16">
        <v>0.164</v>
      </c>
      <c r="C6" s="16">
        <v>0.211</v>
      </c>
    </row>
    <row r="7" spans="1:4">
      <c r="A7" t="s">
        <v>82</v>
      </c>
      <c r="B7" s="16">
        <v>0.07400000000000001</v>
      </c>
      <c r="C7" s="16">
        <v>0.151</v>
      </c>
    </row>
    <row r="8" spans="1:4">
      <c r="A8" t="s">
        <v>83</v>
      </c>
      <c r="B8" s="16">
        <v>0.1</v>
      </c>
      <c r="C8" s="16">
        <v>0.063</v>
      </c>
    </row>
    <row r="9" spans="1:4">
      <c r="A9" s="10" t="s">
        <v>84</v>
      </c>
      <c r="B9" s="16">
        <v>0.07400000000000001</v>
      </c>
    </row>
    <row r="10" spans="1:4">
      <c r="A10" t="s">
        <v>85</v>
      </c>
      <c r="B10" t="s">
        <v>86</v>
      </c>
    </row>
    <row r="11" spans="1:4">
      <c r="A11" s="32" t="s">
        <v>88</v>
      </c>
      <c r="B11" s="32"/>
      <c r="C11" s="32"/>
      <c r="D11" s="32"/>
    </row>
    <row r="12" spans="1:4">
      <c r="A12" s="32"/>
      <c r="B12" s="32"/>
      <c r="C12" s="32"/>
      <c r="D12" s="32"/>
    </row>
    <row r="13" spans="1:4">
      <c r="A13" s="32"/>
      <c r="B13" s="32"/>
      <c r="C13" s="32"/>
      <c r="D13" s="32"/>
    </row>
    <row r="15" spans="1:4">
      <c r="A15" s="3" t="s">
        <v>89</v>
      </c>
    </row>
    <row r="16" spans="1:4">
      <c r="A16" s="9" t="s">
        <v>77</v>
      </c>
      <c r="B16" s="9" t="s">
        <v>90</v>
      </c>
      <c r="C16" s="9" t="s">
        <v>91</v>
      </c>
    </row>
    <row r="17" spans="1:5">
      <c r="A17" t="s">
        <v>92</v>
      </c>
      <c r="B17" t="s">
        <v>93</v>
      </c>
      <c r="C17" t="s">
        <v>94</v>
      </c>
    </row>
    <row r="18" spans="1:5">
      <c r="A18" t="s">
        <v>95</v>
      </c>
      <c r="B18" t="s">
        <v>96</v>
      </c>
      <c r="C18" t="s">
        <v>97</v>
      </c>
    </row>
    <row r="19" spans="1:5">
      <c r="A19" t="s">
        <v>98</v>
      </c>
      <c r="B19" t="s">
        <v>99</v>
      </c>
      <c r="C19" t="s">
        <v>100</v>
      </c>
    </row>
    <row r="20" spans="1:5">
      <c r="A20" t="s">
        <v>101</v>
      </c>
      <c r="B20" t="s">
        <v>102</v>
      </c>
      <c r="C20" t="s">
        <v>103</v>
      </c>
    </row>
    <row r="21" spans="1:5">
      <c r="A21" t="s">
        <v>104</v>
      </c>
      <c r="B21" s="16">
        <v>0.091</v>
      </c>
      <c r="C21" t="s">
        <v>105</v>
      </c>
    </row>
    <row r="22" spans="1:5">
      <c r="A22" s="10" t="s">
        <v>106</v>
      </c>
    </row>
    <row r="23" spans="1:5">
      <c r="A23" s="32" t="s">
        <v>107</v>
      </c>
      <c r="B23" s="32"/>
      <c r="C23" s="32"/>
      <c r="D23" s="32"/>
    </row>
    <row r="24" spans="1:5">
      <c r="A24" s="32"/>
      <c r="B24" s="32"/>
      <c r="C24" s="32"/>
      <c r="D24" s="32"/>
    </row>
    <row r="25" spans="1:5">
      <c r="A25" s="32"/>
      <c r="B25" s="32"/>
      <c r="C25" s="32"/>
      <c r="D25" s="32"/>
    </row>
    <row r="27" spans="1:5">
      <c r="A27" s="3" t="s">
        <v>108</v>
      </c>
    </row>
    <row r="28" spans="1:5">
      <c r="A28" s="9" t="s">
        <v>109</v>
      </c>
      <c r="B28" s="9" t="s">
        <v>80</v>
      </c>
      <c r="C28" s="9" t="s">
        <v>82</v>
      </c>
      <c r="D28" s="9" t="s">
        <v>110</v>
      </c>
      <c r="E28" s="9" t="s">
        <v>111</v>
      </c>
    </row>
    <row r="29" spans="1:5">
      <c r="A29" t="s">
        <v>112</v>
      </c>
      <c r="B29" s="7">
        <v>60925.1</v>
      </c>
      <c r="C29" s="7">
        <v>15841.6</v>
      </c>
      <c r="D29" s="7">
        <v>10989.9</v>
      </c>
      <c r="E29" s="7">
        <v>102388.2</v>
      </c>
    </row>
    <row r="30" spans="1:5">
      <c r="A30" t="s">
        <v>113</v>
      </c>
      <c r="B30" s="7">
        <v>73631.2</v>
      </c>
      <c r="C30" s="7">
        <v>24106.7</v>
      </c>
      <c r="D30" s="7">
        <v>12082.9</v>
      </c>
      <c r="E30" s="7">
        <v>118044.8</v>
      </c>
    </row>
    <row r="31" spans="1:5">
      <c r="A31" t="s">
        <v>114</v>
      </c>
      <c r="B31" s="7">
        <v>87987.60000000001</v>
      </c>
      <c r="C31" s="7">
        <v>32357.7</v>
      </c>
      <c r="D31" s="7">
        <v>17274.7</v>
      </c>
      <c r="E31" s="7">
        <v>128766.8</v>
      </c>
    </row>
    <row r="32" spans="1:5">
      <c r="A32" t="s">
        <v>115</v>
      </c>
      <c r="B32" s="7">
        <v>99423</v>
      </c>
      <c r="C32" s="7">
        <v>39335.3</v>
      </c>
      <c r="D32" s="7">
        <v>21467.1</v>
      </c>
      <c r="E32" s="7">
        <v>120571.4</v>
      </c>
    </row>
    <row r="33" spans="1:5">
      <c r="A33" t="s">
        <v>116</v>
      </c>
      <c r="B33" s="7">
        <v>103437.7</v>
      </c>
      <c r="C33" s="7">
        <v>42799</v>
      </c>
      <c r="D33" s="7">
        <v>23961.4</v>
      </c>
      <c r="E33" s="7">
        <v>124285.8</v>
      </c>
    </row>
    <row r="34" spans="1:5">
      <c r="A34" t="s">
        <v>117</v>
      </c>
      <c r="B34" s="7">
        <v>105377.6</v>
      </c>
      <c r="C34" s="7">
        <v>45095.1</v>
      </c>
      <c r="D34" s="7">
        <v>29697.6</v>
      </c>
      <c r="E34" s="7">
        <v>138685.6</v>
      </c>
    </row>
    <row r="35" spans="1:5">
      <c r="A35" t="s">
        <v>118</v>
      </c>
      <c r="B35" s="7">
        <v>112625.8</v>
      </c>
      <c r="C35" s="7">
        <v>48687.3</v>
      </c>
      <c r="D35" s="7">
        <v>33759.8</v>
      </c>
      <c r="E35" s="7">
        <v>160296.1</v>
      </c>
    </row>
  </sheetData>
  <mergeCells count="2">
    <mergeCell ref="A11:D13"/>
    <mergeCell ref="A23:D2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44"/>
  <sheetViews>
    <sheetView zoomScale="90" zoomScaleNormal="90" workbookViewId="0"/>
  </sheetViews>
  <sheetFormatPr defaultRowHeight="15"/>
  <cols>
    <col min="1" max="1" width="100.7109375" customWidth="1"/>
  </cols>
  <sheetData>
    <row r="1" spans="1:1">
      <c r="A1" s="1" t="s">
        <v>119</v>
      </c>
    </row>
    <row r="3" spans="1:1">
      <c r="A3" s="3" t="s">
        <v>120</v>
      </c>
    </row>
    <row r="4" spans="1:1">
      <c r="A4" s="32" t="s">
        <v>121</v>
      </c>
    </row>
    <row r="5" spans="1:1">
      <c r="A5" s="32"/>
    </row>
    <row r="6" spans="1:1">
      <c r="A6" s="32"/>
    </row>
    <row r="7" spans="1:1">
      <c r="A7" s="32"/>
    </row>
    <row r="8" spans="1:1">
      <c r="A8" s="32"/>
    </row>
    <row r="10" spans="1:1">
      <c r="A10" s="3" t="s">
        <v>122</v>
      </c>
    </row>
    <row r="11" spans="1:1">
      <c r="A11" s="32" t="s">
        <v>107</v>
      </c>
    </row>
    <row r="12" spans="1:1">
      <c r="A12" s="32"/>
    </row>
    <row r="13" spans="1:1">
      <c r="A13" s="32"/>
    </row>
    <row r="14" spans="1:1">
      <c r="A14" s="32"/>
    </row>
    <row r="15" spans="1:1">
      <c r="A15" s="32" t="s">
        <v>123</v>
      </c>
    </row>
    <row r="16" spans="1:1">
      <c r="A16" s="32"/>
    </row>
    <row r="17" spans="1:1">
      <c r="A17" s="32"/>
    </row>
    <row r="19" spans="1:1">
      <c r="A19" s="3" t="s">
        <v>124</v>
      </c>
    </row>
    <row r="20" spans="1:1">
      <c r="A20" s="32" t="s">
        <v>125</v>
      </c>
    </row>
    <row r="21" spans="1:1">
      <c r="A21" s="32"/>
    </row>
    <row r="22" spans="1:1">
      <c r="A22" s="32"/>
    </row>
    <row r="23" spans="1:1">
      <c r="A23" s="32"/>
    </row>
    <row r="25" spans="1:1">
      <c r="A25" s="3" t="s">
        <v>126</v>
      </c>
    </row>
    <row r="26" spans="1:1">
      <c r="A26" s="32" t="s">
        <v>127</v>
      </c>
    </row>
    <row r="27" spans="1:1">
      <c r="A27" s="32"/>
    </row>
    <row r="28" spans="1:1">
      <c r="A28" s="32"/>
    </row>
    <row r="29" spans="1:1">
      <c r="A29" s="32"/>
    </row>
    <row r="31" spans="1:1">
      <c r="A31" s="3" t="s">
        <v>128</v>
      </c>
    </row>
    <row r="32" spans="1:1">
      <c r="A32" s="32" t="s">
        <v>129</v>
      </c>
    </row>
    <row r="33" spans="1:1">
      <c r="A33" s="32"/>
    </row>
    <row r="34" spans="1:1">
      <c r="A34" s="32"/>
    </row>
    <row r="35" spans="1:1">
      <c r="A35" s="32"/>
    </row>
    <row r="37" spans="1:1">
      <c r="A37" s="3" t="s">
        <v>130</v>
      </c>
    </row>
    <row r="38" spans="1:1">
      <c r="A38" s="32" t="s">
        <v>131</v>
      </c>
    </row>
    <row r="39" spans="1:1">
      <c r="A39" s="32"/>
    </row>
    <row r="40" spans="1:1">
      <c r="A40" s="32"/>
    </row>
    <row r="41" spans="1:1">
      <c r="A41" s="32"/>
    </row>
    <row r="42" spans="1:1">
      <c r="A42" s="32"/>
    </row>
    <row r="43" spans="1:1">
      <c r="A43" s="32"/>
    </row>
    <row r="44" spans="1:1">
      <c r="A44" s="32"/>
    </row>
  </sheetData>
  <mergeCells count="7">
    <mergeCell ref="A4:A8"/>
    <mergeCell ref="A11:A14"/>
    <mergeCell ref="A15:A17"/>
    <mergeCell ref="A20:A23"/>
    <mergeCell ref="A26:A29"/>
    <mergeCell ref="A32:A35"/>
    <mergeCell ref="A38:A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DCF Model</vt:lpstr>
      <vt:lpstr>Sensitivity</vt:lpstr>
      <vt:lpstr>Historical Data</vt:lpstr>
      <vt:lpstr>Notes &amp; Philosophy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2026-06-25T06:26:02Z</dcterms:created>
  <dcterms:modified xsi:type="dcterms:W3CDTF">2026-06-25T06:26:02Z</dcterms:modified>
</cp:coreProperties>
</file>