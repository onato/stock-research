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Historical &amp; Assumptions" sheetId="3" r:id="rId3"/>
    <sheet name="Instructions" sheetId="4" r:id="rId4"/>
  </sheets>
  <calcPr calcId="124519" fullCalcOnLoad="1"/>
</workbook>
</file>

<file path=xl/sharedStrings.xml><?xml version="1.0" encoding="utf-8"?>
<sst xmlns="http://schemas.openxmlformats.org/spreadsheetml/2006/main" count="144" uniqueCount="122">
  <si>
    <t>UBER DCF Valuation Model</t>
  </si>
  <si>
    <t>Gray cells are INPUTS - adjust to see valuation change</t>
  </si>
  <si>
    <t>KEY INPUTS</t>
  </si>
  <si>
    <t>Current Stock Price</t>
  </si>
  <si>
    <t>Shares Outstanding (M)</t>
  </si>
  <si>
    <t>Cash &amp; Equivalents (M)</t>
  </si>
  <si>
    <t>Total Debt (M)</t>
  </si>
  <si>
    <t>Net Debt (M)</t>
  </si>
  <si>
    <t>Base Year FCF (M)</t>
  </si>
  <si>
    <t>WACC</t>
  </si>
  <si>
    <t>Terminal Growth Rate</t>
  </si>
  <si>
    <t>GROWTH ASSUMPTIONS</t>
  </si>
  <si>
    <t>FCF Growth Rate</t>
  </si>
  <si>
    <t>Year 1</t>
  </si>
  <si>
    <t>Year 2</t>
  </si>
  <si>
    <t>Year 3</t>
  </si>
  <si>
    <t>Year 4</t>
  </si>
  <si>
    <t>Year 5</t>
  </si>
  <si>
    <t>PROJECTIONS</t>
  </si>
  <si>
    <t>Base</t>
  </si>
  <si>
    <t>Free Cash Flow</t>
  </si>
  <si>
    <t>Discount Factor</t>
  </si>
  <si>
    <t>PV of FCF</t>
  </si>
  <si>
    <t>VALUATION</t>
  </si>
  <si>
    <t>Sum of PV of FCF</t>
  </si>
  <si>
    <t>Terminal FCF (Year 5 * (1+g))</t>
  </si>
  <si>
    <t>Terminal Value</t>
  </si>
  <si>
    <t>PV of Terminal Value</t>
  </si>
  <si>
    <t>Enterprise Value</t>
  </si>
  <si>
    <t>Less: Net Debt</t>
  </si>
  <si>
    <t>Equity Value</t>
  </si>
  <si>
    <t>INTRINSIC VALUE/SHARE</t>
  </si>
  <si>
    <t>ENTRY PRICE (15% CAGR Target)</t>
  </si>
  <si>
    <t>Terminal Value per Share</t>
  </si>
  <si>
    <t>Entry Price (15% CAGR)</t>
  </si>
  <si>
    <t>Upside to IV</t>
  </si>
  <si>
    <t>Discount to Entry Price</t>
  </si>
  <si>
    <t>SCENARIO COMPARISON</t>
  </si>
  <si>
    <t>Bear</t>
  </si>
  <si>
    <t>Bull</t>
  </si>
  <si>
    <t>Intrinsic Value</t>
  </si>
  <si>
    <t>Upside</t>
  </si>
  <si>
    <t>Probability Weighted IV</t>
  </si>
  <si>
    <t>Weighted Upside</t>
  </si>
  <si>
    <t>Sensitivity Analysis</t>
  </si>
  <si>
    <t>Intrinsic Value by WACC &amp; Terminal Growth</t>
  </si>
  <si>
    <t>WACC \ Term G</t>
  </si>
  <si>
    <t>Base Case (WACC=10%, Term=3%) shown in DCF Model sheet</t>
  </si>
  <si>
    <t>Historical Growth Rates</t>
  </si>
  <si>
    <t>Metric</t>
  </si>
  <si>
    <t>3-Year CAGR</t>
  </si>
  <si>
    <t>4-Year CAGR</t>
  </si>
  <si>
    <t>Notes</t>
  </si>
  <si>
    <t>Revenue</t>
  </si>
  <si>
    <t>Strong growth</t>
  </si>
  <si>
    <t>EPS</t>
  </si>
  <si>
    <t>N/A</t>
  </si>
  <si>
    <t>Recently profitable (2023-24)</t>
  </si>
  <si>
    <t>Equity</t>
  </si>
  <si>
    <t>1-year only</t>
  </si>
  <si>
    <t>FCF</t>
  </si>
  <si>
    <t>FY2024 first full year</t>
  </si>
  <si>
    <t>Selected Growth Rate:</t>
  </si>
  <si>
    <t>Source:</t>
  </si>
  <si>
    <t>revenue_3yr_cagr</t>
  </si>
  <si>
    <t>Warning:</t>
  </si>
  <si>
    <t>Uber recently turned profitable (2023-2024). Limited FCF/EPS history. Revenue growth most reliable metric.</t>
  </si>
  <si>
    <t>Scenario Assumptions</t>
  </si>
  <si>
    <t>BASE CASE</t>
  </si>
  <si>
    <t>Growth Rates (Y1-Y5):</t>
  </si>
  <si>
    <t>28%, 24%, 20%, 16%, 12%</t>
  </si>
  <si>
    <t>WACC:</t>
  </si>
  <si>
    <t>Terminal Growth:</t>
  </si>
  <si>
    <t>Rationale:</t>
  </si>
  <si>
    <t>Moderate deceleration from 36% historical; improving FCF margins as scale increases</t>
  </si>
  <si>
    <t>BULL CASE</t>
  </si>
  <si>
    <t>35%, 30%, 26%, 22%, 18%</t>
  </si>
  <si>
    <t>Strong market share gains in mobility &amp; delivery; autonomous vehicle success; international expansion</t>
  </si>
  <si>
    <t>BEAR CASE</t>
  </si>
  <si>
    <t>20%, 16%, 12%, 10%, 8%</t>
  </si>
  <si>
    <t>Intense competition; regulatory headwinds; margin pressure from driver incentives; macro slowdown</t>
  </si>
  <si>
    <t>UBER DCF Model - User Guide</t>
  </si>
  <si>
    <t>How to Use This Model:</t>
  </si>
  <si>
    <t>1. INTERACTIVE INPUTS (DCF Model sheet):</t>
  </si>
  <si>
    <t xml:space="preserve">   - All GRAY cells are inputs you can modify</t>
  </si>
  <si>
    <t xml:space="preserve">   - Change current stock price, shares outstanding, debt, cash, base FCF</t>
  </si>
  <si>
    <t xml:space="preserve">   - Adjust WACC and terminal growth rate</t>
  </si>
  <si>
    <t xml:space="preserve">   - Modify year 1-5 growth rate assumptions</t>
  </si>
  <si>
    <t xml:space="preserve">   - All calculations update automatically via formulas</t>
  </si>
  <si>
    <t>2. KEY OUTPUTS:</t>
  </si>
  <si>
    <t xml:space="preserve">   - Intrinsic Value per Share (green cell)</t>
  </si>
  <si>
    <t xml:space="preserve">   - Entry Price for 15% CAGR target</t>
  </si>
  <si>
    <t xml:space="preserve">   - Upside/Downside percentages</t>
  </si>
  <si>
    <t xml:space="preserve">   - Scenario comparison (Bear/Base/Bull)</t>
  </si>
  <si>
    <t>3. SENSITIVITY ANALYSIS (Sensitivity sheet):</t>
  </si>
  <si>
    <t xml:space="preserve">   - Shows intrinsic value across different WACC and terminal growth combinations</t>
  </si>
  <si>
    <t xml:space="preserve">   - Helps understand valuation sensitivity to key assumptions</t>
  </si>
  <si>
    <t xml:space="preserve">   - Linked to DCF Model inputs - updates automatically</t>
  </si>
  <si>
    <t>4. HISTORICAL DATA (Historical &amp; Assumptions sheet):</t>
  </si>
  <si>
    <t xml:space="preserve">   - Historical growth rates used to inform projections</t>
  </si>
  <si>
    <t xml:space="preserve">   - Detailed rationale for each scenario (Base/Bull/Bear)</t>
  </si>
  <si>
    <t xml:space="preserve">   - Important context about Uber's recent profitability</t>
  </si>
  <si>
    <t>5. KEY ASSUMPTIONS:</t>
  </si>
  <si>
    <t xml:space="preserve">   - Uber recently turned profitable (2023-2024)</t>
  </si>
  <si>
    <t xml:space="preserve">   - Limited FCF history - using revenue growth as anchor</t>
  </si>
  <si>
    <t xml:space="preserve">   - Base case assumes deceleration from 36% historical to 28-12% over 5 years</t>
  </si>
  <si>
    <t xml:space="preserve">   - Bull case: sustained high growth with market share gains</t>
  </si>
  <si>
    <t xml:space="preserve">   - Bear case: rapid deceleration due to competition/regulation</t>
  </si>
  <si>
    <t>6. IMPORTANT NOTES:</t>
  </si>
  <si>
    <t xml:space="preserve">   - All values in millions USD except per-share metrics</t>
  </si>
  <si>
    <t xml:space="preserve">   - FCF projections based on FY2024 baseline of $3,732M</t>
  </si>
  <si>
    <t xml:space="preserve">   - Net Debt = Total Debt - Cash &amp; Equivalents</t>
  </si>
  <si>
    <t xml:space="preserve">   - Terminal value uses perpetuity growth model</t>
  </si>
  <si>
    <t>7. VALUATION CONTEXT (as of Jan 2026):</t>
  </si>
  <si>
    <t xml:space="preserve">   - Current Price: $68.50</t>
  </si>
  <si>
    <t xml:space="preserve">   - Base Case IV: $49.17 (-28.2%)</t>
  </si>
  <si>
    <t xml:space="preserve">   - Probability Weighted IV: $51.71</t>
  </si>
  <si>
    <t xml:space="preserve">   - Entry Price (15% CAGR): $30.85</t>
  </si>
  <si>
    <t>8. SCENARIO PROBABILITIES:</t>
  </si>
  <si>
    <t xml:space="preserve">   - Bull: 25% weight</t>
  </si>
  <si>
    <t xml:space="preserve">   - Base: 50% weight</t>
  </si>
  <si>
    <t xml:space="preserve">   - Bear: 25% weight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</si>
</sst>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FDCB6E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0" fontId="5" fillId="0" borderId="0" xfId="0" applyFont="1"/>
    <xf numFmtId="166" fontId="4" fillId="4" borderId="2" xfId="0" applyNumberFormat="1" applyFont="1" applyFill="1" applyBorder="1"/>
    <xf numFmtId="166" fontId="0" fillId="0" borderId="2" xfId="0" applyNumberFormat="1" applyBorder="1"/>
    <xf numFmtId="165" fontId="4" fillId="4" borderId="2" xfId="0" applyNumberFormat="1" applyFont="1" applyFill="1" applyBorder="1"/>
    <xf numFmtId="165" fontId="0" fillId="0" borderId="2" xfId="0" applyNumberFormat="1" applyBorder="1"/>
    <xf numFmtId="165" fontId="4" fillId="3" borderId="0" xfId="0" applyNumberFormat="1" applyFont="1" applyFill="1"/>
    <xf numFmtId="0" fontId="0" fillId="5" borderId="2" xfId="0" applyFill="1" applyBorder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47"/>
  <sheetViews>
    <sheetView tabSelected="1" workbookViewId="0"/>
  </sheetViews>
  <sheetFormatPr defaultRowHeight="15"/>
  <cols>
    <col min="1" max="1" width="28.7109375" customWidth="1"/>
    <col min="2" max="8" width="14.7109375" customWidth="1"/>
  </cols>
  <sheetData>
    <row r="1" spans="1:6">
      <c r="A1" s="1" t="s">
        <v>0</v>
      </c>
    </row>
    <row r="2" spans="1:6">
      <c r="A2" s="2" t="s">
        <v>1</v>
      </c>
    </row>
    <row r="4" spans="1:6">
      <c r="A4" s="3" t="s">
        <v>2</v>
      </c>
    </row>
    <row r="5" spans="1:6">
      <c r="A5" t="s">
        <v>3</v>
      </c>
      <c r="B5" s="4">
        <v>68.5</v>
      </c>
    </row>
    <row r="6" spans="1:6">
      <c r="A6" t="s">
        <v>4</v>
      </c>
      <c r="B6" s="4">
        <v>2190</v>
      </c>
    </row>
    <row r="7" spans="1:6">
      <c r="A7" t="s">
        <v>5</v>
      </c>
      <c r="B7" s="4">
        <v>6379</v>
      </c>
    </row>
    <row r="8" spans="1:6">
      <c r="A8" t="s">
        <v>6</v>
      </c>
      <c r="B8" s="4">
        <v>9010</v>
      </c>
    </row>
    <row r="9" spans="1:6">
      <c r="A9" t="s">
        <v>7</v>
      </c>
      <c r="B9" s="5">
        <f>B8-B7</f>
        <v>0</v>
      </c>
    </row>
    <row r="10" spans="1:6">
      <c r="A10" t="s">
        <v>8</v>
      </c>
      <c r="B10" s="4">
        <v>3732</v>
      </c>
    </row>
    <row r="12" spans="1:6">
      <c r="A12" t="s">
        <v>9</v>
      </c>
      <c r="B12" s="6">
        <v>0.1</v>
      </c>
    </row>
    <row r="13" spans="1:6">
      <c r="A13" t="s">
        <v>10</v>
      </c>
      <c r="B13" s="6">
        <v>0.03</v>
      </c>
    </row>
    <row r="15" spans="1:6">
      <c r="A15" s="3" t="s">
        <v>11</v>
      </c>
      <c r="B15" s="7" t="s">
        <v>13</v>
      </c>
      <c r="C15" s="7" t="s">
        <v>14</v>
      </c>
      <c r="D15" s="7" t="s">
        <v>15</v>
      </c>
      <c r="E15" s="7" t="s">
        <v>16</v>
      </c>
      <c r="F15" s="7" t="s">
        <v>17</v>
      </c>
    </row>
    <row r="16" spans="1:6">
      <c r="A16" t="s">
        <v>12</v>
      </c>
      <c r="B16" s="6">
        <v>0.28</v>
      </c>
      <c r="C16" s="6">
        <v>0.24</v>
      </c>
      <c r="D16" s="6">
        <v>0.2</v>
      </c>
      <c r="E16" s="6">
        <v>0.16</v>
      </c>
      <c r="F16" s="6">
        <v>0.12</v>
      </c>
    </row>
    <row r="18" spans="1:7">
      <c r="A18" s="3" t="s">
        <v>18</v>
      </c>
    </row>
    <row r="19" spans="1:7">
      <c r="A19" s="7"/>
      <c r="B19" s="7" t="s">
        <v>19</v>
      </c>
      <c r="C19" s="7" t="s">
        <v>13</v>
      </c>
      <c r="D19" s="7" t="s">
        <v>14</v>
      </c>
      <c r="E19" s="7" t="s">
        <v>15</v>
      </c>
      <c r="F19" s="7" t="s">
        <v>16</v>
      </c>
      <c r="G19" s="7" t="s">
        <v>17</v>
      </c>
    </row>
    <row r="20" spans="1:7">
      <c r="A20" t="s">
        <v>20</v>
      </c>
      <c r="B20" s="5">
        <f>B10</f>
        <v>0</v>
      </c>
      <c r="C20" s="5">
        <f>B20*(1+B16)</f>
        <v>0</v>
      </c>
      <c r="D20" s="5">
        <f>C20*(1+C16)</f>
        <v>0</v>
      </c>
      <c r="E20" s="5">
        <f>D20*(1+D16)</f>
        <v>0</v>
      </c>
      <c r="F20" s="5">
        <f>E20*(1+E16)</f>
        <v>0</v>
      </c>
      <c r="G20" s="5">
        <f>F20*(1+F16)</f>
        <v>0</v>
      </c>
    </row>
    <row r="21" spans="1:7">
      <c r="A21" t="s">
        <v>21</v>
      </c>
      <c r="C21" s="5">
        <f>1/(1+$B$12)^1</f>
        <v>0</v>
      </c>
      <c r="D21" s="5">
        <f>1/(1+$B$12)^2</f>
        <v>0</v>
      </c>
      <c r="E21" s="5">
        <f>1/(1+$B$12)^3</f>
        <v>0</v>
      </c>
      <c r="F21" s="5">
        <f>1/(1+$B$12)^4</f>
        <v>0</v>
      </c>
      <c r="G21" s="5">
        <f>1/(1+$B$12)^5</f>
        <v>0</v>
      </c>
    </row>
    <row r="22" spans="1:7">
      <c r="A22" t="s">
        <v>22</v>
      </c>
      <c r="C22" s="5">
        <f>C20*C21</f>
        <v>0</v>
      </c>
      <c r="D22" s="5">
        <f>D20*D21</f>
        <v>0</v>
      </c>
      <c r="E22" s="5">
        <f>E20*E21</f>
        <v>0</v>
      </c>
      <c r="F22" s="5">
        <f>F20*F21</f>
        <v>0</v>
      </c>
      <c r="G22" s="5">
        <f>G20*G21</f>
        <v>0</v>
      </c>
    </row>
    <row r="24" spans="1:7">
      <c r="A24" s="3" t="s">
        <v>23</v>
      </c>
    </row>
    <row r="25" spans="1:7">
      <c r="A25" t="s">
        <v>24</v>
      </c>
      <c r="B25" s="5">
        <f>SUM(C22:G22)</f>
        <v>0</v>
      </c>
    </row>
    <row r="26" spans="1:7">
      <c r="A26" t="s">
        <v>25</v>
      </c>
      <c r="B26" s="5">
        <f>G20*(1+$B$13)</f>
        <v>0</v>
      </c>
    </row>
    <row r="27" spans="1:7">
      <c r="A27" t="s">
        <v>26</v>
      </c>
      <c r="B27" s="5">
        <f>B26/($B$12-$B$13)</f>
        <v>0</v>
      </c>
    </row>
    <row r="28" spans="1:7">
      <c r="A28" t="s">
        <v>27</v>
      </c>
      <c r="B28" s="5">
        <f>B27*G21</f>
        <v>0</v>
      </c>
    </row>
    <row r="29" spans="1:7">
      <c r="A29" t="s">
        <v>28</v>
      </c>
      <c r="B29" s="5">
        <f>B25+B28</f>
        <v>0</v>
      </c>
    </row>
    <row r="30" spans="1:7">
      <c r="A30" t="s">
        <v>29</v>
      </c>
      <c r="B30" s="5">
        <f>B9</f>
        <v>0</v>
      </c>
    </row>
    <row r="31" spans="1:7">
      <c r="A31" t="s">
        <v>30</v>
      </c>
      <c r="B31" s="5">
        <f>B29-B30</f>
        <v>0</v>
      </c>
    </row>
    <row r="32" spans="1:7">
      <c r="A32" s="8" t="s">
        <v>31</v>
      </c>
      <c r="B32" s="9">
        <f>B31/B6</f>
        <v>0</v>
      </c>
    </row>
    <row r="34" spans="1:4">
      <c r="A34" s="3" t="s">
        <v>32</v>
      </c>
    </row>
    <row r="35" spans="1:4">
      <c r="A35" t="s">
        <v>33</v>
      </c>
      <c r="B35" s="10">
        <f>B27/B6</f>
        <v>0</v>
      </c>
    </row>
    <row r="36" spans="1:4">
      <c r="A36" t="s">
        <v>34</v>
      </c>
      <c r="B36" s="9">
        <f>B35/(1.15^5)</f>
        <v>0</v>
      </c>
    </row>
    <row r="38" spans="1:4">
      <c r="A38" t="s">
        <v>35</v>
      </c>
      <c r="B38" s="11">
        <f>(B32-B5)/B5</f>
        <v>0</v>
      </c>
    </row>
    <row r="39" spans="1:4">
      <c r="A39" t="s">
        <v>36</v>
      </c>
      <c r="B39" s="12">
        <f>(B5-B36)/B5</f>
        <v>0</v>
      </c>
    </row>
    <row r="41" spans="1:4">
      <c r="A41" s="3" t="s">
        <v>37</v>
      </c>
    </row>
    <row r="42" spans="1:4">
      <c r="A42" s="7"/>
      <c r="B42" s="7" t="s">
        <v>38</v>
      </c>
      <c r="C42" s="7" t="s">
        <v>19</v>
      </c>
      <c r="D42" s="7" t="s">
        <v>39</v>
      </c>
    </row>
    <row r="43" spans="1:4">
      <c r="A43" t="s">
        <v>40</v>
      </c>
      <c r="B43" s="10">
        <v>29.04</v>
      </c>
      <c r="C43" s="10">
        <f>B32</f>
        <v>0</v>
      </c>
      <c r="D43" s="10">
        <v>79.45999999999999</v>
      </c>
    </row>
    <row r="44" spans="1:4">
      <c r="A44" t="s">
        <v>41</v>
      </c>
      <c r="B44" s="12">
        <v>-0.5760000000000001</v>
      </c>
      <c r="C44" s="12">
        <f>B38</f>
        <v>0</v>
      </c>
      <c r="D44" s="12">
        <v>0.16</v>
      </c>
    </row>
    <row r="46" spans="1:4">
      <c r="A46" t="s">
        <v>42</v>
      </c>
      <c r="B46" s="9">
        <f>B43*0.25+C43*0.50+D43*0.25</f>
        <v>0</v>
      </c>
    </row>
    <row r="47" spans="1:4">
      <c r="A47" t="s">
        <v>43</v>
      </c>
      <c r="B47" s="11">
        <f>(B46-B5)/B5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44</v>
      </c>
    </row>
    <row r="2" spans="1:6">
      <c r="A2" t="s">
        <v>45</v>
      </c>
    </row>
    <row r="4" spans="1:6">
      <c r="A4" s="7" t="s">
        <v>46</v>
      </c>
      <c r="B4" s="13">
        <v>0.02</v>
      </c>
      <c r="C4" s="13">
        <v>0.025</v>
      </c>
      <c r="D4" s="13">
        <v>0.03</v>
      </c>
      <c r="E4" s="13">
        <v>0.035</v>
      </c>
      <c r="F4" s="13">
        <v>0.04</v>
      </c>
    </row>
    <row r="5" spans="1:6">
      <c r="A5" s="13">
        <v>0.08</v>
      </c>
      <c r="B5" s="10">
        <f>(('DCF Model'!$B$10*(1+'DCF Model'!$B$16)/(1+0.08)
        +'DCF Model'!$B$10*(1+'DCF Model'!$B$16)*(1+'DCF Model'!$C$16)/(1+0.08)^2
        +'DCF Model'!$B$10*(1+'DCF Model'!$B$16)*(1+'DCF Model'!$C$16)*(1+'DCF Model'!$D$16)/(1+0.08)^3
        +'DCF Model'!$B$10*(1+'DCF Model'!$B$16)*(1+'DCF Model'!$C$16)*(1+'DCF Model'!$D$16)*(1+'DCF Model'!$E$16)/(1+0.08)^4
        +'DCF Model'!$B$10*(1+'DCF Model'!$B$16)*(1+'DCF Model'!$C$16)*(1+'DCF Model'!$D$16)*(1+'DCF Model'!$E$16)*(1+'DCF Model'!$F$16)/(1+0.08)^5
        +('DCF Model'!$B$10*(1+'DCF Model'!$B$16)*(1+'DCF Model'!$C$16)*(1+'DCF Model'!$D$16)*(1+'DCF Model'!$E$16)*(1+'DCF Model'!$F$16)*(1+0.02)
        /(0.08-0.02))/(1+0.08)^5)-'DCF Model'!$B$9)/'DCF Model'!$B$6</f>
        <v>0</v>
      </c>
      <c r="C5" s="10">
        <f>(('DCF Model'!$B$10*(1+'DCF Model'!$B$16)/(1+0.08)
        +'DCF Model'!$B$10*(1+'DCF Model'!$B$16)*(1+'DCF Model'!$C$16)/(1+0.08)^2
        +'DCF Model'!$B$10*(1+'DCF Model'!$B$16)*(1+'DCF Model'!$C$16)*(1+'DCF Model'!$D$16)/(1+0.08)^3
        +'DCF Model'!$B$10*(1+'DCF Model'!$B$16)*(1+'DCF Model'!$C$16)*(1+'DCF Model'!$D$16)*(1+'DCF Model'!$E$16)/(1+0.08)^4
        +'DCF Model'!$B$10*(1+'DCF Model'!$B$16)*(1+'DCF Model'!$C$16)*(1+'DCF Model'!$D$16)*(1+'DCF Model'!$E$16)*(1+'DCF Model'!$F$16)/(1+0.08)^5
        +('DCF Model'!$B$10*(1+'DCF Model'!$B$16)*(1+'DCF Model'!$C$16)*(1+'DCF Model'!$D$16)*(1+'DCF Model'!$E$16)*(1+'DCF Model'!$F$16)*(1+0.025)
        /(0.08-0.025))/(1+0.08)^5)-'DCF Model'!$B$9)/'DCF Model'!$B$6</f>
        <v>0</v>
      </c>
      <c r="D5" s="10">
        <f>(('DCF Model'!$B$10*(1+'DCF Model'!$B$16)/(1+0.08)
        +'DCF Model'!$B$10*(1+'DCF Model'!$B$16)*(1+'DCF Model'!$C$16)/(1+0.08)^2
        +'DCF Model'!$B$10*(1+'DCF Model'!$B$16)*(1+'DCF Model'!$C$16)*(1+'DCF Model'!$D$16)/(1+0.08)^3
        +'DCF Model'!$B$10*(1+'DCF Model'!$B$16)*(1+'DCF Model'!$C$16)*(1+'DCF Model'!$D$16)*(1+'DCF Model'!$E$16)/(1+0.08)^4
        +'DCF Model'!$B$10*(1+'DCF Model'!$B$16)*(1+'DCF Model'!$C$16)*(1+'DCF Model'!$D$16)*(1+'DCF Model'!$E$16)*(1+'DCF Model'!$F$16)/(1+0.08)^5
        +('DCF Model'!$B$10*(1+'DCF Model'!$B$16)*(1+'DCF Model'!$C$16)*(1+'DCF Model'!$D$16)*(1+'DCF Model'!$E$16)*(1+'DCF Model'!$F$16)*(1+0.03)
        /(0.08-0.03))/(1+0.08)^5)-'DCF Model'!$B$9)/'DCF Model'!$B$6</f>
        <v>0</v>
      </c>
      <c r="E5" s="10">
        <f>(('DCF Model'!$B$10*(1+'DCF Model'!$B$16)/(1+0.08)
        +'DCF Model'!$B$10*(1+'DCF Model'!$B$16)*(1+'DCF Model'!$C$16)/(1+0.08)^2
        +'DCF Model'!$B$10*(1+'DCF Model'!$B$16)*(1+'DCF Model'!$C$16)*(1+'DCF Model'!$D$16)/(1+0.08)^3
        +'DCF Model'!$B$10*(1+'DCF Model'!$B$16)*(1+'DCF Model'!$C$16)*(1+'DCF Model'!$D$16)*(1+'DCF Model'!$E$16)/(1+0.08)^4
        +'DCF Model'!$B$10*(1+'DCF Model'!$B$16)*(1+'DCF Model'!$C$16)*(1+'DCF Model'!$D$16)*(1+'DCF Model'!$E$16)*(1+'DCF Model'!$F$16)/(1+0.08)^5
        +('DCF Model'!$B$10*(1+'DCF Model'!$B$16)*(1+'DCF Model'!$C$16)*(1+'DCF Model'!$D$16)*(1+'DCF Model'!$E$16)*(1+'DCF Model'!$F$16)*(1+0.035)
        /(0.08-0.035))/(1+0.08)^5)-'DCF Model'!$B$9)/'DCF Model'!$B$6</f>
        <v>0</v>
      </c>
      <c r="F5" s="10">
        <f>(('DCF Model'!$B$10*(1+'DCF Model'!$B$16)/(1+0.08)
        +'DCF Model'!$B$10*(1+'DCF Model'!$B$16)*(1+'DCF Model'!$C$16)/(1+0.08)^2
        +'DCF Model'!$B$10*(1+'DCF Model'!$B$16)*(1+'DCF Model'!$C$16)*(1+'DCF Model'!$D$16)/(1+0.08)^3
        +'DCF Model'!$B$10*(1+'DCF Model'!$B$16)*(1+'DCF Model'!$C$16)*(1+'DCF Model'!$D$16)*(1+'DCF Model'!$E$16)/(1+0.08)^4
        +'DCF Model'!$B$10*(1+'DCF Model'!$B$16)*(1+'DCF Model'!$C$16)*(1+'DCF Model'!$D$16)*(1+'DCF Model'!$E$16)*(1+'DCF Model'!$F$16)/(1+0.08)^5
        +('DCF Model'!$B$10*(1+'DCF Model'!$B$16)*(1+'DCF Model'!$C$16)*(1+'DCF Model'!$D$16)*(1+'DCF Model'!$E$16)*(1+'DCF Model'!$F$16)*(1+0.04)
        /(0.08-0.04))/(1+0.08)^5)-'DCF Model'!$B$9)/'DCF Model'!$B$6</f>
        <v>0</v>
      </c>
    </row>
    <row r="6" spans="1:6">
      <c r="A6" s="13">
        <v>0.09</v>
      </c>
      <c r="B6" s="10">
        <f>(('DCF Model'!$B$10*(1+'DCF Model'!$B$16)/(1+0.09)
        +'DCF Model'!$B$10*(1+'DCF Model'!$B$16)*(1+'DCF Model'!$C$16)/(1+0.09)^2
        +'DCF Model'!$B$10*(1+'DCF Model'!$B$16)*(1+'DCF Model'!$C$16)*(1+'DCF Model'!$D$16)/(1+0.09)^3
        +'DCF Model'!$B$10*(1+'DCF Model'!$B$16)*(1+'DCF Model'!$C$16)*(1+'DCF Model'!$D$16)*(1+'DCF Model'!$E$16)/(1+0.09)^4
        +'DCF Model'!$B$10*(1+'DCF Model'!$B$16)*(1+'DCF Model'!$C$16)*(1+'DCF Model'!$D$16)*(1+'DCF Model'!$E$16)*(1+'DCF Model'!$F$16)/(1+0.09)^5
        +('DCF Model'!$B$10*(1+'DCF Model'!$B$16)*(1+'DCF Model'!$C$16)*(1+'DCF Model'!$D$16)*(1+'DCF Model'!$E$16)*(1+'DCF Model'!$F$16)*(1+0.02)
        /(0.09-0.02))/(1+0.09)^5)-'DCF Model'!$B$9)/'DCF Model'!$B$6</f>
        <v>0</v>
      </c>
      <c r="C6" s="10">
        <f>(('DCF Model'!$B$10*(1+'DCF Model'!$B$16)/(1+0.09)
        +'DCF Model'!$B$10*(1+'DCF Model'!$B$16)*(1+'DCF Model'!$C$16)/(1+0.09)^2
        +'DCF Model'!$B$10*(1+'DCF Model'!$B$16)*(1+'DCF Model'!$C$16)*(1+'DCF Model'!$D$16)/(1+0.09)^3
        +'DCF Model'!$B$10*(1+'DCF Model'!$B$16)*(1+'DCF Model'!$C$16)*(1+'DCF Model'!$D$16)*(1+'DCF Model'!$E$16)/(1+0.09)^4
        +'DCF Model'!$B$10*(1+'DCF Model'!$B$16)*(1+'DCF Model'!$C$16)*(1+'DCF Model'!$D$16)*(1+'DCF Model'!$E$16)*(1+'DCF Model'!$F$16)/(1+0.09)^5
        +('DCF Model'!$B$10*(1+'DCF Model'!$B$16)*(1+'DCF Model'!$C$16)*(1+'DCF Model'!$D$16)*(1+'DCF Model'!$E$16)*(1+'DCF Model'!$F$16)*(1+0.025)
        /(0.09-0.025))/(1+0.09)^5)-'DCF Model'!$B$9)/'DCF Model'!$B$6</f>
        <v>0</v>
      </c>
      <c r="D6" s="10">
        <f>(('DCF Model'!$B$10*(1+'DCF Model'!$B$16)/(1+0.09)
        +'DCF Model'!$B$10*(1+'DCF Model'!$B$16)*(1+'DCF Model'!$C$16)/(1+0.09)^2
        +'DCF Model'!$B$10*(1+'DCF Model'!$B$16)*(1+'DCF Model'!$C$16)*(1+'DCF Model'!$D$16)/(1+0.09)^3
        +'DCF Model'!$B$10*(1+'DCF Model'!$B$16)*(1+'DCF Model'!$C$16)*(1+'DCF Model'!$D$16)*(1+'DCF Model'!$E$16)/(1+0.09)^4
        +'DCF Model'!$B$10*(1+'DCF Model'!$B$16)*(1+'DCF Model'!$C$16)*(1+'DCF Model'!$D$16)*(1+'DCF Model'!$E$16)*(1+'DCF Model'!$F$16)/(1+0.09)^5
        +('DCF Model'!$B$10*(1+'DCF Model'!$B$16)*(1+'DCF Model'!$C$16)*(1+'DCF Model'!$D$16)*(1+'DCF Model'!$E$16)*(1+'DCF Model'!$F$16)*(1+0.03)
        /(0.09-0.03))/(1+0.09)^5)-'DCF Model'!$B$9)/'DCF Model'!$B$6</f>
        <v>0</v>
      </c>
      <c r="E6" s="10">
        <f>(('DCF Model'!$B$10*(1+'DCF Model'!$B$16)/(1+0.09)
        +'DCF Model'!$B$10*(1+'DCF Model'!$B$16)*(1+'DCF Model'!$C$16)/(1+0.09)^2
        +'DCF Model'!$B$10*(1+'DCF Model'!$B$16)*(1+'DCF Model'!$C$16)*(1+'DCF Model'!$D$16)/(1+0.09)^3
        +'DCF Model'!$B$10*(1+'DCF Model'!$B$16)*(1+'DCF Model'!$C$16)*(1+'DCF Model'!$D$16)*(1+'DCF Model'!$E$16)/(1+0.09)^4
        +'DCF Model'!$B$10*(1+'DCF Model'!$B$16)*(1+'DCF Model'!$C$16)*(1+'DCF Model'!$D$16)*(1+'DCF Model'!$E$16)*(1+'DCF Model'!$F$16)/(1+0.09)^5
        +('DCF Model'!$B$10*(1+'DCF Model'!$B$16)*(1+'DCF Model'!$C$16)*(1+'DCF Model'!$D$16)*(1+'DCF Model'!$E$16)*(1+'DCF Model'!$F$16)*(1+0.035)
        /(0.09-0.035))/(1+0.09)^5)-'DCF Model'!$B$9)/'DCF Model'!$B$6</f>
        <v>0</v>
      </c>
      <c r="F6" s="10">
        <f>(('DCF Model'!$B$10*(1+'DCF Model'!$B$16)/(1+0.09)
        +'DCF Model'!$B$10*(1+'DCF Model'!$B$16)*(1+'DCF Model'!$C$16)/(1+0.09)^2
        +'DCF Model'!$B$10*(1+'DCF Model'!$B$16)*(1+'DCF Model'!$C$16)*(1+'DCF Model'!$D$16)/(1+0.09)^3
        +'DCF Model'!$B$10*(1+'DCF Model'!$B$16)*(1+'DCF Model'!$C$16)*(1+'DCF Model'!$D$16)*(1+'DCF Model'!$E$16)/(1+0.09)^4
        +'DCF Model'!$B$10*(1+'DCF Model'!$B$16)*(1+'DCF Model'!$C$16)*(1+'DCF Model'!$D$16)*(1+'DCF Model'!$E$16)*(1+'DCF Model'!$F$16)/(1+0.09)^5
        +('DCF Model'!$B$10*(1+'DCF Model'!$B$16)*(1+'DCF Model'!$C$16)*(1+'DCF Model'!$D$16)*(1+'DCF Model'!$E$16)*(1+'DCF Model'!$F$16)*(1+0.04)
        /(0.09-0.04))/(1+0.09)^5)-'DCF Model'!$B$9)/'DCF Model'!$B$6</f>
        <v>0</v>
      </c>
    </row>
    <row r="7" spans="1:6">
      <c r="A7" s="13">
        <v>0.1</v>
      </c>
      <c r="B7" s="10">
        <f>(('DCF Model'!$B$10*(1+'DCF Model'!$B$16)/(1+0.1)
        +'DCF Model'!$B$10*(1+'DCF Model'!$B$16)*(1+'DCF Model'!$C$16)/(1+0.1)^2
        +'DCF Model'!$B$10*(1+'DCF Model'!$B$16)*(1+'DCF Model'!$C$16)*(1+'DCF Model'!$D$16)/(1+0.1)^3
        +'DCF Model'!$B$10*(1+'DCF Model'!$B$16)*(1+'DCF Model'!$C$16)*(1+'DCF Model'!$D$16)*(1+'DCF Model'!$E$16)/(1+0.1)^4
        +'DCF Model'!$B$10*(1+'DCF Model'!$B$16)*(1+'DCF Model'!$C$16)*(1+'DCF Model'!$D$16)*(1+'DCF Model'!$E$16)*(1+'DCF Model'!$F$16)/(1+0.1)^5
        +('DCF Model'!$B$10*(1+'DCF Model'!$B$16)*(1+'DCF Model'!$C$16)*(1+'DCF Model'!$D$16)*(1+'DCF Model'!$E$16)*(1+'DCF Model'!$F$16)*(1+0.02)
        /(0.1-0.02))/(1+0.1)^5)-'DCF Model'!$B$9)/'DCF Model'!$B$6</f>
        <v>0</v>
      </c>
      <c r="C7" s="10">
        <f>(('DCF Model'!$B$10*(1+'DCF Model'!$B$16)/(1+0.1)
        +'DCF Model'!$B$10*(1+'DCF Model'!$B$16)*(1+'DCF Model'!$C$16)/(1+0.1)^2
        +'DCF Model'!$B$10*(1+'DCF Model'!$B$16)*(1+'DCF Model'!$C$16)*(1+'DCF Model'!$D$16)/(1+0.1)^3
        +'DCF Model'!$B$10*(1+'DCF Model'!$B$16)*(1+'DCF Model'!$C$16)*(1+'DCF Model'!$D$16)*(1+'DCF Model'!$E$16)/(1+0.1)^4
        +'DCF Model'!$B$10*(1+'DCF Model'!$B$16)*(1+'DCF Model'!$C$16)*(1+'DCF Model'!$D$16)*(1+'DCF Model'!$E$16)*(1+'DCF Model'!$F$16)/(1+0.1)^5
        +('DCF Model'!$B$10*(1+'DCF Model'!$B$16)*(1+'DCF Model'!$C$16)*(1+'DCF Model'!$D$16)*(1+'DCF Model'!$E$16)*(1+'DCF Model'!$F$16)*(1+0.025)
        /(0.1-0.025))/(1+0.1)^5)-'DCF Model'!$B$9)/'DCF Model'!$B$6</f>
        <v>0</v>
      </c>
      <c r="D7" s="10">
        <f>(('DCF Model'!$B$10*(1+'DCF Model'!$B$16)/(1+0.1)
        +'DCF Model'!$B$10*(1+'DCF Model'!$B$16)*(1+'DCF Model'!$C$16)/(1+0.1)^2
        +'DCF Model'!$B$10*(1+'DCF Model'!$B$16)*(1+'DCF Model'!$C$16)*(1+'DCF Model'!$D$16)/(1+0.1)^3
        +'DCF Model'!$B$10*(1+'DCF Model'!$B$16)*(1+'DCF Model'!$C$16)*(1+'DCF Model'!$D$16)*(1+'DCF Model'!$E$16)/(1+0.1)^4
        +'DCF Model'!$B$10*(1+'DCF Model'!$B$16)*(1+'DCF Model'!$C$16)*(1+'DCF Model'!$D$16)*(1+'DCF Model'!$E$16)*(1+'DCF Model'!$F$16)/(1+0.1)^5
        +('DCF Model'!$B$10*(1+'DCF Model'!$B$16)*(1+'DCF Model'!$C$16)*(1+'DCF Model'!$D$16)*(1+'DCF Model'!$E$16)*(1+'DCF Model'!$F$16)*(1+0.03)
        /(0.1-0.03))/(1+0.1)^5)-'DCF Model'!$B$9)/'DCF Model'!$B$6</f>
        <v>0</v>
      </c>
      <c r="E7" s="10">
        <f>(('DCF Model'!$B$10*(1+'DCF Model'!$B$16)/(1+0.1)
        +'DCF Model'!$B$10*(1+'DCF Model'!$B$16)*(1+'DCF Model'!$C$16)/(1+0.1)^2
        +'DCF Model'!$B$10*(1+'DCF Model'!$B$16)*(1+'DCF Model'!$C$16)*(1+'DCF Model'!$D$16)/(1+0.1)^3
        +'DCF Model'!$B$10*(1+'DCF Model'!$B$16)*(1+'DCF Model'!$C$16)*(1+'DCF Model'!$D$16)*(1+'DCF Model'!$E$16)/(1+0.1)^4
        +'DCF Model'!$B$10*(1+'DCF Model'!$B$16)*(1+'DCF Model'!$C$16)*(1+'DCF Model'!$D$16)*(1+'DCF Model'!$E$16)*(1+'DCF Model'!$F$16)/(1+0.1)^5
        +('DCF Model'!$B$10*(1+'DCF Model'!$B$16)*(1+'DCF Model'!$C$16)*(1+'DCF Model'!$D$16)*(1+'DCF Model'!$E$16)*(1+'DCF Model'!$F$16)*(1+0.035)
        /(0.1-0.035))/(1+0.1)^5)-'DCF Model'!$B$9)/'DCF Model'!$B$6</f>
        <v>0</v>
      </c>
      <c r="F7" s="10">
        <f>(('DCF Model'!$B$10*(1+'DCF Model'!$B$16)/(1+0.1)
        +'DCF Model'!$B$10*(1+'DCF Model'!$B$16)*(1+'DCF Model'!$C$16)/(1+0.1)^2
        +'DCF Model'!$B$10*(1+'DCF Model'!$B$16)*(1+'DCF Model'!$C$16)*(1+'DCF Model'!$D$16)/(1+0.1)^3
        +'DCF Model'!$B$10*(1+'DCF Model'!$B$16)*(1+'DCF Model'!$C$16)*(1+'DCF Model'!$D$16)*(1+'DCF Model'!$E$16)/(1+0.1)^4
        +'DCF Model'!$B$10*(1+'DCF Model'!$B$16)*(1+'DCF Model'!$C$16)*(1+'DCF Model'!$D$16)*(1+'DCF Model'!$E$16)*(1+'DCF Model'!$F$16)/(1+0.1)^5
        +('DCF Model'!$B$10*(1+'DCF Model'!$B$16)*(1+'DCF Model'!$C$16)*(1+'DCF Model'!$D$16)*(1+'DCF Model'!$E$16)*(1+'DCF Model'!$F$16)*(1+0.04)
        /(0.1-0.04))/(1+0.1)^5)-'DCF Model'!$B$9)/'DCF Model'!$B$6</f>
        <v>0</v>
      </c>
    </row>
    <row r="8" spans="1:6">
      <c r="A8" s="13">
        <v>0.11</v>
      </c>
      <c r="B8" s="10">
        <f>(('DCF Model'!$B$10*(1+'DCF Model'!$B$16)/(1+0.11)
        +'DCF Model'!$B$10*(1+'DCF Model'!$B$16)*(1+'DCF Model'!$C$16)/(1+0.11)^2
        +'DCF Model'!$B$10*(1+'DCF Model'!$B$16)*(1+'DCF Model'!$C$16)*(1+'DCF Model'!$D$16)/(1+0.11)^3
        +'DCF Model'!$B$10*(1+'DCF Model'!$B$16)*(1+'DCF Model'!$C$16)*(1+'DCF Model'!$D$16)*(1+'DCF Model'!$E$16)/(1+0.11)^4
        +'DCF Model'!$B$10*(1+'DCF Model'!$B$16)*(1+'DCF Model'!$C$16)*(1+'DCF Model'!$D$16)*(1+'DCF Model'!$E$16)*(1+'DCF Model'!$F$16)/(1+0.11)^5
        +('DCF Model'!$B$10*(1+'DCF Model'!$B$16)*(1+'DCF Model'!$C$16)*(1+'DCF Model'!$D$16)*(1+'DCF Model'!$E$16)*(1+'DCF Model'!$F$16)*(1+0.02)
        /(0.11-0.02))/(1+0.11)^5)-'DCF Model'!$B$9)/'DCF Model'!$B$6</f>
        <v>0</v>
      </c>
      <c r="C8" s="10">
        <f>(('DCF Model'!$B$10*(1+'DCF Model'!$B$16)/(1+0.11)
        +'DCF Model'!$B$10*(1+'DCF Model'!$B$16)*(1+'DCF Model'!$C$16)/(1+0.11)^2
        +'DCF Model'!$B$10*(1+'DCF Model'!$B$16)*(1+'DCF Model'!$C$16)*(1+'DCF Model'!$D$16)/(1+0.11)^3
        +'DCF Model'!$B$10*(1+'DCF Model'!$B$16)*(1+'DCF Model'!$C$16)*(1+'DCF Model'!$D$16)*(1+'DCF Model'!$E$16)/(1+0.11)^4
        +'DCF Model'!$B$10*(1+'DCF Model'!$B$16)*(1+'DCF Model'!$C$16)*(1+'DCF Model'!$D$16)*(1+'DCF Model'!$E$16)*(1+'DCF Model'!$F$16)/(1+0.11)^5
        +('DCF Model'!$B$10*(1+'DCF Model'!$B$16)*(1+'DCF Model'!$C$16)*(1+'DCF Model'!$D$16)*(1+'DCF Model'!$E$16)*(1+'DCF Model'!$F$16)*(1+0.025)
        /(0.11-0.025))/(1+0.11)^5)-'DCF Model'!$B$9)/'DCF Model'!$B$6</f>
        <v>0</v>
      </c>
      <c r="D8" s="10">
        <f>(('DCF Model'!$B$10*(1+'DCF Model'!$B$16)/(1+0.11)
        +'DCF Model'!$B$10*(1+'DCF Model'!$B$16)*(1+'DCF Model'!$C$16)/(1+0.11)^2
        +'DCF Model'!$B$10*(1+'DCF Model'!$B$16)*(1+'DCF Model'!$C$16)*(1+'DCF Model'!$D$16)/(1+0.11)^3
        +'DCF Model'!$B$10*(1+'DCF Model'!$B$16)*(1+'DCF Model'!$C$16)*(1+'DCF Model'!$D$16)*(1+'DCF Model'!$E$16)/(1+0.11)^4
        +'DCF Model'!$B$10*(1+'DCF Model'!$B$16)*(1+'DCF Model'!$C$16)*(1+'DCF Model'!$D$16)*(1+'DCF Model'!$E$16)*(1+'DCF Model'!$F$16)/(1+0.11)^5
        +('DCF Model'!$B$10*(1+'DCF Model'!$B$16)*(1+'DCF Model'!$C$16)*(1+'DCF Model'!$D$16)*(1+'DCF Model'!$E$16)*(1+'DCF Model'!$F$16)*(1+0.03)
        /(0.11-0.03))/(1+0.11)^5)-'DCF Model'!$B$9)/'DCF Model'!$B$6</f>
        <v>0</v>
      </c>
      <c r="E8" s="10">
        <f>(('DCF Model'!$B$10*(1+'DCF Model'!$B$16)/(1+0.11)
        +'DCF Model'!$B$10*(1+'DCF Model'!$B$16)*(1+'DCF Model'!$C$16)/(1+0.11)^2
        +'DCF Model'!$B$10*(1+'DCF Model'!$B$16)*(1+'DCF Model'!$C$16)*(1+'DCF Model'!$D$16)/(1+0.11)^3
        +'DCF Model'!$B$10*(1+'DCF Model'!$B$16)*(1+'DCF Model'!$C$16)*(1+'DCF Model'!$D$16)*(1+'DCF Model'!$E$16)/(1+0.11)^4
        +'DCF Model'!$B$10*(1+'DCF Model'!$B$16)*(1+'DCF Model'!$C$16)*(1+'DCF Model'!$D$16)*(1+'DCF Model'!$E$16)*(1+'DCF Model'!$F$16)/(1+0.11)^5
        +('DCF Model'!$B$10*(1+'DCF Model'!$B$16)*(1+'DCF Model'!$C$16)*(1+'DCF Model'!$D$16)*(1+'DCF Model'!$E$16)*(1+'DCF Model'!$F$16)*(1+0.035)
        /(0.11-0.035))/(1+0.11)^5)-'DCF Model'!$B$9)/'DCF Model'!$B$6</f>
        <v>0</v>
      </c>
      <c r="F8" s="10">
        <f>(('DCF Model'!$B$10*(1+'DCF Model'!$B$16)/(1+0.11)
        +'DCF Model'!$B$10*(1+'DCF Model'!$B$16)*(1+'DCF Model'!$C$16)/(1+0.11)^2
        +'DCF Model'!$B$10*(1+'DCF Model'!$B$16)*(1+'DCF Model'!$C$16)*(1+'DCF Model'!$D$16)/(1+0.11)^3
        +'DCF Model'!$B$10*(1+'DCF Model'!$B$16)*(1+'DCF Model'!$C$16)*(1+'DCF Model'!$D$16)*(1+'DCF Model'!$E$16)/(1+0.11)^4
        +'DCF Model'!$B$10*(1+'DCF Model'!$B$16)*(1+'DCF Model'!$C$16)*(1+'DCF Model'!$D$16)*(1+'DCF Model'!$E$16)*(1+'DCF Model'!$F$16)/(1+0.11)^5
        +('DCF Model'!$B$10*(1+'DCF Model'!$B$16)*(1+'DCF Model'!$C$16)*(1+'DCF Model'!$D$16)*(1+'DCF Model'!$E$16)*(1+'DCF Model'!$F$16)*(1+0.04)
        /(0.11-0.04))/(1+0.11)^5)-'DCF Model'!$B$9)/'DCF Model'!$B$6</f>
        <v>0</v>
      </c>
    </row>
    <row r="9" spans="1:6">
      <c r="A9" s="13">
        <v>0.12</v>
      </c>
      <c r="B9" s="10">
        <f>(('DCF Model'!$B$10*(1+'DCF Model'!$B$16)/(1+0.12)
        +'DCF Model'!$B$10*(1+'DCF Model'!$B$16)*(1+'DCF Model'!$C$16)/(1+0.12)^2
        +'DCF Model'!$B$10*(1+'DCF Model'!$B$16)*(1+'DCF Model'!$C$16)*(1+'DCF Model'!$D$16)/(1+0.12)^3
        +'DCF Model'!$B$10*(1+'DCF Model'!$B$16)*(1+'DCF Model'!$C$16)*(1+'DCF Model'!$D$16)*(1+'DCF Model'!$E$16)/(1+0.12)^4
        +'DCF Model'!$B$10*(1+'DCF Model'!$B$16)*(1+'DCF Model'!$C$16)*(1+'DCF Model'!$D$16)*(1+'DCF Model'!$E$16)*(1+'DCF Model'!$F$16)/(1+0.12)^5
        +('DCF Model'!$B$10*(1+'DCF Model'!$B$16)*(1+'DCF Model'!$C$16)*(1+'DCF Model'!$D$16)*(1+'DCF Model'!$E$16)*(1+'DCF Model'!$F$16)*(1+0.02)
        /(0.12-0.02))/(1+0.12)^5)-'DCF Model'!$B$9)/'DCF Model'!$B$6</f>
        <v>0</v>
      </c>
      <c r="C9" s="10">
        <f>(('DCF Model'!$B$10*(1+'DCF Model'!$B$16)/(1+0.12)
        +'DCF Model'!$B$10*(1+'DCF Model'!$B$16)*(1+'DCF Model'!$C$16)/(1+0.12)^2
        +'DCF Model'!$B$10*(1+'DCF Model'!$B$16)*(1+'DCF Model'!$C$16)*(1+'DCF Model'!$D$16)/(1+0.12)^3
        +'DCF Model'!$B$10*(1+'DCF Model'!$B$16)*(1+'DCF Model'!$C$16)*(1+'DCF Model'!$D$16)*(1+'DCF Model'!$E$16)/(1+0.12)^4
        +'DCF Model'!$B$10*(1+'DCF Model'!$B$16)*(1+'DCF Model'!$C$16)*(1+'DCF Model'!$D$16)*(1+'DCF Model'!$E$16)*(1+'DCF Model'!$F$16)/(1+0.12)^5
        +('DCF Model'!$B$10*(1+'DCF Model'!$B$16)*(1+'DCF Model'!$C$16)*(1+'DCF Model'!$D$16)*(1+'DCF Model'!$E$16)*(1+'DCF Model'!$F$16)*(1+0.025)
        /(0.12-0.025))/(1+0.12)^5)-'DCF Model'!$B$9)/'DCF Model'!$B$6</f>
        <v>0</v>
      </c>
      <c r="D9" s="10">
        <f>(('DCF Model'!$B$10*(1+'DCF Model'!$B$16)/(1+0.12)
        +'DCF Model'!$B$10*(1+'DCF Model'!$B$16)*(1+'DCF Model'!$C$16)/(1+0.12)^2
        +'DCF Model'!$B$10*(1+'DCF Model'!$B$16)*(1+'DCF Model'!$C$16)*(1+'DCF Model'!$D$16)/(1+0.12)^3
        +'DCF Model'!$B$10*(1+'DCF Model'!$B$16)*(1+'DCF Model'!$C$16)*(1+'DCF Model'!$D$16)*(1+'DCF Model'!$E$16)/(1+0.12)^4
        +'DCF Model'!$B$10*(1+'DCF Model'!$B$16)*(1+'DCF Model'!$C$16)*(1+'DCF Model'!$D$16)*(1+'DCF Model'!$E$16)*(1+'DCF Model'!$F$16)/(1+0.12)^5
        +('DCF Model'!$B$10*(1+'DCF Model'!$B$16)*(1+'DCF Model'!$C$16)*(1+'DCF Model'!$D$16)*(1+'DCF Model'!$E$16)*(1+'DCF Model'!$F$16)*(1+0.03)
        /(0.12-0.03))/(1+0.12)^5)-'DCF Model'!$B$9)/'DCF Model'!$B$6</f>
        <v>0</v>
      </c>
      <c r="E9" s="10">
        <f>(('DCF Model'!$B$10*(1+'DCF Model'!$B$16)/(1+0.12)
        +'DCF Model'!$B$10*(1+'DCF Model'!$B$16)*(1+'DCF Model'!$C$16)/(1+0.12)^2
        +'DCF Model'!$B$10*(1+'DCF Model'!$B$16)*(1+'DCF Model'!$C$16)*(1+'DCF Model'!$D$16)/(1+0.12)^3
        +'DCF Model'!$B$10*(1+'DCF Model'!$B$16)*(1+'DCF Model'!$C$16)*(1+'DCF Model'!$D$16)*(1+'DCF Model'!$E$16)/(1+0.12)^4
        +'DCF Model'!$B$10*(1+'DCF Model'!$B$16)*(1+'DCF Model'!$C$16)*(1+'DCF Model'!$D$16)*(1+'DCF Model'!$E$16)*(1+'DCF Model'!$F$16)/(1+0.12)^5
        +('DCF Model'!$B$10*(1+'DCF Model'!$B$16)*(1+'DCF Model'!$C$16)*(1+'DCF Model'!$D$16)*(1+'DCF Model'!$E$16)*(1+'DCF Model'!$F$16)*(1+0.035)
        /(0.12-0.035))/(1+0.12)^5)-'DCF Model'!$B$9)/'DCF Model'!$B$6</f>
        <v>0</v>
      </c>
      <c r="F9" s="10">
        <f>(('DCF Model'!$B$10*(1+'DCF Model'!$B$16)/(1+0.12)
        +'DCF Model'!$B$10*(1+'DCF Model'!$B$16)*(1+'DCF Model'!$C$16)/(1+0.12)^2
        +'DCF Model'!$B$10*(1+'DCF Model'!$B$16)*(1+'DCF Model'!$C$16)*(1+'DCF Model'!$D$16)/(1+0.12)^3
        +'DCF Model'!$B$10*(1+'DCF Model'!$B$16)*(1+'DCF Model'!$C$16)*(1+'DCF Model'!$D$16)*(1+'DCF Model'!$E$16)/(1+0.12)^4
        +'DCF Model'!$B$10*(1+'DCF Model'!$B$16)*(1+'DCF Model'!$C$16)*(1+'DCF Model'!$D$16)*(1+'DCF Model'!$E$16)*(1+'DCF Model'!$F$16)/(1+0.12)^5
        +('DCF Model'!$B$10*(1+'DCF Model'!$B$16)*(1+'DCF Model'!$C$16)*(1+'DCF Model'!$D$16)*(1+'DCF Model'!$E$16)*(1+'DCF Model'!$F$16)*(1+0.04)
        /(0.12-0.04))/(1+0.12)^5)-'DCF Model'!$B$9)/'DCF Model'!$B$6</f>
        <v>0</v>
      </c>
    </row>
    <row r="11" spans="1:6">
      <c r="A11" s="2" t="s">
        <v>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32"/>
  <sheetViews>
    <sheetView workbookViewId="0"/>
  </sheetViews>
  <sheetFormatPr defaultRowHeight="15"/>
  <cols>
    <col min="1" max="1" width="28.7109375" customWidth="1"/>
    <col min="2" max="4" width="18.7109375" customWidth="1"/>
  </cols>
  <sheetData>
    <row r="1" spans="1:4">
      <c r="A1" s="1" t="s">
        <v>48</v>
      </c>
    </row>
    <row r="3" spans="1:4">
      <c r="A3" s="7" t="s">
        <v>49</v>
      </c>
      <c r="B3" s="7" t="s">
        <v>50</v>
      </c>
      <c r="C3" s="7" t="s">
        <v>51</v>
      </c>
      <c r="D3" s="7" t="s">
        <v>52</v>
      </c>
    </row>
    <row r="4" spans="1:4">
      <c r="A4" t="s">
        <v>53</v>
      </c>
      <c r="B4" s="12">
        <v>0.359</v>
      </c>
      <c r="C4" s="12">
        <v>0.408</v>
      </c>
      <c r="D4" t="s">
        <v>54</v>
      </c>
    </row>
    <row r="5" spans="1:4">
      <c r="A5" t="s">
        <v>55</v>
      </c>
      <c r="B5" t="s">
        <v>56</v>
      </c>
      <c r="C5" t="s">
        <v>56</v>
      </c>
      <c r="D5" t="s">
        <v>57</v>
      </c>
    </row>
    <row r="6" spans="1:4">
      <c r="A6" t="s">
        <v>58</v>
      </c>
      <c r="B6" s="12">
        <v>0.203</v>
      </c>
      <c r="C6" t="s">
        <v>56</v>
      </c>
      <c r="D6" t="s">
        <v>59</v>
      </c>
    </row>
    <row r="7" spans="1:4">
      <c r="A7" t="s">
        <v>60</v>
      </c>
      <c r="B7" t="s">
        <v>56</v>
      </c>
      <c r="C7" t="s">
        <v>56</v>
      </c>
      <c r="D7" t="s">
        <v>61</v>
      </c>
    </row>
    <row r="9" spans="1:4">
      <c r="A9" s="8" t="s">
        <v>62</v>
      </c>
      <c r="B9" s="12">
        <v>0.359</v>
      </c>
    </row>
    <row r="10" spans="1:4">
      <c r="A10" t="s">
        <v>63</v>
      </c>
      <c r="B10" t="s">
        <v>64</v>
      </c>
    </row>
    <row r="11" spans="1:4">
      <c r="A11" s="8" t="s">
        <v>65</v>
      </c>
      <c r="B11" s="14" t="s">
        <v>66</v>
      </c>
      <c r="C11" s="14"/>
      <c r="D11" s="14"/>
    </row>
    <row r="14" spans="1:4">
      <c r="A14" s="1" t="s">
        <v>67</v>
      </c>
    </row>
    <row r="16" spans="1:4">
      <c r="A16" s="3" t="s">
        <v>68</v>
      </c>
    </row>
    <row r="17" spans="1:4">
      <c r="A17" t="s">
        <v>69</v>
      </c>
      <c r="B17" t="s">
        <v>70</v>
      </c>
    </row>
    <row r="18" spans="1:4">
      <c r="A18" t="s">
        <v>71</v>
      </c>
      <c r="B18" s="12">
        <v>0.1</v>
      </c>
    </row>
    <row r="19" spans="1:4">
      <c r="A19" t="s">
        <v>72</v>
      </c>
      <c r="B19" s="12">
        <v>0.03</v>
      </c>
    </row>
    <row r="20" spans="1:4">
      <c r="A20" t="s">
        <v>73</v>
      </c>
      <c r="B20" s="15" t="s">
        <v>74</v>
      </c>
      <c r="C20" s="15"/>
      <c r="D20" s="15"/>
    </row>
    <row r="22" spans="1:4">
      <c r="A22" s="3" t="s">
        <v>75</v>
      </c>
    </row>
    <row r="23" spans="1:4">
      <c r="A23" t="s">
        <v>69</v>
      </c>
      <c r="B23" t="s">
        <v>76</v>
      </c>
    </row>
    <row r="24" spans="1:4">
      <c r="A24" t="s">
        <v>71</v>
      </c>
      <c r="B24" s="12">
        <v>0.09</v>
      </c>
    </row>
    <row r="25" spans="1:4">
      <c r="A25" t="s">
        <v>72</v>
      </c>
      <c r="B25" s="12">
        <v>0.035</v>
      </c>
    </row>
    <row r="26" spans="1:4">
      <c r="A26" t="s">
        <v>73</v>
      </c>
      <c r="B26" s="15" t="s">
        <v>77</v>
      </c>
      <c r="C26" s="15"/>
      <c r="D26" s="15"/>
    </row>
    <row r="28" spans="1:4">
      <c r="A28" s="3" t="s">
        <v>78</v>
      </c>
    </row>
    <row r="29" spans="1:4">
      <c r="A29" t="s">
        <v>69</v>
      </c>
      <c r="B29" t="s">
        <v>79</v>
      </c>
    </row>
    <row r="30" spans="1:4">
      <c r="A30" t="s">
        <v>71</v>
      </c>
      <c r="B30" s="12">
        <v>0.115</v>
      </c>
    </row>
    <row r="31" spans="1:4">
      <c r="A31" t="s">
        <v>72</v>
      </c>
      <c r="B31" s="12">
        <v>0.025</v>
      </c>
    </row>
    <row r="32" spans="1:4">
      <c r="A32" t="s">
        <v>73</v>
      </c>
      <c r="B32" s="15" t="s">
        <v>80</v>
      </c>
      <c r="C32" s="15"/>
      <c r="D32" s="15"/>
    </row>
  </sheetData>
  <mergeCells count="4">
    <mergeCell ref="B11:D11"/>
    <mergeCell ref="B20:D20"/>
    <mergeCell ref="B26:D26"/>
    <mergeCell ref="B32:D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51"/>
  <sheetViews>
    <sheetView workbookViewId="0"/>
  </sheetViews>
  <sheetFormatPr defaultRowHeight="15"/>
  <cols>
    <col min="1" max="1" width="80.7109375" customWidth="1"/>
  </cols>
  <sheetData>
    <row r="1" spans="1:1">
      <c r="A1" s="1" t="s">
        <v>81</v>
      </c>
    </row>
    <row r="3" spans="1:1">
      <c r="A3" s="3" t="s">
        <v>82</v>
      </c>
    </row>
    <row r="6" spans="1:1">
      <c r="A6" t="s">
        <v>83</v>
      </c>
    </row>
    <row r="7" spans="1:1">
      <c r="A7" t="s">
        <v>84</v>
      </c>
    </row>
    <row r="8" spans="1:1">
      <c r="A8" t="s">
        <v>85</v>
      </c>
    </row>
    <row r="9" spans="1:1">
      <c r="A9" t="s">
        <v>86</v>
      </c>
    </row>
    <row r="10" spans="1:1">
      <c r="A10" t="s">
        <v>87</v>
      </c>
    </row>
    <row r="11" spans="1:1">
      <c r="A11" t="s">
        <v>88</v>
      </c>
    </row>
    <row r="13" spans="1:1">
      <c r="A13" t="s">
        <v>89</v>
      </c>
    </row>
    <row r="14" spans="1:1">
      <c r="A14" t="s">
        <v>90</v>
      </c>
    </row>
    <row r="15" spans="1:1">
      <c r="A15" t="s">
        <v>91</v>
      </c>
    </row>
    <row r="16" spans="1:1">
      <c r="A16" t="s">
        <v>92</v>
      </c>
    </row>
    <row r="17" spans="1:1">
      <c r="A17" t="s">
        <v>93</v>
      </c>
    </row>
    <row r="19" spans="1:1">
      <c r="A19" t="s">
        <v>94</v>
      </c>
    </row>
    <row r="20" spans="1:1">
      <c r="A20" t="s">
        <v>95</v>
      </c>
    </row>
    <row r="21" spans="1:1">
      <c r="A21" t="s">
        <v>96</v>
      </c>
    </row>
    <row r="22" spans="1:1">
      <c r="A22" t="s">
        <v>97</v>
      </c>
    </row>
    <row r="24" spans="1:1">
      <c r="A24" t="s">
        <v>98</v>
      </c>
    </row>
    <row r="25" spans="1:1">
      <c r="A25" t="s">
        <v>99</v>
      </c>
    </row>
    <row r="26" spans="1:1">
      <c r="A26" t="s">
        <v>100</v>
      </c>
    </row>
    <row r="27" spans="1:1">
      <c r="A27" t="s">
        <v>101</v>
      </c>
    </row>
    <row r="29" spans="1:1">
      <c r="A29" t="s">
        <v>102</v>
      </c>
    </row>
    <row r="30" spans="1:1">
      <c r="A30" t="s">
        <v>103</v>
      </c>
    </row>
    <row r="31" spans="1:1">
      <c r="A31" t="s">
        <v>104</v>
      </c>
    </row>
    <row r="32" spans="1:1">
      <c r="A32" t="s">
        <v>105</v>
      </c>
    </row>
    <row r="33" spans="1:1">
      <c r="A33" t="s">
        <v>106</v>
      </c>
    </row>
    <row r="34" spans="1:1">
      <c r="A34" t="s">
        <v>107</v>
      </c>
    </row>
    <row r="36" spans="1:1">
      <c r="A36" t="s">
        <v>108</v>
      </c>
    </row>
    <row r="37" spans="1:1">
      <c r="A37" t="s">
        <v>109</v>
      </c>
    </row>
    <row r="38" spans="1:1">
      <c r="A38" t="s">
        <v>110</v>
      </c>
    </row>
    <row r="39" spans="1:1">
      <c r="A39" t="s">
        <v>111</v>
      </c>
    </row>
    <row r="40" spans="1:1">
      <c r="A40" t="s">
        <v>112</v>
      </c>
    </row>
    <row r="42" spans="1:1">
      <c r="A42" t="s">
        <v>113</v>
      </c>
    </row>
    <row r="43" spans="1:1">
      <c r="A43" t="s">
        <v>114</v>
      </c>
    </row>
    <row r="44" spans="1:1">
      <c r="A44" t="s">
        <v>115</v>
      </c>
    </row>
    <row r="45" spans="1:1">
      <c r="A45" t="s">
        <v>116</v>
      </c>
    </row>
    <row r="46" spans="1:1">
      <c r="A46" t="s">
        <v>117</v>
      </c>
    </row>
    <row r="48" spans="1:1">
      <c r="A48" t="s">
        <v>118</v>
      </c>
    </row>
    <row r="49" spans="1:1">
      <c r="A49" t="s">
        <v>119</v>
      </c>
    </row>
    <row r="50" spans="1:1">
      <c r="A50" t="s">
        <v>120</v>
      </c>
    </row>
    <row r="51" spans="1:1">
      <c r="A51" t="s">
        <v>121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DCF Model</vt:lpstr>
      <vt:lpstr>Sensitivity</vt:lpstr>
      <vt:lpstr>Historical &amp; Assumptions</vt:lpstr>
      <vt:lpstr>Instructions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2026-01-22T20:14:17Z</dcterms:created>
  <dcterms:modified xsi:type="dcterms:W3CDTF">2026-01-22T20:14:17Z</dcterms:modified>
</cp:coreProperties>
</file>