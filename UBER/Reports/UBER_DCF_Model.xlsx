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 (Base)" sheetId="1" r:id="rId1"/>
    <sheet name="Scenario Comparison" sheetId="2" r:id="rId2"/>
    <sheet name="Sensitivity" sheetId="3" r:id="rId3"/>
    <sheet name="Historical Data" sheetId="4" r:id="rId4"/>
  </sheets>
  <calcPr calcId="124519" fullCalcOnLoad="1"/>
</workbook>
</file>

<file path=xl/sharedStrings.xml><?xml version="1.0" encoding="utf-8"?>
<sst xmlns="http://schemas.openxmlformats.org/spreadsheetml/2006/main" count="121" uniqueCount="99">
  <si>
    <t>UBER DCF Valuation Model</t>
  </si>
  <si>
    <t>Valuation Date: 2026-06-30  |  Gray cells are INPUTS - adjust to see results update automatically</t>
  </si>
  <si>
    <t>NOTE: GAAP EPS/Net Income excluded from growth analysis due to ~$6.4B one-time deferred-tax-valuation-allowance release in FY2024. This is a PURE FCF-BASED DCF. Net debt corrected to +$4,956M (Total Debt $10,514M - Cash $5,558M, Q1 2026).</t>
  </si>
  <si>
    <t>KEY INPUTS</t>
  </si>
  <si>
    <t>Current Stock Price</t>
  </si>
  <si>
    <t>Shares Outstanding (M)</t>
  </si>
  <si>
    <t>Cash &amp; Equivalents (M)</t>
  </si>
  <si>
    <t>Total Debt (M)</t>
  </si>
  <si>
    <t>Net Debt (M)  [Debt - Cash]</t>
  </si>
  <si>
    <t>Base Year FCF (M)  [FY2025 actual]</t>
  </si>
  <si>
    <t>WACC</t>
  </si>
  <si>
    <t>Terminal Growth Rate</t>
  </si>
  <si>
    <t>FCF GROWTH ASSUMPTIONS (Base Case)</t>
  </si>
  <si>
    <t>Year 1</t>
  </si>
  <si>
    <t>Year 2</t>
  </si>
  <si>
    <t>Year 3</t>
  </si>
  <si>
    <t>Year 4</t>
  </si>
  <si>
    <t>Year 5</t>
  </si>
  <si>
    <t>FCF Growth Rate (Base)</t>
  </si>
  <si>
    <t>FCF PROJECTIONS</t>
  </si>
  <si>
    <t>Base Year</t>
  </si>
  <si>
    <t>Free Cash Flow (M)</t>
  </si>
  <si>
    <t>Discount Factor (1/(1+WACC)^n)</t>
  </si>
  <si>
    <t>PV of FCF (M)</t>
  </si>
  <si>
    <t>VALUATION (BASE CASE)</t>
  </si>
  <si>
    <t>Sum of PV of FCF (M)</t>
  </si>
  <si>
    <t>Terminal FCF  [Year 5 FCF * (1 + terminal g)]</t>
  </si>
  <si>
    <t>Terminal Value  [Terminal FCF / (WACC - g)]</t>
  </si>
  <si>
    <t>PV of Terminal Value</t>
  </si>
  <si>
    <t>Enterprise Value (M)</t>
  </si>
  <si>
    <t>Less: Net Debt (M)</t>
  </si>
  <si>
    <t>Equity Value (M)</t>
  </si>
  <si>
    <t>INTRINSIC VALUE / SHARE</t>
  </si>
  <si>
    <t>Upside / (Downside) to IV</t>
  </si>
  <si>
    <t>ENTRY PRICE (15% CAGR Target)</t>
  </si>
  <si>
    <t>Terminal Value per Share</t>
  </si>
  <si>
    <t>Entry Price to achieve 15% CAGR</t>
  </si>
  <si>
    <t>Entry Price vs Current Price</t>
  </si>
  <si>
    <t>Analyst Consensus Target (reference)</t>
  </si>
  <si>
    <t>UBER — DCF Scenario Comparison</t>
  </si>
  <si>
    <t>Valuation Date: 2026-06-30  |  Current Price: $75.50</t>
  </si>
  <si>
    <t>Bear Case</t>
  </si>
  <si>
    <t>Base Case</t>
  </si>
  <si>
    <t>Bull Case</t>
  </si>
  <si>
    <t>Prob-Weighted</t>
  </si>
  <si>
    <t>FCF Growth Rates (Y1-Y5)</t>
  </si>
  <si>
    <t>12%, 10%, 8%, 7%, 6%</t>
  </si>
  <si>
    <t>18%, 16%, 14%, 12%, 10%</t>
  </si>
  <si>
    <t>22%, 20%, 17%, 14%, 12%</t>
  </si>
  <si>
    <t>Weighted avg</t>
  </si>
  <si>
    <t>Sum of PV FCF (M)</t>
  </si>
  <si>
    <t>Terminal Value (M)</t>
  </si>
  <si>
    <t>PV of Terminal Value (M)</t>
  </si>
  <si>
    <t>Upside / (Downside)</t>
  </si>
  <si>
    <t>Entry Price (15% CAGR)</t>
  </si>
  <si>
    <t>Probability Weights</t>
  </si>
  <si>
    <t>Current Price (reference)</t>
  </si>
  <si>
    <t>Analyst Consensus Target</t>
  </si>
  <si>
    <t>Bear Case Rationale</t>
  </si>
  <si>
    <t>Waymo and other AV operators build direct consumer apps at scale, bypassing Uber's marketplace. DoorDash-Lyft bundle gains material delivery share from Uber Eats. Gig worker reclassification in a major jurisdiction raises labor cost structure. Macro slowdown compresses consumer discretionary spending. Higher WACC of 11.5% reflects regulatory, competitive, and macro execution risk materializing simultaneously.</t>
  </si>
  <si>
    <t>Base Case Rationale</t>
  </si>
  <si>
    <t>FCF growth tracks slightly above revenue growth (18% Year 1) reflecting ongoing operating leverage from a mature platform, then decelerates toward a mid-teens rate consistent with global ride-hailing/delivery market growth. Revenue 3yr CAGR is 17.7%; Q2 2026 guidance implies 18-22% constant-currency bookings growth. WACC of 10% reflects modest risk premium for a profitable but still-expanding platform with regulatory exposure.</t>
  </si>
  <si>
    <t>Bull Case Rationale</t>
  </si>
  <si>
    <t>AV platform (Uber Autonomous Solutions, 12+ partners, 15 city deployments targeted FY2026) generates incremental high-margin platform fees. Uber One (36M members, 60% YoY) deepens monetization and retention. Advertising revenue scales. $20B buyback accelerates per-share value creation. FCF margin expands as driver incentive costs fall proportionally with AV mix. Lower WACC of 9% reflects accelerating FCF generation and reduced uncertainty.</t>
  </si>
  <si>
    <t>UBER — Sensitivity: Intrinsic Value vs WACC &amp; Terminal Growth</t>
  </si>
  <si>
    <t>Base Case FCF growth path: 18%/16%/14%/12%/10%  |  Base Year FCF: $9,763M  |  Current Price: $75.50</t>
  </si>
  <si>
    <t>Net Debt: $4,956M  |  Shares Outstanding: 2,036M</t>
  </si>
  <si>
    <t>WACC \ Term. Growth</t>
  </si>
  <si>
    <t>Color guide:</t>
  </si>
  <si>
    <t>Green = IV &gt; 10% above current price ($75.50)</t>
  </si>
  <si>
    <t>Yellow = IV within +/-10% of current price</t>
  </si>
  <si>
    <t>Red = IV &gt; 10% below current price</t>
  </si>
  <si>
    <t>UBER — Historical Financials &amp; Growth Rates</t>
  </si>
  <si>
    <t>Annual Financials (USD Millions)</t>
  </si>
  <si>
    <t>Period</t>
  </si>
  <si>
    <t>Revenue</t>
  </si>
  <si>
    <t>FCF</t>
  </si>
  <si>
    <t>Shareholders Equity</t>
  </si>
  <si>
    <t>FY2020</t>
  </si>
  <si>
    <t>N/A</t>
  </si>
  <si>
    <t>FY2021</t>
  </si>
  <si>
    <t>FY2022</t>
  </si>
  <si>
    <t>FY2023</t>
  </si>
  <si>
    <t>FY2024</t>
  </si>
  <si>
    <t>FY2025</t>
  </si>
  <si>
    <t>Q1 2026 (ttm)</t>
  </si>
  <si>
    <t>Growth Rate Summary</t>
  </si>
  <si>
    <t>Metric</t>
  </si>
  <si>
    <t>1-Year</t>
  </si>
  <si>
    <t>2-Year CAGR</t>
  </si>
  <si>
    <t>3-Year CAGR</t>
  </si>
  <si>
    <t>FCF (FY2024 base)</t>
  </si>
  <si>
    <t>N/A (limited data)</t>
  </si>
  <si>
    <t>Growth Rate Selection</t>
  </si>
  <si>
    <t>Selected Base Rate:</t>
  </si>
  <si>
    <t>Source:</t>
  </si>
  <si>
    <t>revenue_3yr_cagr</t>
  </si>
  <si>
    <t>Key Warning:</t>
  </si>
  <si>
    <t>GAAP EPS and net income are unreliable for growth rate selection due to a ~$6.4B one-time deferred-tax-valuation-allowance release recognized in FY2024, which inflated FY2024 net income to $9.86B and makes FY2024-FY2025 NI comparisons meaningless on a GAAP basis. Additionally, equity investment mark-to-market swings (e.g., Q4 2025 net income of only $296M on $1.77B operating income) introduce persistent P&amp;L noise. This model is therefore FULLY FCF-BASED. Base-year FCF anchored to FY2025 actual FCF of $9,763M (TTM FCF through Q1 2026 is ~$9,799M, essentially identical). FCF 1-year growth of 42% is exceptional and driven partly by operating leverage maturation; it is not used as a projection base rate. Instead, growth rates are anchored to the revenue 3-year CAGR of ~17.7% (consistent with Q2 2026 guidance of 18-22% constant-currency gross bookings growth) and decelerate conservatively. Net debt corrected from prior model: Q1 2026 Total Debt $10,514M minus Cash $5,558M = $4,956M net debt (prior model incorrectly showed negative net debt).</t>
  </si>
</sst>
</file>

<file path=xl/styles.xml><?xml version="1.0" encoding="utf-8"?>
<styleSheet xmlns="http://schemas.openxmlformats.org/spreadsheetml/2006/main">
  <numFmts count="3">
    <numFmt numFmtId="164" formatCode="&quot;$&quot;#,##0.00"/>
    <numFmt numFmtId="165" formatCode="#,##0.0"/>
    <numFmt numFmtId="166" formatCode="0.0%"/>
  </numFmts>
  <fonts count="11">
    <font>
      <sz val="11"/>
      <color theme="1"/>
      <name val="Calibri"/>
      <family val="2"/>
      <scheme val="minor"/>
    </font>
    <font>
      <b/>
      <sz val="16"/>
      <color rgb="FF2D3436"/>
      <name val="Calibri"/>
      <family val="2"/>
      <scheme val="minor"/>
    </font>
    <font>
      <i/>
      <sz val="9"/>
      <color rgb="FF80808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636E72"/>
      <name val="Calibri"/>
      <family val="2"/>
      <scheme val="minor"/>
    </font>
    <font>
      <sz val="11"/>
      <color rgb="FF155724"/>
      <name val="Calibri"/>
      <family val="2"/>
      <scheme val="minor"/>
    </font>
    <font>
      <sz val="11"/>
      <color rgb="FF856404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DCB6E"/>
        <bgColor indexed="64"/>
      </patternFill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984E3"/>
        <bgColor indexed="64"/>
      </patternFill>
    </fill>
    <fill>
      <patternFill patternType="solid">
        <fgColor rgb="FFD63031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6C5CE7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8D7DA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4" fillId="0" borderId="2" xfId="0" applyFont="1" applyBorder="1"/>
    <xf numFmtId="164" fontId="0" fillId="3" borderId="1" xfId="0" applyNumberFormat="1" applyFill="1" applyBorder="1"/>
    <xf numFmtId="165" fontId="0" fillId="3" borderId="1" xfId="0" applyNumberFormat="1" applyFill="1" applyBorder="1"/>
    <xf numFmtId="165" fontId="0" fillId="0" borderId="1" xfId="0" applyNumberFormat="1" applyBorder="1"/>
    <xf numFmtId="166" fontId="0" fillId="3" borderId="1" xfId="0" applyNumberFormat="1" applyFill="1" applyBorder="1"/>
    <xf numFmtId="0" fontId="5" fillId="4" borderId="1" xfId="0" applyFont="1" applyFill="1" applyBorder="1" applyAlignment="1">
      <alignment horizontal="center"/>
    </xf>
    <xf numFmtId="0" fontId="6" fillId="0" borderId="0" xfId="0" applyFont="1"/>
    <xf numFmtId="164" fontId="5" fillId="5" borderId="1" xfId="0" applyNumberFormat="1" applyFont="1" applyFill="1" applyBorder="1"/>
    <xf numFmtId="166" fontId="5" fillId="5" borderId="1" xfId="0" applyNumberFormat="1" applyFont="1" applyFill="1" applyBorder="1"/>
    <xf numFmtId="164" fontId="0" fillId="0" borderId="1" xfId="0" applyNumberFormat="1" applyBorder="1"/>
    <xf numFmtId="0" fontId="5" fillId="6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166" fontId="0" fillId="0" borderId="1" xfId="0" applyNumberFormat="1" applyBorder="1"/>
    <xf numFmtId="164" fontId="5" fillId="6" borderId="1" xfId="0" applyNumberFormat="1" applyFont="1" applyFill="1" applyBorder="1"/>
    <xf numFmtId="164" fontId="5" fillId="7" borderId="1" xfId="0" applyNumberFormat="1" applyFont="1" applyFill="1" applyBorder="1"/>
    <xf numFmtId="164" fontId="5" fillId="8" borderId="1" xfId="0" applyNumberFormat="1" applyFont="1" applyFill="1" applyBorder="1"/>
    <xf numFmtId="166" fontId="5" fillId="6" borderId="1" xfId="0" applyNumberFormat="1" applyFont="1" applyFill="1" applyBorder="1"/>
    <xf numFmtId="166" fontId="5" fillId="7" borderId="1" xfId="0" applyNumberFormat="1" applyFont="1" applyFill="1" applyBorder="1"/>
    <xf numFmtId="166" fontId="5" fillId="8" borderId="1" xfId="0" applyNumberFormat="1" applyFont="1" applyFill="1" applyBorder="1"/>
    <xf numFmtId="0" fontId="7" fillId="3" borderId="1" xfId="0" applyFont="1" applyFill="1" applyBorder="1" applyAlignment="1">
      <alignment vertical="top" wrapText="1"/>
    </xf>
    <xf numFmtId="0" fontId="7" fillId="9" borderId="1" xfId="0" applyFont="1" applyFill="1" applyBorder="1" applyAlignment="1">
      <alignment vertical="top" wrapText="1"/>
    </xf>
    <xf numFmtId="0" fontId="8" fillId="0" borderId="0" xfId="0" applyFont="1"/>
    <xf numFmtId="166" fontId="5" fillId="4" borderId="1" xfId="0" applyNumberFormat="1" applyFont="1" applyFill="1" applyBorder="1" applyAlignment="1">
      <alignment horizontal="center"/>
    </xf>
    <xf numFmtId="166" fontId="5" fillId="4" borderId="1" xfId="0" applyNumberFormat="1" applyFont="1" applyFill="1" applyBorder="1"/>
    <xf numFmtId="164" fontId="9" fillId="9" borderId="1" xfId="0" applyNumberFormat="1" applyFont="1" applyFill="1" applyBorder="1"/>
    <xf numFmtId="164" fontId="10" fillId="10" borderId="1" xfId="0" applyNumberFormat="1" applyFont="1" applyFill="1" applyBorder="1"/>
    <xf numFmtId="0" fontId="7" fillId="9" borderId="0" xfId="0" applyFont="1" applyFill="1"/>
    <xf numFmtId="0" fontId="7" fillId="10" borderId="0" xfId="0" applyFont="1" applyFill="1"/>
    <xf numFmtId="0" fontId="7" fillId="11" borderId="0" xfId="0" applyFont="1" applyFill="1"/>
    <xf numFmtId="0" fontId="7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/>
  </sheetViews>
  <sheetFormatPr defaultRowHeight="15"/>
  <cols>
    <col min="1" max="1" width="28.7109375" customWidth="1"/>
    <col min="2" max="2" width="16.7109375" customWidth="1"/>
    <col min="3" max="8" width="14.7109375" customWidth="1"/>
  </cols>
  <sheetData>
    <row r="1" spans="1:8">
      <c r="A1" s="1" t="s">
        <v>0</v>
      </c>
    </row>
    <row r="2" spans="1:8">
      <c r="A2" s="2" t="s">
        <v>1</v>
      </c>
    </row>
    <row r="3" spans="1:8">
      <c r="A3" s="3" t="s">
        <v>2</v>
      </c>
      <c r="B3" s="3"/>
      <c r="C3" s="3"/>
      <c r="D3" s="3"/>
      <c r="E3" s="3"/>
      <c r="F3" s="3"/>
      <c r="G3" s="3"/>
      <c r="H3" s="3"/>
    </row>
    <row r="4" spans="1:8">
      <c r="A4" s="3"/>
      <c r="B4" s="3"/>
      <c r="C4" s="3"/>
      <c r="D4" s="3"/>
      <c r="E4" s="3"/>
      <c r="F4" s="3"/>
      <c r="G4" s="3"/>
      <c r="H4" s="3"/>
    </row>
    <row r="6" spans="1:8">
      <c r="A6" s="4" t="s">
        <v>3</v>
      </c>
    </row>
    <row r="7" spans="1:8">
      <c r="A7" t="s">
        <v>4</v>
      </c>
      <c r="B7" s="5">
        <v>75.5</v>
      </c>
    </row>
    <row r="8" spans="1:8">
      <c r="A8" t="s">
        <v>5</v>
      </c>
      <c r="B8" s="6">
        <v>2036</v>
      </c>
    </row>
    <row r="9" spans="1:8">
      <c r="A9" t="s">
        <v>6</v>
      </c>
      <c r="B9" s="6">
        <v>5558</v>
      </c>
    </row>
    <row r="10" spans="1:8">
      <c r="A10" t="s">
        <v>7</v>
      </c>
      <c r="B10" s="6">
        <v>10514</v>
      </c>
    </row>
    <row r="11" spans="1:8">
      <c r="A11" t="s">
        <v>8</v>
      </c>
      <c r="B11" s="7">
        <f>B10-B9</f>
        <v>0</v>
      </c>
    </row>
    <row r="12" spans="1:8">
      <c r="A12" t="s">
        <v>9</v>
      </c>
      <c r="B12" s="6">
        <v>9763</v>
      </c>
    </row>
    <row r="13" spans="1:8">
      <c r="A13" t="s">
        <v>10</v>
      </c>
      <c r="B13" s="8">
        <v>0.1</v>
      </c>
    </row>
    <row r="14" spans="1:8">
      <c r="A14" t="s">
        <v>11</v>
      </c>
      <c r="B14" s="8">
        <v>0.03</v>
      </c>
    </row>
    <row r="16" spans="1:8">
      <c r="A16" s="4" t="s">
        <v>12</v>
      </c>
    </row>
    <row r="17" spans="1:7">
      <c r="A17" t="s">
        <v>18</v>
      </c>
      <c r="C17" s="9" t="s">
        <v>13</v>
      </c>
      <c r="D17" s="9" t="s">
        <v>14</v>
      </c>
      <c r="E17" s="9" t="s">
        <v>15</v>
      </c>
      <c r="F17" s="9" t="s">
        <v>16</v>
      </c>
      <c r="G17" s="9" t="s">
        <v>17</v>
      </c>
    </row>
    <row r="18" spans="1:7">
      <c r="C18" s="8">
        <v>0.18</v>
      </c>
      <c r="D18" s="8">
        <v>0.16</v>
      </c>
      <c r="E18" s="8">
        <v>0.14</v>
      </c>
      <c r="F18" s="8">
        <v>0.12</v>
      </c>
      <c r="G18" s="8">
        <v>0.1</v>
      </c>
    </row>
    <row r="19" spans="1:7">
      <c r="A19" s="4" t="s">
        <v>19</v>
      </c>
    </row>
    <row r="20" spans="1:7">
      <c r="A20" s="9"/>
      <c r="B20" s="9" t="s">
        <v>20</v>
      </c>
      <c r="C20" s="9" t="s">
        <v>13</v>
      </c>
      <c r="D20" s="9" t="s">
        <v>14</v>
      </c>
      <c r="E20" s="9" t="s">
        <v>15</v>
      </c>
      <c r="F20" s="9" t="s">
        <v>16</v>
      </c>
      <c r="G20" s="9" t="s">
        <v>17</v>
      </c>
    </row>
    <row r="21" spans="1:7">
      <c r="A21" t="s">
        <v>21</v>
      </c>
      <c r="B21" s="7">
        <f>B12</f>
        <v>0</v>
      </c>
      <c r="C21" s="7">
        <f>B21*(1+C18)</f>
        <v>0</v>
      </c>
      <c r="D21" s="7">
        <f>C21*(1+D18)</f>
        <v>0</v>
      </c>
      <c r="E21" s="7">
        <f>D21*(1+E18)</f>
        <v>0</v>
      </c>
      <c r="F21" s="7">
        <f>E21*(1+F18)</f>
        <v>0</v>
      </c>
      <c r="G21" s="7">
        <f>F21*(1+G18)</f>
        <v>0</v>
      </c>
    </row>
    <row r="22" spans="1:7">
      <c r="A22" t="s">
        <v>22</v>
      </c>
      <c r="C22" s="7">
        <f>1/(1+$B$13)^1</f>
        <v>0</v>
      </c>
      <c r="D22" s="7">
        <f>1/(1+$B$13)^2</f>
        <v>0</v>
      </c>
      <c r="E22" s="7">
        <f>1/(1+$B$13)^3</f>
        <v>0</v>
      </c>
      <c r="F22" s="7">
        <f>1/(1+$B$13)^4</f>
        <v>0</v>
      </c>
      <c r="G22" s="7">
        <f>1/(1+$B$13)^5</f>
        <v>0</v>
      </c>
    </row>
    <row r="23" spans="1:7">
      <c r="A23" t="s">
        <v>23</v>
      </c>
      <c r="C23" s="7">
        <f>C21*C22</f>
        <v>0</v>
      </c>
      <c r="D23" s="7">
        <f>D21*D22</f>
        <v>0</v>
      </c>
      <c r="E23" s="7">
        <f>E21*E22</f>
        <v>0</v>
      </c>
      <c r="F23" s="7">
        <f>F21*F22</f>
        <v>0</v>
      </c>
      <c r="G23" s="7">
        <f>G21*G22</f>
        <v>0</v>
      </c>
    </row>
    <row r="25" spans="1:7">
      <c r="A25" s="4" t="s">
        <v>24</v>
      </c>
    </row>
    <row r="26" spans="1:7">
      <c r="A26" t="s">
        <v>25</v>
      </c>
      <c r="B26" s="7">
        <f>SUM(C23:G23)</f>
        <v>0</v>
      </c>
    </row>
    <row r="27" spans="1:7">
      <c r="A27" t="s">
        <v>26</v>
      </c>
      <c r="B27" s="7">
        <f>G21*(1+$B$14)</f>
        <v>0</v>
      </c>
    </row>
    <row r="28" spans="1:7">
      <c r="A28" t="s">
        <v>27</v>
      </c>
      <c r="B28" s="7">
        <f>B27/($B$13-$B$14)</f>
        <v>0</v>
      </c>
    </row>
    <row r="29" spans="1:7">
      <c r="A29" t="s">
        <v>28</v>
      </c>
      <c r="B29" s="7">
        <f>B28*G22</f>
        <v>0</v>
      </c>
    </row>
    <row r="30" spans="1:7">
      <c r="A30" t="s">
        <v>29</v>
      </c>
      <c r="B30" s="7">
        <f>B26+B29</f>
        <v>0</v>
      </c>
    </row>
    <row r="31" spans="1:7">
      <c r="A31" t="s">
        <v>30</v>
      </c>
      <c r="B31" s="7">
        <f>B11</f>
        <v>0</v>
      </c>
    </row>
    <row r="32" spans="1:7">
      <c r="A32" t="s">
        <v>31</v>
      </c>
      <c r="B32" s="7">
        <f>B30-B31</f>
        <v>0</v>
      </c>
    </row>
    <row r="33" spans="1:2">
      <c r="A33" s="10" t="s">
        <v>32</v>
      </c>
      <c r="B33" s="11">
        <f>B32/B8</f>
        <v>0</v>
      </c>
    </row>
    <row r="34" spans="1:2">
      <c r="A34" t="s">
        <v>33</v>
      </c>
      <c r="B34" s="12">
        <f>(B33-B7)/B7</f>
        <v>0</v>
      </c>
    </row>
    <row r="36" spans="1:2">
      <c r="A36" s="4" t="s">
        <v>34</v>
      </c>
    </row>
    <row r="37" spans="1:2">
      <c r="A37" t="s">
        <v>35</v>
      </c>
      <c r="B37" s="13">
        <f>B28/B8</f>
        <v>0</v>
      </c>
    </row>
    <row r="38" spans="1:2">
      <c r="A38" t="s">
        <v>36</v>
      </c>
      <c r="B38" s="11">
        <f>B37/(1.15^5)</f>
        <v>0</v>
      </c>
    </row>
    <row r="39" spans="1:2">
      <c r="A39" t="s">
        <v>37</v>
      </c>
      <c r="B39" s="12">
        <f>(B38-B7)/B7</f>
        <v>0</v>
      </c>
    </row>
    <row r="40" spans="1:2">
      <c r="A40" s="2" t="s">
        <v>38</v>
      </c>
      <c r="B40" s="13">
        <v>106</v>
      </c>
    </row>
  </sheetData>
  <mergeCells count="1">
    <mergeCell ref="A3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cols>
    <col min="1" max="1" width="30.7109375" customWidth="1"/>
    <col min="2" max="5" width="16.7109375" customWidth="1"/>
  </cols>
  <sheetData>
    <row r="1" spans="1:5">
      <c r="A1" s="1" t="s">
        <v>39</v>
      </c>
    </row>
    <row r="2" spans="1:5">
      <c r="A2" s="2" t="s">
        <v>40</v>
      </c>
    </row>
    <row r="4" spans="1:5">
      <c r="B4" s="14" t="s">
        <v>41</v>
      </c>
      <c r="C4" s="15" t="s">
        <v>42</v>
      </c>
      <c r="D4" s="16" t="s">
        <v>43</v>
      </c>
      <c r="E4" s="17" t="s">
        <v>44</v>
      </c>
    </row>
    <row r="5" spans="1:5">
      <c r="A5" s="10" t="s">
        <v>45</v>
      </c>
      <c r="B5" s="7" t="s">
        <v>46</v>
      </c>
      <c r="C5" s="7" t="s">
        <v>47</v>
      </c>
      <c r="D5" s="7" t="s">
        <v>48</v>
      </c>
    </row>
    <row r="6" spans="1:5">
      <c r="A6" t="s">
        <v>10</v>
      </c>
      <c r="B6" s="18">
        <v>0.115</v>
      </c>
      <c r="C6" s="18">
        <v>0.1</v>
      </c>
      <c r="D6" s="18">
        <v>0.09</v>
      </c>
      <c r="E6" s="2" t="s">
        <v>49</v>
      </c>
    </row>
    <row r="7" spans="1:5">
      <c r="A7" t="s">
        <v>11</v>
      </c>
      <c r="B7" s="18">
        <v>0.025</v>
      </c>
      <c r="C7" s="18">
        <v>0.03</v>
      </c>
      <c r="D7" s="18">
        <v>0.035</v>
      </c>
    </row>
    <row r="9" spans="1:5">
      <c r="A9" s="10" t="s">
        <v>50</v>
      </c>
      <c r="B9" s="7">
        <v>46396.6</v>
      </c>
      <c r="C9" s="7">
        <v>56269.9</v>
      </c>
      <c r="D9" s="7">
        <v>63252.2</v>
      </c>
    </row>
    <row r="10" spans="1:5">
      <c r="A10" s="10" t="s">
        <v>51</v>
      </c>
      <c r="B10" s="7">
        <v>167798.2</v>
      </c>
      <c r="C10" s="7">
        <v>276171</v>
      </c>
      <c r="D10" s="7">
        <v>401800.2</v>
      </c>
    </row>
    <row r="11" spans="1:5">
      <c r="A11" s="10" t="s">
        <v>52</v>
      </c>
      <c r="B11" s="7">
        <v>97373.3</v>
      </c>
      <c r="C11" s="7">
        <v>171474.6</v>
      </c>
      <c r="D11" s="7">
        <v>261129.9</v>
      </c>
    </row>
    <row r="12" spans="1:5">
      <c r="A12" s="10" t="s">
        <v>29</v>
      </c>
      <c r="B12" s="7">
        <v>143769.9</v>
      </c>
      <c r="C12" s="7">
        <v>227744.5</v>
      </c>
      <c r="D12" s="7">
        <v>324382.1</v>
      </c>
    </row>
    <row r="13" spans="1:5">
      <c r="A13" s="10" t="s">
        <v>30</v>
      </c>
      <c r="B13" s="7">
        <v>4956</v>
      </c>
      <c r="C13" s="7">
        <v>4956</v>
      </c>
      <c r="D13" s="7">
        <v>4956</v>
      </c>
    </row>
    <row r="14" spans="1:5">
      <c r="A14" s="10" t="s">
        <v>31</v>
      </c>
      <c r="B14" s="7">
        <v>138813.9</v>
      </c>
      <c r="C14" s="7">
        <v>222788.5</v>
      </c>
      <c r="D14" s="7">
        <v>319426.1</v>
      </c>
    </row>
    <row r="15" spans="1:5">
      <c r="A15" s="10" t="s">
        <v>32</v>
      </c>
      <c r="B15" s="19">
        <v>68.18000000000001</v>
      </c>
      <c r="C15" s="11">
        <v>109.42</v>
      </c>
      <c r="D15" s="20">
        <v>156.89</v>
      </c>
      <c r="E15" s="21">
        <v>110.98</v>
      </c>
    </row>
    <row r="16" spans="1:5">
      <c r="A16" s="10" t="s">
        <v>53</v>
      </c>
      <c r="B16" s="22">
        <v>-0.09699999999999999</v>
      </c>
      <c r="C16" s="12">
        <v>0.449</v>
      </c>
      <c r="D16" s="23">
        <v>1.078</v>
      </c>
      <c r="E16" s="24">
        <v>0.4699337748344372</v>
      </c>
    </row>
    <row r="18" spans="1:5">
      <c r="A18" s="10" t="s">
        <v>54</v>
      </c>
      <c r="B18" s="19">
        <v>40.98</v>
      </c>
      <c r="C18" s="11">
        <v>67.44</v>
      </c>
      <c r="D18" s="20">
        <v>98.12</v>
      </c>
    </row>
    <row r="19" spans="1:5">
      <c r="A19" s="10" t="s">
        <v>55</v>
      </c>
      <c r="B19" s="18">
        <v>0.25</v>
      </c>
      <c r="C19" s="18">
        <v>0.5</v>
      </c>
      <c r="D19" s="18">
        <v>0.25</v>
      </c>
    </row>
    <row r="21" spans="1:5">
      <c r="A21" s="10" t="s">
        <v>56</v>
      </c>
      <c r="B21" s="13">
        <v>75.5</v>
      </c>
      <c r="C21" s="13">
        <v>75.5</v>
      </c>
      <c r="D21" s="13">
        <v>75.5</v>
      </c>
    </row>
    <row r="22" spans="1:5">
      <c r="A22" s="10" t="s">
        <v>57</v>
      </c>
      <c r="B22" s="13">
        <v>106</v>
      </c>
      <c r="C22" s="13">
        <v>106</v>
      </c>
      <c r="D22" s="13">
        <v>106</v>
      </c>
    </row>
    <row r="24" spans="1:5">
      <c r="A24" s="10" t="s">
        <v>58</v>
      </c>
    </row>
    <row r="25" spans="1:5" ht="40" customHeight="1">
      <c r="A25" s="3" t="s">
        <v>59</v>
      </c>
      <c r="B25" s="3"/>
      <c r="C25" s="3"/>
      <c r="D25" s="3"/>
      <c r="E25" s="3"/>
    </row>
    <row r="26" spans="1:5" ht="40" customHeight="1">
      <c r="A26" s="3"/>
      <c r="B26" s="3"/>
      <c r="C26" s="3"/>
      <c r="D26" s="3"/>
      <c r="E26" s="3"/>
    </row>
    <row r="27" spans="1:5">
      <c r="A27" s="10" t="s">
        <v>60</v>
      </c>
    </row>
    <row r="28" spans="1:5" ht="40" customHeight="1">
      <c r="A28" s="25" t="s">
        <v>61</v>
      </c>
      <c r="B28" s="25"/>
      <c r="C28" s="25"/>
      <c r="D28" s="25"/>
      <c r="E28" s="25"/>
    </row>
    <row r="29" spans="1:5" ht="40" customHeight="1">
      <c r="A29" s="25"/>
      <c r="B29" s="25"/>
      <c r="C29" s="25"/>
      <c r="D29" s="25"/>
      <c r="E29" s="25"/>
    </row>
    <row r="30" spans="1:5">
      <c r="A30" s="10" t="s">
        <v>62</v>
      </c>
    </row>
    <row r="31" spans="1:5" ht="40" customHeight="1">
      <c r="A31" s="26" t="s">
        <v>63</v>
      </c>
      <c r="B31" s="26"/>
      <c r="C31" s="26"/>
      <c r="D31" s="26"/>
      <c r="E31" s="26"/>
    </row>
    <row r="32" spans="1:5" ht="40" customHeight="1">
      <c r="A32" s="26"/>
      <c r="B32" s="26"/>
      <c r="C32" s="26"/>
      <c r="D32" s="26"/>
      <c r="E32" s="26"/>
    </row>
  </sheetData>
  <mergeCells count="3">
    <mergeCell ref="A25:E26"/>
    <mergeCell ref="A28:E29"/>
    <mergeCell ref="A31:E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cols>
    <col min="1" max="1" width="16.7109375" customWidth="1"/>
    <col min="2" max="6" width="13.7109375" customWidth="1"/>
  </cols>
  <sheetData>
    <row r="1" spans="1:6">
      <c r="A1" s="1" t="s">
        <v>64</v>
      </c>
    </row>
    <row r="2" spans="1:6">
      <c r="A2" s="2" t="s">
        <v>65</v>
      </c>
    </row>
    <row r="3" spans="1:6">
      <c r="A3" s="27" t="s">
        <v>66</v>
      </c>
    </row>
    <row r="5" spans="1:6">
      <c r="A5" s="9" t="s">
        <v>67</v>
      </c>
      <c r="B5" s="28">
        <v>0.02</v>
      </c>
      <c r="C5" s="28">
        <v>0.025</v>
      </c>
      <c r="D5" s="28">
        <v>0.03</v>
      </c>
      <c r="E5" s="28">
        <v>0.035</v>
      </c>
      <c r="F5" s="28">
        <v>0.04</v>
      </c>
    </row>
    <row r="6" spans="1:6">
      <c r="A6" s="29">
        <v>0.08</v>
      </c>
      <c r="B6" s="30">
        <v>133.47</v>
      </c>
      <c r="C6" s="30">
        <v>143.73</v>
      </c>
      <c r="D6" s="30">
        <v>156.05</v>
      </c>
      <c r="E6" s="30">
        <v>171.11</v>
      </c>
      <c r="F6" s="30">
        <v>189.93</v>
      </c>
    </row>
    <row r="7" spans="1:6">
      <c r="A7" s="29">
        <v>0.09</v>
      </c>
      <c r="B7" s="30">
        <v>113.29</v>
      </c>
      <c r="C7" s="30">
        <v>120.46</v>
      </c>
      <c r="D7" s="30">
        <v>128.83</v>
      </c>
      <c r="E7" s="30">
        <v>138.73</v>
      </c>
      <c r="F7" s="30">
        <v>150.6</v>
      </c>
    </row>
    <row r="8" spans="1:6">
      <c r="A8" s="29">
        <v>0.1</v>
      </c>
      <c r="B8" s="30">
        <v>98.18000000000001</v>
      </c>
      <c r="C8" s="30">
        <v>103.43</v>
      </c>
      <c r="D8" s="30">
        <v>109.42</v>
      </c>
      <c r="E8" s="30">
        <v>116.34</v>
      </c>
      <c r="F8" s="30">
        <v>124.42</v>
      </c>
    </row>
    <row r="9" spans="1:6">
      <c r="A9" s="29">
        <v>0.11</v>
      </c>
      <c r="B9" s="30">
        <v>86.45999999999999</v>
      </c>
      <c r="C9" s="30">
        <v>90.43000000000001</v>
      </c>
      <c r="D9" s="30">
        <v>94.89</v>
      </c>
      <c r="E9" s="30">
        <v>99.95999999999999</v>
      </c>
      <c r="F9" s="30">
        <v>105.74</v>
      </c>
    </row>
    <row r="10" spans="1:6">
      <c r="A10" s="29">
        <v>0.12</v>
      </c>
      <c r="B10" s="31">
        <v>77.09</v>
      </c>
      <c r="C10" s="31">
        <v>80.17</v>
      </c>
      <c r="D10" s="30">
        <v>83.59</v>
      </c>
      <c r="E10" s="30">
        <v>87.42</v>
      </c>
      <c r="F10" s="30">
        <v>91.73</v>
      </c>
    </row>
    <row r="11" spans="1:6">
      <c r="A11" s="10" t="s">
        <v>68</v>
      </c>
      <c r="B11" s="32" t="s">
        <v>69</v>
      </c>
      <c r="C11" s="33" t="s">
        <v>70</v>
      </c>
      <c r="D11" s="34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cols>
    <col min="1" max="1" width="22.7109375" customWidth="1"/>
    <col min="2" max="4" width="16.7109375" customWidth="1"/>
  </cols>
  <sheetData>
    <row r="1" spans="1:4">
      <c r="A1" s="1" t="s">
        <v>72</v>
      </c>
    </row>
    <row r="3" spans="1:4">
      <c r="A3" s="4" t="s">
        <v>73</v>
      </c>
    </row>
    <row r="4" spans="1:4">
      <c r="A4" s="9" t="s">
        <v>74</v>
      </c>
      <c r="B4" s="9" t="s">
        <v>75</v>
      </c>
      <c r="C4" s="9" t="s">
        <v>76</v>
      </c>
      <c r="D4" s="9" t="s">
        <v>77</v>
      </c>
    </row>
    <row r="5" spans="1:4">
      <c r="A5" t="s">
        <v>78</v>
      </c>
      <c r="B5" s="7">
        <v>11139</v>
      </c>
      <c r="C5" s="2" t="s">
        <v>79</v>
      </c>
      <c r="D5" s="2" t="s">
        <v>79</v>
      </c>
    </row>
    <row r="6" spans="1:4">
      <c r="A6" t="s">
        <v>80</v>
      </c>
      <c r="B6" s="7">
        <v>17455</v>
      </c>
      <c r="C6" s="2" t="s">
        <v>79</v>
      </c>
      <c r="D6" s="2" t="s">
        <v>79</v>
      </c>
    </row>
    <row r="7" spans="1:4">
      <c r="A7" t="s">
        <v>81</v>
      </c>
      <c r="B7" s="7">
        <v>31877</v>
      </c>
      <c r="C7" s="2" t="s">
        <v>79</v>
      </c>
      <c r="D7" s="2" t="s">
        <v>79</v>
      </c>
    </row>
    <row r="8" spans="1:4">
      <c r="A8" t="s">
        <v>82</v>
      </c>
      <c r="B8" s="7">
        <v>37281</v>
      </c>
      <c r="C8" s="2" t="s">
        <v>79</v>
      </c>
      <c r="D8" s="7">
        <v>22193</v>
      </c>
    </row>
    <row r="9" spans="1:4">
      <c r="A9" t="s">
        <v>83</v>
      </c>
      <c r="B9" s="7">
        <v>43978</v>
      </c>
      <c r="C9" s="7">
        <v>6895</v>
      </c>
      <c r="D9" s="7">
        <v>26688</v>
      </c>
    </row>
    <row r="10" spans="1:4">
      <c r="A10" t="s">
        <v>84</v>
      </c>
      <c r="B10" s="7">
        <v>52017</v>
      </c>
      <c r="C10" s="7">
        <v>9763</v>
      </c>
      <c r="D10" s="7">
        <v>27041</v>
      </c>
    </row>
    <row r="11" spans="1:4">
      <c r="A11" t="s">
        <v>85</v>
      </c>
      <c r="B11" s="2" t="s">
        <v>79</v>
      </c>
      <c r="C11" s="7">
        <v>9799</v>
      </c>
      <c r="D11" s="7">
        <v>24751</v>
      </c>
    </row>
    <row r="13" spans="1:4">
      <c r="A13" s="4" t="s">
        <v>86</v>
      </c>
    </row>
    <row r="14" spans="1:4">
      <c r="A14" s="9" t="s">
        <v>87</v>
      </c>
      <c r="B14" s="9" t="s">
        <v>88</v>
      </c>
      <c r="C14" s="9" t="s">
        <v>89</v>
      </c>
      <c r="D14" s="9" t="s">
        <v>90</v>
      </c>
    </row>
    <row r="15" spans="1:4">
      <c r="A15" t="s">
        <v>75</v>
      </c>
      <c r="B15" s="18">
        <v>0.1827959434262585</v>
      </c>
      <c r="C15" s="18">
        <v>0.1812147845607193</v>
      </c>
      <c r="D15" s="18">
        <v>0.177</v>
      </c>
    </row>
    <row r="16" spans="1:4">
      <c r="A16" t="s">
        <v>91</v>
      </c>
      <c r="B16" s="18">
        <v>0.416</v>
      </c>
      <c r="C16" s="2" t="s">
        <v>92</v>
      </c>
      <c r="D16" s="2" t="s">
        <v>92</v>
      </c>
    </row>
    <row r="17" spans="1:4">
      <c r="A17" t="s">
        <v>77</v>
      </c>
      <c r="B17" s="18">
        <v>0.01322691846522783</v>
      </c>
      <c r="C17" s="18">
        <v>0.104</v>
      </c>
      <c r="D17" s="2" t="s">
        <v>79</v>
      </c>
    </row>
    <row r="19" spans="1:4">
      <c r="A19" s="4" t="s">
        <v>93</v>
      </c>
    </row>
    <row r="20" spans="1:4">
      <c r="A20" t="s">
        <v>94</v>
      </c>
      <c r="B20" s="18">
        <v>0.177</v>
      </c>
    </row>
    <row r="21" spans="1:4">
      <c r="A21" t="s">
        <v>95</v>
      </c>
      <c r="B21" t="s">
        <v>96</v>
      </c>
    </row>
    <row r="23" spans="1:4">
      <c r="A23" s="10" t="s">
        <v>97</v>
      </c>
    </row>
    <row r="24" spans="1:4" ht="30" customHeight="1">
      <c r="A24" s="35" t="s">
        <v>98</v>
      </c>
      <c r="B24" s="35"/>
      <c r="C24" s="35"/>
      <c r="D24" s="35"/>
    </row>
    <row r="25" spans="1:4" ht="30" customHeight="1">
      <c r="A25" s="35"/>
      <c r="B25" s="35"/>
      <c r="C25" s="35"/>
      <c r="D25" s="35"/>
    </row>
    <row r="26" spans="1:4" ht="30" customHeight="1">
      <c r="A26" s="35"/>
      <c r="B26" s="35"/>
      <c r="C26" s="35"/>
      <c r="D26" s="35"/>
    </row>
    <row r="27" spans="1:4" ht="30" customHeight="1">
      <c r="A27" s="35"/>
      <c r="B27" s="35"/>
      <c r="C27" s="35"/>
      <c r="D27" s="35"/>
    </row>
    <row r="28" spans="1:4" ht="30" customHeight="1">
      <c r="A28" s="35"/>
      <c r="B28" s="35"/>
      <c r="C28" s="35"/>
      <c r="D28" s="35"/>
    </row>
  </sheetData>
  <mergeCells count="1">
    <mergeCell ref="A24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DCF Model (Base)</vt:lpstr>
      <vt:lpstr>Scenario Comparison</vt:lpstr>
      <vt:lpstr>Sensitivity</vt:lpstr>
      <vt:lpstr>Historical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2026-06-30T08:45:12Z</dcterms:created>
  <dcterms:modified xsi:type="dcterms:W3CDTF">2026-06-30T08:45:12Z</dcterms:modified>
</cp:coreProperties>
</file>