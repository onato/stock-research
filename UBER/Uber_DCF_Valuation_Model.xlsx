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alyst Comparison" sheetId="2" state="visible" r:id="rId2"/>
    <sheet xmlns:r="http://schemas.openxmlformats.org/officeDocument/2006/relationships" name="Historical Financials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DCF Assumptions" sheetId="5" state="visible" r:id="rId5"/>
    <sheet xmlns:r="http://schemas.openxmlformats.org/officeDocument/2006/relationships" name="DCF Model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Comparable Valuation" sheetId="8" state="visible" r:id="rId8"/>
    <sheet xmlns:r="http://schemas.openxmlformats.org/officeDocument/2006/relationships" name="Valuation Summary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\$#,##0.00"/>
    <numFmt numFmtId="166" formatCode="\$#,##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8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color rgb="FF0000FF"/>
      <sz val="11"/>
    </font>
    <font>
      <name val="Cambria"/>
      <charset val="1"/>
      <family val="0"/>
      <i val="1"/>
      <sz val="9"/>
    </font>
    <font>
      <name val="Cambria"/>
      <charset val="1"/>
      <family val="0"/>
      <sz val="11"/>
    </font>
    <font>
      <name val="Cambria"/>
      <charset val="1"/>
      <family val="0"/>
      <b val="1"/>
      <color rgb="FF008000"/>
      <sz val="12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b val="1"/>
      <color rgb="FF008000"/>
      <sz val="14"/>
    </font>
    <font>
      <b val="1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  <font>
      <color rgb="00008000"/>
    </font>
    <font>
      <color rgb="00FF8C00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0" fontId="17" fillId="5" borderId="0" pivotButton="0" quotePrefix="0" xfId="0"/>
    <xf numFmtId="0" fontId="18" fillId="6" borderId="0" applyAlignment="1" pivotButton="0" quotePrefix="0" xfId="0">
      <alignment horizontal="center"/>
    </xf>
    <xf numFmtId="0" fontId="19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8" fillId="6" borderId="0" pivotButton="0" quotePrefix="0" xfId="0"/>
    <xf numFmtId="0" fontId="0" fillId="9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8" fillId="3" borderId="0" applyAlignment="1" pivotButton="0" quotePrefix="0" xfId="0">
      <alignment horizontal="center" vertical="bottom"/>
    </xf>
    <xf numFmtId="3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7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5" customWidth="1" style="28" min="1" max="1"/>
    <col width="35" customWidth="1" style="28" min="2" max="2"/>
  </cols>
  <sheetData>
    <row r="1" ht="21.75" customHeight="1" s="29">
      <c r="A1" s="30" t="inlineStr">
        <is>
          <t>UBER TECHNOLOGIES INC. (NYSE: UBER)</t>
        </is>
      </c>
    </row>
    <row r="2" ht="17.25" customHeight="1" s="29">
      <c r="A2" s="31" t="inlineStr">
        <is>
          <t>Discounted Cash Flow (DCF) Valuation Model</t>
        </is>
      </c>
    </row>
    <row r="3" ht="15" customHeight="1" s="29">
      <c r="A3" s="28" t="inlineStr">
        <is>
          <t>Analysis Date: January 02, 2026</t>
        </is>
      </c>
    </row>
    <row r="5" ht="15" customHeight="1" s="29">
      <c r="A5" s="32" t="inlineStr">
        <is>
          <t>COMPANY OVERVIEW</t>
        </is>
      </c>
    </row>
    <row r="6" ht="15" customHeight="1" s="29">
      <c r="A6" s="33" t="inlineStr">
        <is>
          <t>Industry:</t>
        </is>
      </c>
      <c r="B6" s="28" t="inlineStr">
        <is>
          <t>Technology / Transportation Network</t>
        </is>
      </c>
    </row>
    <row r="7" ht="15" customHeight="1" s="29">
      <c r="A7" s="33" t="inlineStr">
        <is>
          <t>Business Segments:</t>
        </is>
      </c>
      <c r="B7" s="28" t="inlineStr">
        <is>
          <t>Mobility, Delivery, Freight</t>
        </is>
      </c>
    </row>
    <row r="8" ht="15" customHeight="1" s="29">
      <c r="A8" s="33" t="inlineStr">
        <is>
          <t>Headquarters:</t>
        </is>
      </c>
      <c r="B8" s="28" t="inlineStr">
        <is>
          <t>San Francisco, California</t>
        </is>
      </c>
    </row>
    <row r="9" ht="15" customHeight="1" s="29">
      <c r="A9" s="33" t="inlineStr">
        <is>
          <t>Employees:</t>
        </is>
      </c>
      <c r="B9" s="28" t="inlineStr">
        <is>
          <t>~31,100</t>
        </is>
      </c>
    </row>
    <row r="10" ht="15" customHeight="1" s="29">
      <c r="A10" s="33" t="inlineStr">
        <is>
          <t>Global Presence:</t>
        </is>
      </c>
      <c r="B10" s="28" t="inlineStr">
        <is>
          <t>70+ countries, 15,000+ cities</t>
        </is>
      </c>
    </row>
    <row r="11" ht="15" customHeight="1" s="29">
      <c r="A11" s="33" t="inlineStr">
        <is>
          <t>Ticker:</t>
        </is>
      </c>
      <c r="B11" s="28" t="inlineStr">
        <is>
          <t>NYSE: UBER</t>
        </is>
      </c>
    </row>
    <row r="14" ht="15" customHeight="1" s="29">
      <c r="A14" s="32" t="inlineStr">
        <is>
          <t>KEY INVESTMENT HIGHLIGHTS</t>
        </is>
      </c>
    </row>
    <row r="15" ht="15" customHeight="1" s="29">
      <c r="A15" s="28" t="inlineStr">
        <is>
          <t>• Global leader in ride-hailing with dominant market share vs. competitors</t>
        </is>
      </c>
    </row>
    <row r="16" ht="15" customHeight="1" s="29">
      <c r="A16" s="28" t="inlineStr">
        <is>
          <t>• Diversified platform: Mobility + Delivery + Freight + Advertising</t>
        </is>
      </c>
    </row>
    <row r="17" ht="15" customHeight="1" s="29">
      <c r="A17" s="28" t="inlineStr">
        <is>
          <t>• Strong network effects and two-sided marketplace advantage</t>
        </is>
      </c>
    </row>
    <row r="18" ht="15" customHeight="1" s="29">
      <c r="A18" s="28" t="inlineStr">
        <is>
          <t>• Achieved profitability inflection in 2023-2024</t>
        </is>
      </c>
    </row>
    <row r="19" ht="15" customHeight="1" s="29">
      <c r="A19" s="28" t="inlineStr">
        <is>
          <t>• 30+ million Uber One members driving customer retention</t>
        </is>
      </c>
    </row>
    <row r="20" ht="15" customHeight="1" s="29">
      <c r="A20" s="28" t="inlineStr">
        <is>
          <t>• Strategic partnerships in autonomous vehicles (Waymo, Aurora)</t>
        </is>
      </c>
    </row>
    <row r="21" ht="15" customHeight="1" s="29">
      <c r="A21" s="28" t="inlineStr">
        <is>
          <t>• Record $6.9B free cash flow in 2024</t>
        </is>
      </c>
    </row>
    <row r="24" ht="15" customHeight="1" s="29">
      <c r="A24" s="32" t="inlineStr">
        <is>
          <t>KEY RISKS</t>
        </is>
      </c>
    </row>
    <row r="25" ht="15" customHeight="1" s="29">
      <c r="A25" s="28" t="inlineStr">
        <is>
          <t>• Regulatory risk: Gig worker classification (AB5-type legislation)</t>
        </is>
      </c>
    </row>
    <row r="26" ht="15" customHeight="1" s="29">
      <c r="A26" s="28" t="inlineStr">
        <is>
          <t>• Competitive pressure from regional players and new entrants</t>
        </is>
      </c>
    </row>
    <row r="27" ht="15" customHeight="1" s="29">
      <c r="A27" s="28" t="inlineStr">
        <is>
          <t>• AV disruption risk if autonomous technology matures rapidly</t>
        </is>
      </c>
    </row>
    <row r="28" ht="15" customHeight="1" s="29">
      <c r="A28" s="28" t="inlineStr">
        <is>
          <t>• Macro sensitivity: Consumer spending, fuel prices</t>
        </is>
      </c>
    </row>
    <row r="29" ht="15" customHeight="1" s="29">
      <c r="A29" s="28" t="inlineStr">
        <is>
          <t>• Legal/litigation costs averaging ~$400M+ per quarter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5" customWidth="1" style="29" min="1" max="1"/>
    <col width="18" customWidth="1" style="29" min="2" max="2"/>
    <col width="20" customWidth="1" style="29" min="3" max="3"/>
    <col width="15" customWidth="1" style="29" min="4" max="4"/>
    <col width="45" customWidth="1" style="29" min="5" max="5"/>
  </cols>
  <sheetData>
    <row r="1">
      <c r="A1" s="34" t="inlineStr">
        <is>
          <t>DCF MODEL ASSUMPTIONS vs. ANALYST CONSENSUS</t>
        </is>
      </c>
    </row>
    <row r="2">
      <c r="A2" s="35" t="inlineStr">
        <is>
          <t>Comparison of our projections with Wall Street analyst estimates</t>
        </is>
      </c>
    </row>
    <row r="4">
      <c r="A4" s="36" t="inlineStr">
        <is>
          <t>REVENUE PROJECTIONS ($B)</t>
        </is>
      </c>
    </row>
    <row r="5">
      <c r="A5" s="37" t="inlineStr">
        <is>
          <t>Year</t>
        </is>
      </c>
      <c r="B5" s="37" t="inlineStr">
        <is>
          <t>Our DCF Model</t>
        </is>
      </c>
      <c r="C5" s="37" t="inlineStr">
        <is>
          <t>Analyst Consensus</t>
        </is>
      </c>
      <c r="D5" s="37" t="inlineStr">
        <is>
          <t>Difference</t>
        </is>
      </c>
      <c r="E5" s="37" t="inlineStr">
        <is>
          <t>Assessment</t>
        </is>
      </c>
    </row>
    <row r="6">
      <c r="A6" s="38" t="inlineStr">
        <is>
          <t>2024A</t>
        </is>
      </c>
      <c r="B6" t="n">
        <v>44</v>
      </c>
      <c r="C6" t="n">
        <v>44</v>
      </c>
      <c r="D6" t="inlineStr">
        <is>
          <t>0.0%</t>
        </is>
      </c>
      <c r="E6" s="39" t="inlineStr">
        <is>
          <t>Actual</t>
        </is>
      </c>
    </row>
    <row r="7">
      <c r="A7" s="38" t="inlineStr">
        <is>
          <t>2025E</t>
        </is>
      </c>
      <c r="B7" t="n">
        <v>51.9</v>
      </c>
      <c r="C7" t="n">
        <v>52</v>
      </c>
      <c r="D7" t="inlineStr">
        <is>
          <t>-0.2%</t>
        </is>
      </c>
      <c r="E7" s="40" t="inlineStr">
        <is>
          <t>In Line</t>
        </is>
      </c>
    </row>
    <row r="8">
      <c r="A8" s="38" t="inlineStr">
        <is>
          <t>2026E</t>
        </is>
      </c>
      <c r="B8" t="n">
        <v>60.2</v>
      </c>
      <c r="C8" t="n">
        <v>60.1</v>
      </c>
      <c r="D8" t="inlineStr">
        <is>
          <t>+0.2%</t>
        </is>
      </c>
      <c r="E8" s="40" t="inlineStr">
        <is>
          <t>In Line</t>
        </is>
      </c>
    </row>
    <row r="9">
      <c r="A9" s="38" t="inlineStr">
        <is>
          <t>2027E</t>
        </is>
      </c>
      <c r="B9" t="n">
        <v>68.59999999999999</v>
      </c>
      <c r="C9" t="n">
        <v>68</v>
      </c>
      <c r="D9" t="inlineStr">
        <is>
          <t>+0.9%</t>
        </is>
      </c>
      <c r="E9" s="41" t="inlineStr">
        <is>
          <t>Slightly Higher</t>
        </is>
      </c>
    </row>
    <row r="10">
      <c r="A10" s="38" t="inlineStr">
        <is>
          <t>2028E</t>
        </is>
      </c>
      <c r="B10" t="n">
        <v>76.90000000000001</v>
      </c>
      <c r="C10" t="n">
        <v>75</v>
      </c>
      <c r="D10" t="inlineStr">
        <is>
          <t>+2.5%</t>
        </is>
      </c>
      <c r="E10" s="41" t="inlineStr">
        <is>
          <t>Slightly Higher</t>
        </is>
      </c>
    </row>
    <row r="11">
      <c r="A11" s="38" t="inlineStr">
        <is>
          <t>2029E</t>
        </is>
      </c>
      <c r="B11" t="n">
        <v>84.5</v>
      </c>
      <c r="C11" t="n">
        <v>82</v>
      </c>
      <c r="D11" t="inlineStr">
        <is>
          <t>+3.0%</t>
        </is>
      </c>
      <c r="E11" s="41" t="inlineStr">
        <is>
          <t>Slightly Higher</t>
        </is>
      </c>
    </row>
    <row r="14">
      <c r="A14" s="36" t="inlineStr">
        <is>
          <t>REVENUE GROWTH RATES</t>
        </is>
      </c>
    </row>
    <row r="15">
      <c r="A15" s="42" t="inlineStr">
        <is>
          <t>Year</t>
        </is>
      </c>
      <c r="B15" s="42" t="inlineStr">
        <is>
          <t>Our DCF Model</t>
        </is>
      </c>
      <c r="C15" s="42" t="inlineStr">
        <is>
          <t>Analyst Consensus</t>
        </is>
      </c>
      <c r="D15" s="42" t="inlineStr">
        <is>
          <t>Difference</t>
        </is>
      </c>
      <c r="E15" s="42" t="inlineStr">
        <is>
          <t>Assessment</t>
        </is>
      </c>
    </row>
    <row r="16">
      <c r="A16" s="38" t="inlineStr">
        <is>
          <t>2025E</t>
        </is>
      </c>
      <c r="B16" t="inlineStr">
        <is>
          <t>18.0%</t>
        </is>
      </c>
      <c r="C16" t="inlineStr">
        <is>
          <t>18.2%</t>
        </is>
      </c>
      <c r="D16" t="inlineStr">
        <is>
          <t>-0.2pp</t>
        </is>
      </c>
      <c r="E16" s="40" t="inlineStr">
        <is>
          <t>In Line</t>
        </is>
      </c>
    </row>
    <row r="17">
      <c r="A17" s="38" t="inlineStr">
        <is>
          <t>2026E</t>
        </is>
      </c>
      <c r="B17" t="inlineStr">
        <is>
          <t>16.0%</t>
        </is>
      </c>
      <c r="C17" t="inlineStr">
        <is>
          <t>15.6%</t>
        </is>
      </c>
      <c r="D17" t="inlineStr">
        <is>
          <t>+0.4pp</t>
        </is>
      </c>
      <c r="E17" s="40" t="inlineStr">
        <is>
          <t>In Line</t>
        </is>
      </c>
    </row>
    <row r="18">
      <c r="A18" s="38" t="inlineStr">
        <is>
          <t>2027E</t>
        </is>
      </c>
      <c r="B18" t="inlineStr">
        <is>
          <t>14.0%</t>
        </is>
      </c>
      <c r="C18" t="inlineStr">
        <is>
          <t>13.2%</t>
        </is>
      </c>
      <c r="D18" t="inlineStr">
        <is>
          <t>+0.8pp</t>
        </is>
      </c>
      <c r="E18" s="41" t="inlineStr">
        <is>
          <t>Slightly Higher</t>
        </is>
      </c>
    </row>
    <row r="19">
      <c r="A19" s="38" t="inlineStr">
        <is>
          <t>2028E</t>
        </is>
      </c>
      <c r="B19" t="inlineStr">
        <is>
          <t>12.0%</t>
        </is>
      </c>
      <c r="C19" t="inlineStr">
        <is>
          <t>10.3%</t>
        </is>
      </c>
      <c r="D19" t="inlineStr">
        <is>
          <t>+1.7pp</t>
        </is>
      </c>
      <c r="E19" s="43" t="inlineStr">
        <is>
          <t>Higher</t>
        </is>
      </c>
    </row>
    <row r="20">
      <c r="A20" s="38" t="inlineStr">
        <is>
          <t>2029E</t>
        </is>
      </c>
      <c r="B20" t="inlineStr">
        <is>
          <t>10.0%</t>
        </is>
      </c>
      <c r="C20" t="inlineStr">
        <is>
          <t>9.3%</t>
        </is>
      </c>
      <c r="D20" t="inlineStr">
        <is>
          <t>+0.7pp</t>
        </is>
      </c>
      <c r="E20" s="41" t="inlineStr">
        <is>
          <t>Slightly Higher</t>
        </is>
      </c>
    </row>
    <row r="21">
      <c r="A21" s="38" t="inlineStr">
        <is>
          <t>Terminal</t>
        </is>
      </c>
      <c r="B21" t="inlineStr">
        <is>
          <t>3.5%</t>
        </is>
      </c>
      <c r="C21" t="inlineStr">
        <is>
          <t>3.0-4.0%</t>
        </is>
      </c>
      <c r="D21" t="inlineStr">
        <is>
          <t>N/A</t>
        </is>
      </c>
      <c r="E21" s="40" t="inlineStr">
        <is>
          <t>Reasonable</t>
        </is>
      </c>
    </row>
    <row r="24">
      <c r="A24" s="36" t="inlineStr">
        <is>
          <t>ADJUSTED EBITDA PROJECTIONS ($B)</t>
        </is>
      </c>
    </row>
    <row r="25">
      <c r="A25" s="42" t="inlineStr">
        <is>
          <t>Year</t>
        </is>
      </c>
      <c r="B25" s="42" t="inlineStr">
        <is>
          <t>Our DCF Model</t>
        </is>
      </c>
      <c r="C25" s="42" t="inlineStr">
        <is>
          <t>Analyst Consensus</t>
        </is>
      </c>
      <c r="D25" s="42" t="inlineStr">
        <is>
          <t>Difference</t>
        </is>
      </c>
      <c r="E25" s="42" t="inlineStr">
        <is>
          <t>Assessment</t>
        </is>
      </c>
    </row>
    <row r="26">
      <c r="A26" s="38" t="inlineStr">
        <is>
          <t>2024A</t>
        </is>
      </c>
      <c r="B26" t="n">
        <v>6.5</v>
      </c>
      <c r="C26" t="n">
        <v>6.5</v>
      </c>
      <c r="D26" t="inlineStr">
        <is>
          <t>0.0%</t>
        </is>
      </c>
      <c r="E26" s="40" t="inlineStr">
        <is>
          <t>Actual</t>
        </is>
      </c>
    </row>
    <row r="27">
      <c r="A27" s="38" t="inlineStr">
        <is>
          <t>2025E</t>
        </is>
      </c>
      <c r="B27" t="n">
        <v>8.6</v>
      </c>
      <c r="C27" t="n">
        <v>8.699999999999999</v>
      </c>
      <c r="D27" t="inlineStr">
        <is>
          <t>-1.1%</t>
        </is>
      </c>
      <c r="E27" s="40" t="inlineStr">
        <is>
          <t>In Line</t>
        </is>
      </c>
    </row>
    <row r="28">
      <c r="A28" s="38" t="inlineStr">
        <is>
          <t>2026E</t>
        </is>
      </c>
      <c r="B28" t="n">
        <v>10.8</v>
      </c>
      <c r="C28" t="n">
        <v>10.5</v>
      </c>
      <c r="D28" t="inlineStr">
        <is>
          <t>+2.9%</t>
        </is>
      </c>
      <c r="E28" s="41" t="inlineStr">
        <is>
          <t>Slightly Higher</t>
        </is>
      </c>
    </row>
    <row r="29">
      <c r="A29" s="38" t="inlineStr">
        <is>
          <t>2027E</t>
        </is>
      </c>
      <c r="B29" t="n">
        <v>13.4</v>
      </c>
      <c r="C29" t="n">
        <v>12.5</v>
      </c>
      <c r="D29" t="inlineStr">
        <is>
          <t>+7.2%</t>
        </is>
      </c>
      <c r="E29" s="43" t="inlineStr">
        <is>
          <t>Higher</t>
        </is>
      </c>
    </row>
    <row r="30">
      <c r="A30" s="38" t="inlineStr">
        <is>
          <t>2028E</t>
        </is>
      </c>
      <c r="B30" t="n">
        <v>16.1</v>
      </c>
      <c r="C30" t="n">
        <v>14.1</v>
      </c>
      <c r="D30" t="inlineStr">
        <is>
          <t>+14.2%</t>
        </is>
      </c>
      <c r="E30" s="43" t="inlineStr">
        <is>
          <t>Higher</t>
        </is>
      </c>
    </row>
    <row r="31">
      <c r="A31" s="38" t="inlineStr">
        <is>
          <t>2029E</t>
        </is>
      </c>
      <c r="B31" t="n">
        <v>18.6</v>
      </c>
      <c r="C31" t="n">
        <v>16</v>
      </c>
      <c r="D31" t="inlineStr">
        <is>
          <t>+16.3%</t>
        </is>
      </c>
      <c r="E31" s="43" t="inlineStr">
        <is>
          <t>Higher</t>
        </is>
      </c>
    </row>
    <row r="34">
      <c r="A34" s="36" t="inlineStr">
        <is>
          <t>EBITDA MARGIN (% of Revenue)</t>
        </is>
      </c>
    </row>
    <row r="35">
      <c r="A35" s="42" t="inlineStr">
        <is>
          <t>Year</t>
        </is>
      </c>
      <c r="B35" s="42" t="inlineStr">
        <is>
          <t>Our DCF Model</t>
        </is>
      </c>
      <c r="C35" s="42" t="inlineStr">
        <is>
          <t>Analyst Consensus</t>
        </is>
      </c>
      <c r="D35" s="42" t="inlineStr">
        <is>
          <t>Difference</t>
        </is>
      </c>
      <c r="E35" s="42" t="inlineStr">
        <is>
          <t>Assessment</t>
        </is>
      </c>
    </row>
    <row r="36">
      <c r="A36" s="38" t="inlineStr">
        <is>
          <t>2024A</t>
        </is>
      </c>
      <c r="B36" t="inlineStr">
        <is>
          <t>14.9%</t>
        </is>
      </c>
      <c r="C36" t="inlineStr">
        <is>
          <t>14.9%</t>
        </is>
      </c>
      <c r="D36" t="inlineStr">
        <is>
          <t>0.0pp</t>
        </is>
      </c>
      <c r="E36" s="40" t="inlineStr">
        <is>
          <t>Actual</t>
        </is>
      </c>
    </row>
    <row r="37">
      <c r="A37" s="38" t="inlineStr">
        <is>
          <t>2025E</t>
        </is>
      </c>
      <c r="B37" t="inlineStr">
        <is>
          <t>16.5%</t>
        </is>
      </c>
      <c r="C37" t="inlineStr">
        <is>
          <t>16.7%</t>
        </is>
      </c>
      <c r="D37" t="inlineStr">
        <is>
          <t>-0.2pp</t>
        </is>
      </c>
      <c r="E37" s="40" t="inlineStr">
        <is>
          <t>In Line</t>
        </is>
      </c>
    </row>
    <row r="38">
      <c r="A38" s="38" t="inlineStr">
        <is>
          <t>2026E</t>
        </is>
      </c>
      <c r="B38" t="inlineStr">
        <is>
          <t>18.0%</t>
        </is>
      </c>
      <c r="C38" t="inlineStr">
        <is>
          <t>17.5%</t>
        </is>
      </c>
      <c r="D38" t="inlineStr">
        <is>
          <t>+0.5pp</t>
        </is>
      </c>
      <c r="E38" s="41" t="inlineStr">
        <is>
          <t>Slightly Higher</t>
        </is>
      </c>
    </row>
    <row r="39">
      <c r="A39" s="38" t="inlineStr">
        <is>
          <t>2027E</t>
        </is>
      </c>
      <c r="B39" t="inlineStr">
        <is>
          <t>19.5%</t>
        </is>
      </c>
      <c r="C39" t="inlineStr">
        <is>
          <t>18.4%</t>
        </is>
      </c>
      <c r="D39" t="inlineStr">
        <is>
          <t>+1.1pp</t>
        </is>
      </c>
      <c r="E39" s="43" t="inlineStr">
        <is>
          <t>Higher</t>
        </is>
      </c>
    </row>
    <row r="40">
      <c r="A40" s="38" t="inlineStr">
        <is>
          <t>2028E</t>
        </is>
      </c>
      <c r="B40" t="inlineStr">
        <is>
          <t>21.0%</t>
        </is>
      </c>
      <c r="C40" t="inlineStr">
        <is>
          <t>18.8%</t>
        </is>
      </c>
      <c r="D40" t="inlineStr">
        <is>
          <t>+2.2pp</t>
        </is>
      </c>
      <c r="E40" s="43" t="inlineStr">
        <is>
          <t>Higher</t>
        </is>
      </c>
    </row>
    <row r="41">
      <c r="A41" s="38" t="inlineStr">
        <is>
          <t>2029E</t>
        </is>
      </c>
      <c r="B41" t="inlineStr">
        <is>
          <t>22.0%</t>
        </is>
      </c>
      <c r="C41" t="inlineStr">
        <is>
          <t>19.5%</t>
        </is>
      </c>
      <c r="D41" t="inlineStr">
        <is>
          <t>+2.5pp</t>
        </is>
      </c>
      <c r="E41" s="43" t="inlineStr">
        <is>
          <t>Higher</t>
        </is>
      </c>
    </row>
    <row r="44">
      <c r="A44" s="36" t="inlineStr">
        <is>
          <t>VALUATION COMPARISON</t>
        </is>
      </c>
    </row>
    <row r="45">
      <c r="A45" s="42" t="inlineStr">
        <is>
          <t>Metric</t>
        </is>
      </c>
      <c r="B45" s="42" t="inlineStr">
        <is>
          <t>Our DCF Model</t>
        </is>
      </c>
      <c r="C45" s="42" t="inlineStr">
        <is>
          <t>Analyst Consensus</t>
        </is>
      </c>
      <c r="D45" s="42" t="inlineStr">
        <is>
          <t>Notes</t>
        </is>
      </c>
    </row>
    <row r="46">
      <c r="A46" s="38" t="inlineStr">
        <is>
          <t>Implied Share Price</t>
        </is>
      </c>
      <c r="B46" t="inlineStr">
        <is>
          <t>$86</t>
        </is>
      </c>
      <c r="C46" t="inlineStr">
        <is>
          <t>$109-$114</t>
        </is>
      </c>
      <c r="D46" t="inlineStr">
        <is>
          <t>Our DCF is more conservative</t>
        </is>
      </c>
    </row>
    <row r="47">
      <c r="A47" s="38" t="inlineStr">
        <is>
          <t>Price Target Range</t>
        </is>
      </c>
      <c r="B47" t="inlineStr">
        <is>
          <t>$75-$105</t>
        </is>
      </c>
      <c r="C47" t="inlineStr">
        <is>
          <t>$78-$150</t>
        </is>
      </c>
      <c r="D47" t="inlineStr">
        <is>
          <t>Similar low end</t>
        </is>
      </c>
    </row>
    <row r="48">
      <c r="A48" s="38" t="inlineStr">
        <is>
          <t>WACC</t>
        </is>
      </c>
      <c r="B48" t="inlineStr">
        <is>
          <t>9.8%</t>
        </is>
      </c>
      <c r="C48" t="inlineStr">
        <is>
          <t>~9.5-10.5%</t>
        </is>
      </c>
      <c r="D48" t="inlineStr">
        <is>
          <t>Within typical range</t>
        </is>
      </c>
    </row>
    <row r="49">
      <c r="A49" s="38" t="inlineStr">
        <is>
          <t>Terminal Growth</t>
        </is>
      </c>
      <c r="B49" t="inlineStr">
        <is>
          <t>3.5%</t>
        </is>
      </c>
      <c r="C49" t="inlineStr">
        <is>
          <t>3.0-4.0%</t>
        </is>
      </c>
      <c r="D49" t="inlineStr">
        <is>
          <t>Reasonable assumption</t>
        </is>
      </c>
    </row>
    <row r="50">
      <c r="A50" s="38" t="inlineStr">
        <is>
          <t>Terminal EV/EBITDA</t>
        </is>
      </c>
      <c r="B50" t="inlineStr">
        <is>
          <t>~12x</t>
        </is>
      </c>
      <c r="C50" t="inlineStr">
        <is>
          <t>~12-15x</t>
        </is>
      </c>
      <c r="D50" t="inlineStr">
        <is>
          <t>Within range</t>
        </is>
      </c>
    </row>
    <row r="53">
      <c r="A53" s="36" t="inlineStr">
        <is>
          <t>KEY FINDINGS &amp; COMMENTARY</t>
        </is>
      </c>
    </row>
    <row r="54">
      <c r="A54" t="inlineStr"/>
    </row>
    <row r="55">
      <c r="A55" s="44" t="inlineStr">
        <is>
          <t>✓ REVENUE: Our projections are well-aligned with analyst consensus through 2026.</t>
        </is>
      </c>
    </row>
    <row r="56">
      <c r="A56" t="inlineStr">
        <is>
          <t xml:space="preserve">  Slight divergence in outer years (+3%) reflects continued momentum assumptions.</t>
        </is>
      </c>
    </row>
    <row r="57">
      <c r="A57" t="inlineStr"/>
    </row>
    <row r="58">
      <c r="A58" s="44" t="inlineStr">
        <is>
          <t>✓ GROWTH RATES: Near-term growth (2025-2026) matches Street expectations closely.</t>
        </is>
      </c>
    </row>
    <row r="59">
      <c r="A59" t="inlineStr">
        <is>
          <t xml:space="preserve">  Our 18% growth for 2025 aligns with TTM actual of 18.3% and Q3'25 at 20%.</t>
        </is>
      </c>
    </row>
    <row r="60">
      <c r="A60" t="inlineStr"/>
    </row>
    <row r="61">
      <c r="A61" s="45" t="inlineStr">
        <is>
          <t>⚠ EBITDA MARGINS: Our model assumes more aggressive margin expansion (22% terminal)</t>
        </is>
      </c>
    </row>
    <row r="62">
      <c r="A62" t="inlineStr">
        <is>
          <t xml:space="preserve">  vs. Street consensus around 19-20%. This is the key UPSIDE driver in our DCF.</t>
        </is>
      </c>
    </row>
    <row r="63">
      <c r="A63" t="inlineStr">
        <is>
          <t xml:space="preserve">  Justified by: advertising scale ($1.5B+ at 60%+ growth), operating leverage.</t>
        </is>
      </c>
    </row>
    <row r="64">
      <c r="A64" t="inlineStr"/>
    </row>
    <row r="65">
      <c r="A65" s="45" t="inlineStr">
        <is>
          <t>⚠ IMPLIED VALUATION: Our DCF implies ~$86 vs. Street target of $109-$114.</t>
        </is>
      </c>
    </row>
    <row r="66">
      <c r="A66" t="inlineStr">
        <is>
          <t xml:space="preserve">  Primary difference: We use more conservative terminal multiple assumptions.</t>
        </is>
      </c>
    </row>
    <row r="67">
      <c r="A67" t="inlineStr"/>
    </row>
    <row r="68">
      <c r="A68" s="38" t="inlineStr">
        <is>
          <t>📊 ANALYST RATINGS: 29 of 36 analysts rate UBER as Buy/Outperform</t>
        </is>
      </c>
    </row>
    <row r="69">
      <c r="A69" t="inlineStr">
        <is>
          <t xml:space="preserve">  Consensus PT: $109-$114 | Range: $78 (KGI) to $150 (Evercore ISI)</t>
        </is>
      </c>
    </row>
    <row r="70">
      <c r="A70" t="inlineStr"/>
    </row>
    <row r="71">
      <c r="A71" s="38" t="inlineStr">
        <is>
          <t>📈 UPSIDE SCENARIO: If terminal EBITDA margin reaches 24% (vs. 22% base),</t>
        </is>
      </c>
    </row>
    <row r="72">
      <c r="A72" t="inlineStr">
        <is>
          <t xml:space="preserve">  implied share price increases to ~$105, matching low end of Street targets.</t>
        </is>
      </c>
    </row>
    <row r="73">
      <c r="A73" s="46" t="inlineStr">
        <is>
          <t>Sources: Uber Q3 2025 Earnings, Company Guidance, Bloomberg, FactSet, Simply Wall St, Benzinga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8" min="1" max="6"/>
  </cols>
  <sheetData>
    <row r="1" ht="17.25" customHeight="1" s="29">
      <c r="A1" s="31" t="inlineStr">
        <is>
          <t>UBER TECHNOLOGIES - HISTORICAL FINANCIAL PERFORMANCE</t>
        </is>
      </c>
    </row>
    <row r="3" ht="17.25" customHeight="1" s="29">
      <c r="A3" s="47" t="inlineStr">
        <is>
          <t>Metric</t>
        </is>
      </c>
      <c r="B3" s="47" t="inlineStr">
        <is>
          <t>2021</t>
        </is>
      </c>
      <c r="C3" s="47" t="inlineStr">
        <is>
          <t>2022</t>
        </is>
      </c>
      <c r="D3" s="47" t="inlineStr">
        <is>
          <t>2023</t>
        </is>
      </c>
      <c r="E3" s="47" t="inlineStr">
        <is>
          <t>2024</t>
        </is>
      </c>
      <c r="F3" s="47" t="inlineStr">
        <is>
          <t>TTM Q3 2025</t>
        </is>
      </c>
    </row>
    <row r="4" ht="15" customHeight="1" s="29">
      <c r="A4" s="33" t="inlineStr">
        <is>
          <t>Revenue ($mm)</t>
        </is>
      </c>
      <c r="B4" s="48" t="n">
        <v>17455</v>
      </c>
      <c r="C4" s="48" t="n">
        <v>31877</v>
      </c>
      <c r="D4" s="48" t="n">
        <v>37281</v>
      </c>
      <c r="E4" s="48" t="n">
        <v>43978</v>
      </c>
      <c r="F4" s="48" t="n">
        <v>49610</v>
      </c>
    </row>
    <row r="5" ht="15" customHeight="1" s="29">
      <c r="A5" s="33" t="inlineStr">
        <is>
          <t>YoY Revenue Growth (%)</t>
        </is>
      </c>
      <c r="B5" s="28" t="inlineStr">
        <is>
          <t>N/A</t>
        </is>
      </c>
      <c r="C5" s="28" t="inlineStr">
        <is>
          <t>82.6%</t>
        </is>
      </c>
      <c r="D5" s="28" t="inlineStr">
        <is>
          <t>16.9%</t>
        </is>
      </c>
      <c r="E5" s="28" t="inlineStr">
        <is>
          <t>18.0%</t>
        </is>
      </c>
      <c r="F5" s="28" t="inlineStr">
        <is>
          <t>18.3%</t>
        </is>
      </c>
    </row>
    <row r="6" ht="15" customHeight="1" s="29">
      <c r="A6" s="33" t="n"/>
    </row>
    <row r="7" ht="15" customHeight="1" s="29">
      <c r="A7" s="33" t="inlineStr">
        <is>
          <t>Gross Bookings ($mm)</t>
        </is>
      </c>
      <c r="B7" s="48" t="n">
        <v>90415</v>
      </c>
      <c r="C7" s="48" t="n">
        <v>115395</v>
      </c>
      <c r="D7" s="48" t="n">
        <v>137753</v>
      </c>
      <c r="E7" s="48" t="n">
        <v>162000</v>
      </c>
      <c r="F7" s="48" t="n">
        <v>185000</v>
      </c>
    </row>
    <row r="8" ht="15" customHeight="1" s="29">
      <c r="A8" s="33" t="inlineStr">
        <is>
          <t>Take Rate (Revenue/GB)</t>
        </is>
      </c>
      <c r="B8" s="28" t="inlineStr">
        <is>
          <t>19.3%</t>
        </is>
      </c>
      <c r="C8" s="28" t="inlineStr">
        <is>
          <t>27.6%</t>
        </is>
      </c>
      <c r="D8" s="28" t="inlineStr">
        <is>
          <t>27.1%</t>
        </is>
      </c>
      <c r="E8" s="28" t="inlineStr">
        <is>
          <t>27.2%</t>
        </is>
      </c>
      <c r="F8" s="28" t="inlineStr">
        <is>
          <t>26.8%</t>
        </is>
      </c>
    </row>
    <row r="9" ht="15" customHeight="1" s="29">
      <c r="A9" s="33" t="n"/>
    </row>
    <row r="10" ht="15" customHeight="1" s="29">
      <c r="A10" s="33" t="inlineStr">
        <is>
          <t>Adjusted EBITDA ($mm)</t>
        </is>
      </c>
      <c r="B10" s="48" t="n">
        <v>7</v>
      </c>
      <c r="C10" s="48" t="n">
        <v>1586</v>
      </c>
      <c r="D10" s="48" t="n">
        <v>4053</v>
      </c>
      <c r="E10" s="48" t="n">
        <v>6532</v>
      </c>
      <c r="F10" s="48" t="n">
        <v>8100</v>
      </c>
    </row>
    <row r="11" ht="15" customHeight="1" s="29">
      <c r="A11" s="33" t="inlineStr">
        <is>
          <t>Adj. EBITDA Margin (% Rev)</t>
        </is>
      </c>
      <c r="B11" s="28" t="inlineStr">
        <is>
          <t>0.0%</t>
        </is>
      </c>
      <c r="C11" s="28" t="inlineStr">
        <is>
          <t>5.0%</t>
        </is>
      </c>
      <c r="D11" s="28" t="inlineStr">
        <is>
          <t>10.9%</t>
        </is>
      </c>
      <c r="E11" s="28" t="inlineStr">
        <is>
          <t>14.9%</t>
        </is>
      </c>
      <c r="F11" s="28" t="inlineStr">
        <is>
          <t>16.3%</t>
        </is>
      </c>
    </row>
    <row r="12" ht="15" customHeight="1" s="29">
      <c r="A12" s="33" t="inlineStr">
        <is>
          <t>Adj. EBITDA Margin (% GB)</t>
        </is>
      </c>
      <c r="B12" s="28" t="inlineStr">
        <is>
          <t>0.0%</t>
        </is>
      </c>
      <c r="C12" s="28" t="inlineStr">
        <is>
          <t>1.4%</t>
        </is>
      </c>
      <c r="D12" s="28" t="inlineStr">
        <is>
          <t>2.9%</t>
        </is>
      </c>
      <c r="E12" s="28" t="inlineStr">
        <is>
          <t>4.0%</t>
        </is>
      </c>
      <c r="F12" s="28" t="inlineStr">
        <is>
          <t>4.4%</t>
        </is>
      </c>
    </row>
    <row r="13" ht="15" customHeight="1" s="29">
      <c r="A13" s="33" t="n"/>
    </row>
    <row r="14" ht="15" customHeight="1" s="29">
      <c r="A14" s="33" t="inlineStr">
        <is>
          <t>Operating Income ($mm)</t>
        </is>
      </c>
      <c r="B14" s="48" t="n">
        <v>-3826</v>
      </c>
      <c r="C14" s="48" t="n">
        <v>-1832</v>
      </c>
      <c r="D14" s="48" t="n">
        <v>1872</v>
      </c>
      <c r="E14" s="48" t="n">
        <v>2840</v>
      </c>
      <c r="F14" s="48" t="n">
        <v>4600</v>
      </c>
    </row>
    <row r="15" ht="15" customHeight="1" s="29">
      <c r="A15" s="33" t="inlineStr">
        <is>
          <t>Net Income ($mm)</t>
        </is>
      </c>
      <c r="B15" s="48" t="n">
        <v>-496</v>
      </c>
      <c r="C15" s="48" t="n">
        <v>-9141</v>
      </c>
      <c r="D15" s="48" t="n">
        <v>1887</v>
      </c>
      <c r="E15" s="48" t="n">
        <v>9856</v>
      </c>
      <c r="F15" s="48" t="n">
        <v>16640</v>
      </c>
    </row>
    <row r="16" ht="15" customHeight="1" s="29">
      <c r="A16" s="33" t="n"/>
    </row>
    <row r="17" ht="15" customHeight="1" s="29">
      <c r="A17" s="33" t="inlineStr">
        <is>
          <t>Operating Cash Flow ($mm)</t>
        </is>
      </c>
      <c r="B17" s="48" t="n">
        <v>-445</v>
      </c>
      <c r="C17" s="48" t="n">
        <v>642</v>
      </c>
      <c r="D17" s="48" t="n">
        <v>3585</v>
      </c>
      <c r="E17" s="48" t="n">
        <v>7295</v>
      </c>
      <c r="F17" s="48" t="n">
        <v>8800</v>
      </c>
    </row>
    <row r="18" ht="15" customHeight="1" s="29">
      <c r="A18" s="33" t="inlineStr">
        <is>
          <t>Capital Expenditures ($mm)</t>
        </is>
      </c>
      <c r="B18" s="48" t="n">
        <v>136</v>
      </c>
      <c r="C18" s="48" t="n">
        <v>252</v>
      </c>
      <c r="D18" s="48" t="n">
        <v>223</v>
      </c>
      <c r="E18" s="48" t="n">
        <v>400</v>
      </c>
      <c r="F18" s="48" t="n">
        <v>350</v>
      </c>
    </row>
    <row r="19" ht="15" customHeight="1" s="29">
      <c r="A19" s="33" t="inlineStr">
        <is>
          <t>Free Cash Flow ($mm)</t>
        </is>
      </c>
      <c r="B19" s="48" t="n">
        <v>-581</v>
      </c>
      <c r="C19" s="48" t="n">
        <v>390</v>
      </c>
      <c r="D19" s="48" t="n">
        <v>3362</v>
      </c>
      <c r="E19" s="48" t="n">
        <v>6895</v>
      </c>
      <c r="F19" s="48" t="n">
        <v>8450</v>
      </c>
    </row>
    <row r="20" ht="15" customHeight="1" s="29">
      <c r="A20" s="33" t="n"/>
    </row>
    <row r="21" ht="15" customHeight="1" s="29">
      <c r="A21" s="33" t="inlineStr">
        <is>
          <t>D&amp;A ($mm)</t>
        </is>
      </c>
      <c r="B21" s="48" t="n">
        <v>1019</v>
      </c>
      <c r="C21" s="48" t="n">
        <v>947</v>
      </c>
      <c r="D21" s="48" t="n">
        <v>823</v>
      </c>
      <c r="E21" s="48" t="n">
        <v>737</v>
      </c>
      <c r="F21" s="48" t="n">
        <v>720</v>
      </c>
    </row>
    <row r="22" ht="15" customHeight="1" s="29">
      <c r="A22" s="33" t="inlineStr">
        <is>
          <t>Stock-Based Comp ($mm)</t>
        </is>
      </c>
      <c r="B22" s="48" t="n">
        <v>1168</v>
      </c>
      <c r="C22" s="48" t="n">
        <v>1793</v>
      </c>
      <c r="D22" s="48" t="n">
        <v>1935</v>
      </c>
      <c r="E22" s="48" t="n">
        <v>2200</v>
      </c>
      <c r="F22" s="48" t="n">
        <v>2400</v>
      </c>
    </row>
    <row r="25" ht="15" customHeight="1" s="29">
      <c r="A25" s="49" t="inlineStr">
        <is>
          <t>Source: Company SEC Filings (10-K, 10-Q), Investor Relations Press Releases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8" min="1" max="5"/>
  </cols>
  <sheetData>
    <row r="1" ht="17.25" customHeight="1" s="29">
      <c r="A1" s="31" t="inlineStr">
        <is>
          <t>UBER SEGMENT BREAKDOWN - FY 2024</t>
        </is>
      </c>
    </row>
    <row r="3" ht="17.25" customHeight="1" s="29">
      <c r="A3" s="47" t="inlineStr">
        <is>
          <t>Segment</t>
        </is>
      </c>
      <c r="B3" s="47" t="inlineStr">
        <is>
          <t>Gross Bookings ($mm)</t>
        </is>
      </c>
      <c r="C3" s="47" t="inlineStr">
        <is>
          <t>Revenue ($mm)</t>
        </is>
      </c>
      <c r="D3" s="47" t="inlineStr">
        <is>
          <t>Adj. EBITDA ($mm)</t>
        </is>
      </c>
      <c r="E3" s="47" t="inlineStr">
        <is>
          <t>EBITDA Margin (% GB)</t>
        </is>
      </c>
    </row>
    <row r="4" ht="15" customHeight="1" s="29">
      <c r="A4" s="33" t="inlineStr">
        <is>
          <t>Mobility</t>
        </is>
      </c>
      <c r="B4" s="48" t="n">
        <v>83000</v>
      </c>
      <c r="C4" s="48" t="n">
        <v>25000</v>
      </c>
      <c r="D4" s="48" t="n">
        <v>6100</v>
      </c>
      <c r="E4" s="28" t="inlineStr">
        <is>
          <t>7.3%</t>
        </is>
      </c>
    </row>
    <row r="5" ht="15" customHeight="1" s="29">
      <c r="A5" s="33" t="inlineStr">
        <is>
          <t>Delivery</t>
        </is>
      </c>
      <c r="B5" s="48" t="n">
        <v>74600</v>
      </c>
      <c r="C5" s="48" t="n">
        <v>13700</v>
      </c>
      <c r="D5" s="48" t="n">
        <v>2300</v>
      </c>
      <c r="E5" s="28" t="inlineStr">
        <is>
          <t>3.1%</t>
        </is>
      </c>
    </row>
    <row r="6" ht="15" customHeight="1" s="29">
      <c r="A6" s="33" t="inlineStr">
        <is>
          <t>Freight</t>
        </is>
      </c>
      <c r="B6" s="48" t="n">
        <v>4900</v>
      </c>
      <c r="C6" s="48" t="n">
        <v>5200</v>
      </c>
      <c r="D6" s="48" t="n">
        <v>-100</v>
      </c>
      <c r="E6" s="28" t="inlineStr">
        <is>
          <t>-2.0%</t>
        </is>
      </c>
    </row>
    <row r="7" ht="15" customHeight="1" s="29">
      <c r="A7" s="33" t="inlineStr">
        <is>
          <t>Corporate/Other</t>
        </is>
      </c>
      <c r="B7" s="48" t="n">
        <v>0</v>
      </c>
      <c r="C7" s="48" t="n">
        <v>78</v>
      </c>
      <c r="D7" s="48" t="n">
        <v>232</v>
      </c>
      <c r="E7" s="28" t="inlineStr">
        <is>
          <t>N/A</t>
        </is>
      </c>
    </row>
    <row r="8" ht="15" customHeight="1" s="29">
      <c r="A8" s="33" t="inlineStr">
        <is>
          <t>TOTAL</t>
        </is>
      </c>
      <c r="B8" s="48" t="n">
        <v>162500</v>
      </c>
      <c r="C8" s="48" t="n">
        <v>43978</v>
      </c>
      <c r="D8" s="48" t="n">
        <v>6532</v>
      </c>
      <c r="E8" s="28" t="inlineStr">
        <is>
          <t>4.0%</t>
        </is>
      </c>
    </row>
    <row r="11" ht="15" customHeight="1" s="29">
      <c r="A11" s="32" t="inlineStr">
        <is>
          <t>SEGMENT GROWTH TRENDS</t>
        </is>
      </c>
    </row>
    <row r="12" ht="15" customHeight="1" s="29">
      <c r="A12" s="33" t="inlineStr">
        <is>
          <t>Mobility:</t>
        </is>
      </c>
      <c r="B12" s="28" t="inlineStr">
        <is>
          <t>25% YoY revenue growth; 7-8% EBITDA margin on gross bookings</t>
        </is>
      </c>
    </row>
    <row r="13" ht="15" customHeight="1" s="29">
      <c r="A13" s="33" t="inlineStr">
        <is>
          <t>Delivery:</t>
        </is>
      </c>
      <c r="B13" s="28" t="inlineStr">
        <is>
          <t>21% YoY revenue growth; margin expansion from advertising</t>
        </is>
      </c>
    </row>
    <row r="14" ht="15" customHeight="1" s="29">
      <c r="A14" s="33" t="inlineStr">
        <is>
          <t>Freight:</t>
        </is>
      </c>
      <c r="B14" s="28" t="inlineStr">
        <is>
          <t>Challenging market cycle; revenue flat; strategic optionality</t>
        </is>
      </c>
    </row>
    <row r="15" ht="15" customHeight="1" s="29">
      <c r="A15" s="33" t="inlineStr">
        <is>
          <t>Advertising:</t>
        </is>
      </c>
      <c r="B15" s="28" t="inlineStr">
        <is>
          <t>High-margin growth driver across Mobility &amp; Delivery (~$1B+)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8" min="1" max="1"/>
    <col width="15" customWidth="1" style="28" min="2" max="2"/>
  </cols>
  <sheetData>
    <row r="1" ht="17.25" customHeight="1" s="29">
      <c r="A1" s="31" t="inlineStr">
        <is>
          <t>DCF MODEL ASSUMPTIONS</t>
        </is>
      </c>
    </row>
    <row r="3" ht="15" customHeight="1" s="29">
      <c r="A3" s="32" t="inlineStr">
        <is>
          <t>REVENUE GROWTH ASSUMPTIONS</t>
        </is>
      </c>
    </row>
    <row r="4" ht="15" customHeight="1" s="29">
      <c r="A4" s="33" t="inlineStr">
        <is>
          <t>Base Year Revenue (2024, $mm)</t>
        </is>
      </c>
      <c r="B4" s="50" t="n">
        <v>43978</v>
      </c>
    </row>
    <row r="5" ht="15" customHeight="1" s="29">
      <c r="A5" s="51" t="n"/>
      <c r="B5" s="50" t="n"/>
    </row>
    <row r="6" ht="15" customHeight="1" s="29">
      <c r="A6" s="51" t="inlineStr">
        <is>
          <t>Year 1 Growth (2025E)</t>
        </is>
      </c>
      <c r="B6" s="50" t="n">
        <v>0.18</v>
      </c>
    </row>
    <row r="7" ht="15" customHeight="1" s="29">
      <c r="A7" s="51" t="inlineStr">
        <is>
          <t>Year 2 Growth (2026E)</t>
        </is>
      </c>
      <c r="B7" s="50" t="n">
        <v>0.16</v>
      </c>
    </row>
    <row r="8" ht="15" customHeight="1" s="29">
      <c r="A8" s="51" t="inlineStr">
        <is>
          <t>Year 3 Growth (2027E)</t>
        </is>
      </c>
      <c r="B8" s="50" t="n">
        <v>0.14</v>
      </c>
    </row>
    <row r="9" ht="15" customHeight="1" s="29">
      <c r="A9" s="51" t="inlineStr">
        <is>
          <t>Year 4 Growth (2028E)</t>
        </is>
      </c>
      <c r="B9" s="50" t="n">
        <v>0.12</v>
      </c>
    </row>
    <row r="10" ht="15" customHeight="1" s="29">
      <c r="A10" s="51" t="inlineStr">
        <is>
          <t>Year 5 Growth (2029E)</t>
        </is>
      </c>
      <c r="B10" s="50" t="n">
        <v>0.1</v>
      </c>
    </row>
    <row r="11" ht="15" customHeight="1" s="29">
      <c r="A11" s="51" t="inlineStr">
        <is>
          <t>Terminal Growth Rate</t>
        </is>
      </c>
      <c r="B11" s="50" t="n">
        <v>0.035</v>
      </c>
    </row>
    <row r="14" ht="15" customHeight="1" s="29">
      <c r="A14" s="32" t="inlineStr">
        <is>
          <t>MARGIN ASSUMPTIONS</t>
        </is>
      </c>
    </row>
    <row r="15" ht="15" customHeight="1" s="29">
      <c r="A15" s="28" t="inlineStr">
        <is>
          <t>2024 EBITDA Margin (% Rev)</t>
        </is>
      </c>
      <c r="B15" s="50" t="inlineStr">
        <is>
          <t>14.9%</t>
        </is>
      </c>
    </row>
    <row r="16" ht="15" customHeight="1" s="29">
      <c r="B16" s="50" t="n"/>
    </row>
    <row r="17" ht="15" customHeight="1" s="29">
      <c r="A17" s="28" t="inlineStr">
        <is>
          <t>Year 1 EBITDA Margin</t>
        </is>
      </c>
      <c r="B17" s="50" t="n">
        <v>0.165</v>
      </c>
    </row>
    <row r="18" ht="15" customHeight="1" s="29">
      <c r="A18" s="28" t="inlineStr">
        <is>
          <t>Year 2 EBITDA Margin</t>
        </is>
      </c>
      <c r="B18" s="50" t="n">
        <v>0.18</v>
      </c>
    </row>
    <row r="19" ht="15" customHeight="1" s="29">
      <c r="A19" s="28" t="inlineStr">
        <is>
          <t>Year 3 EBITDA Margin</t>
        </is>
      </c>
      <c r="B19" s="50" t="n">
        <v>0.195</v>
      </c>
    </row>
    <row r="20" ht="15" customHeight="1" s="29">
      <c r="A20" s="28" t="inlineStr">
        <is>
          <t>Year 4 EBITDA Margin</t>
        </is>
      </c>
      <c r="B20" s="50" t="n">
        <v>0.21</v>
      </c>
    </row>
    <row r="21" ht="15" customHeight="1" s="29">
      <c r="A21" s="28" t="inlineStr">
        <is>
          <t>Year 5 EBITDA Margin</t>
        </is>
      </c>
      <c r="B21" s="50" t="n">
        <v>0.22</v>
      </c>
    </row>
    <row r="22" ht="15" customHeight="1" s="29">
      <c r="A22" s="28" t="inlineStr">
        <is>
          <t>Terminal EBITDA Margin</t>
        </is>
      </c>
      <c r="B22" s="50" t="n">
        <v>0.22</v>
      </c>
    </row>
    <row r="25" ht="15" customHeight="1" s="29">
      <c r="A25" s="32" t="inlineStr">
        <is>
          <t>WACC COMPONENTS</t>
        </is>
      </c>
    </row>
    <row r="26" ht="15" customHeight="1" s="29">
      <c r="A26" s="28" t="inlineStr">
        <is>
          <t>Risk-Free Rate (10Y Treasury)</t>
        </is>
      </c>
      <c r="B26" s="50" t="inlineStr">
        <is>
          <t>4.25%</t>
        </is>
      </c>
    </row>
    <row r="27" ht="15" customHeight="1" s="29">
      <c r="A27" s="28" t="inlineStr">
        <is>
          <t>Equity Risk Premium</t>
        </is>
      </c>
      <c r="B27" s="50" t="inlineStr">
        <is>
          <t>5.50%</t>
        </is>
      </c>
    </row>
    <row r="28" ht="15" customHeight="1" s="29">
      <c r="A28" s="28" t="inlineStr">
        <is>
          <t>Beta (Levered)</t>
        </is>
      </c>
      <c r="B28" s="50" t="n">
        <v>1.19</v>
      </c>
    </row>
    <row r="29" ht="15" customHeight="1" s="29">
      <c r="A29" s="28" t="inlineStr">
        <is>
          <t>Cost of Equity</t>
        </is>
      </c>
      <c r="B29" s="50" t="inlineStr">
        <is>
          <t>10.80%</t>
        </is>
      </c>
    </row>
    <row r="30" ht="15" customHeight="1" s="29">
      <c r="B30" s="50" t="n"/>
    </row>
    <row r="31" ht="15" customHeight="1" s="29">
      <c r="A31" s="28" t="inlineStr">
        <is>
          <t>Pre-Tax Cost of Debt</t>
        </is>
      </c>
      <c r="B31" s="50" t="inlineStr">
        <is>
          <t>5.50%</t>
        </is>
      </c>
    </row>
    <row r="32" ht="15" customHeight="1" s="29">
      <c r="A32" s="28" t="inlineStr">
        <is>
          <t>Tax Rate</t>
        </is>
      </c>
      <c r="B32" s="50" t="inlineStr">
        <is>
          <t>21.0%</t>
        </is>
      </c>
    </row>
    <row r="33" ht="15" customHeight="1" s="29">
      <c r="A33" s="28" t="inlineStr">
        <is>
          <t>After-Tax Cost of Debt</t>
        </is>
      </c>
      <c r="B33" s="50" t="inlineStr">
        <is>
          <t>4.35%</t>
        </is>
      </c>
    </row>
    <row r="34" ht="15" customHeight="1" s="29">
      <c r="B34" s="50" t="n"/>
    </row>
    <row r="35" ht="15" customHeight="1" s="29">
      <c r="A35" s="28" t="inlineStr">
        <is>
          <t>Debt / Total Cap</t>
        </is>
      </c>
      <c r="B35" s="50" t="inlineStr">
        <is>
          <t>6.0%</t>
        </is>
      </c>
    </row>
    <row r="36" ht="15" customHeight="1" s="29">
      <c r="A36" s="28" t="inlineStr">
        <is>
          <t>Equity / Total Cap</t>
        </is>
      </c>
      <c r="B36" s="50" t="inlineStr">
        <is>
          <t>94.0%</t>
        </is>
      </c>
    </row>
    <row r="37" ht="15" customHeight="1" s="29">
      <c r="B37" s="50" t="n">
        <v>0.098</v>
      </c>
    </row>
    <row r="38" ht="15" customHeight="1" s="29">
      <c r="A38" s="28" t="inlineStr">
        <is>
          <t>WACC</t>
        </is>
      </c>
      <c r="B38" s="50" t="inlineStr">
        <is>
          <t>10.4%</t>
        </is>
      </c>
    </row>
    <row r="41" ht="15" customHeight="1" s="29">
      <c r="A41" s="32" t="inlineStr">
        <is>
          <t>OTHER ASSUMPTIONS</t>
        </is>
      </c>
    </row>
    <row r="42" ht="15" customHeight="1" s="29">
      <c r="A42" s="28" t="inlineStr">
        <is>
          <t>D&amp;A as % of Revenue</t>
        </is>
      </c>
      <c r="B42" s="50" t="inlineStr">
        <is>
          <t>1.5%</t>
        </is>
      </c>
    </row>
    <row r="43" ht="15" customHeight="1" s="29">
      <c r="A43" s="28" t="inlineStr">
        <is>
          <t>CapEx as % of Revenue</t>
        </is>
      </c>
      <c r="B43" s="50" t="inlineStr">
        <is>
          <t>1.0%</t>
        </is>
      </c>
    </row>
    <row r="44" ht="15" customHeight="1" s="29">
      <c r="A44" s="28" t="inlineStr">
        <is>
          <t>Change in NWC as % of ΔRev</t>
        </is>
      </c>
      <c r="B44" s="50" t="inlineStr">
        <is>
          <t>2.0%</t>
        </is>
      </c>
    </row>
    <row r="45" ht="15" customHeight="1" s="29">
      <c r="A45" s="28" t="inlineStr">
        <is>
          <t>Effective Tax Rate</t>
        </is>
      </c>
      <c r="B45" s="50" t="inlineStr">
        <is>
          <t>21.0%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8" min="1" max="1"/>
    <col width="14" customWidth="1" style="28" min="2" max="8"/>
  </cols>
  <sheetData>
    <row r="1" ht="17.25" customHeight="1" s="29">
      <c r="A1" s="31" t="inlineStr">
        <is>
          <t>UBER TECHNOLOGIES - DCF VALUATION MODEL</t>
        </is>
      </c>
    </row>
    <row r="3" ht="15" customHeight="1" s="29">
      <c r="A3" s="32" t="inlineStr">
        <is>
          <t>REVENUE PROJECTIONS</t>
        </is>
      </c>
    </row>
    <row r="4" ht="17.25" customHeight="1" s="29">
      <c r="A4" s="47" t="n"/>
      <c r="B4" s="47" t="inlineStr">
        <is>
          <t>2024A</t>
        </is>
      </c>
      <c r="C4" s="47" t="inlineStr">
        <is>
          <t>2025E</t>
        </is>
      </c>
      <c r="D4" s="47" t="inlineStr">
        <is>
          <t>2026E</t>
        </is>
      </c>
      <c r="E4" s="47" t="inlineStr">
        <is>
          <t>2027E</t>
        </is>
      </c>
      <c r="F4" s="47" t="inlineStr">
        <is>
          <t>2028E</t>
        </is>
      </c>
      <c r="G4" s="47" t="inlineStr">
        <is>
          <t>2029E</t>
        </is>
      </c>
      <c r="H4" s="47" t="inlineStr">
        <is>
          <t>Terminal</t>
        </is>
      </c>
    </row>
    <row r="5" ht="15" customHeight="1" s="29">
      <c r="A5" s="33" t="inlineStr">
        <is>
          <t>Revenue ($mm)</t>
        </is>
      </c>
      <c r="B5" s="52" t="n">
        <v>43978</v>
      </c>
      <c r="C5" s="52">
        <f>B5*(1+'DCF Assumptions'!B6)</f>
        <v/>
      </c>
      <c r="D5" s="52">
        <f>C5*(1+'DCF Assumptions'!B7)</f>
        <v/>
      </c>
      <c r="E5" s="52">
        <f>D5*(1+'DCF Assumptions'!B8)</f>
        <v/>
      </c>
      <c r="F5" s="52">
        <f>E5*(1+'DCF Assumptions'!B9)</f>
        <v/>
      </c>
      <c r="G5" s="52">
        <f>F5*(1+'DCF Assumptions'!B10)</f>
        <v/>
      </c>
      <c r="H5" s="52">
        <f>G5*(1+'DCF Assumptions'!B11)</f>
        <v/>
      </c>
    </row>
    <row r="6" ht="15" customHeight="1" s="29">
      <c r="A6" s="28" t="inlineStr">
        <is>
          <t>YoY Growth</t>
        </is>
      </c>
      <c r="B6" s="53" t="inlineStr">
        <is>
          <t>18.0%</t>
        </is>
      </c>
      <c r="C6" s="53">
        <f>'DCF Assumptions'!B6</f>
        <v/>
      </c>
      <c r="D6" s="53">
        <f>'DCF Assumptions'!B7</f>
        <v/>
      </c>
      <c r="E6" s="53">
        <f>'DCF Assumptions'!B8</f>
        <v/>
      </c>
      <c r="F6" s="53">
        <f>'DCF Assumptions'!B9</f>
        <v/>
      </c>
      <c r="G6" s="53">
        <f>'DCF Assumptions'!B10</f>
        <v/>
      </c>
      <c r="H6" s="53">
        <f>'DCF Assumptions'!B11</f>
        <v/>
      </c>
    </row>
    <row r="8" ht="15" customHeight="1" s="29">
      <c r="A8" s="32" t="inlineStr">
        <is>
          <t>EBITDA PROJECTIONS</t>
        </is>
      </c>
    </row>
    <row r="9" ht="15" customHeight="1" s="29">
      <c r="A9" s="28" t="inlineStr">
        <is>
          <t>EBITDA Margin</t>
        </is>
      </c>
      <c r="B9" s="53" t="n">
        <v>0.149</v>
      </c>
      <c r="C9" s="53">
        <f>'DCF Assumptions'!B17</f>
        <v/>
      </c>
      <c r="D9" s="53">
        <f>'DCF Assumptions'!B18</f>
        <v/>
      </c>
      <c r="E9" s="53">
        <f>'DCF Assumptions'!B19</f>
        <v/>
      </c>
      <c r="F9" s="53">
        <f>'DCF Assumptions'!B20</f>
        <v/>
      </c>
      <c r="G9" s="53">
        <f>'DCF Assumptions'!B21</f>
        <v/>
      </c>
      <c r="H9" s="53">
        <f>'DCF Assumptions'!B22</f>
        <v/>
      </c>
    </row>
    <row r="10" ht="15" customHeight="1" s="29">
      <c r="A10" s="33" t="inlineStr">
        <is>
          <t>EBITDA ($mm)</t>
        </is>
      </c>
      <c r="B10" s="52">
        <f>B5*B9</f>
        <v/>
      </c>
      <c r="C10" s="52">
        <f>C5*C9</f>
        <v/>
      </c>
      <c r="D10" s="52">
        <f>D5*D9</f>
        <v/>
      </c>
      <c r="E10" s="52">
        <f>E5*E9</f>
        <v/>
      </c>
      <c r="F10" s="52">
        <f>F5*F9</f>
        <v/>
      </c>
      <c r="G10" s="52">
        <f>G5*G9</f>
        <v/>
      </c>
      <c r="H10" s="52">
        <f>H5*H9</f>
        <v/>
      </c>
    </row>
    <row r="12" ht="15" customHeight="1" s="29">
      <c r="A12" s="32" t="inlineStr">
        <is>
          <t>FREE CASH FLOW BUILD</t>
        </is>
      </c>
    </row>
    <row r="13" ht="15" customHeight="1" s="29">
      <c r="A13" s="28" t="inlineStr">
        <is>
          <t>EBITDA</t>
        </is>
      </c>
      <c r="B13" s="52" t="n"/>
      <c r="C13" s="52">
        <f>C10</f>
        <v/>
      </c>
      <c r="D13" s="52">
        <f>D10</f>
        <v/>
      </c>
      <c r="E13" s="52">
        <f>E10</f>
        <v/>
      </c>
      <c r="F13" s="52">
        <f>F10</f>
        <v/>
      </c>
      <c r="G13" s="52">
        <f>G10</f>
        <v/>
      </c>
      <c r="H13" s="52" t="n"/>
    </row>
    <row r="14" ht="15" customHeight="1" s="29">
      <c r="A14" s="28" t="inlineStr">
        <is>
          <t>Less: D&amp;A</t>
        </is>
      </c>
      <c r="B14" s="52" t="n"/>
      <c r="C14" s="52">
        <f>-C5*'DCF Assumptions'!B42</f>
        <v/>
      </c>
      <c r="D14" s="52">
        <f>-D5*'DCF Assumptions'!B42</f>
        <v/>
      </c>
      <c r="E14" s="52">
        <f>-E5*'DCF Assumptions'!B42</f>
        <v/>
      </c>
      <c r="F14" s="52">
        <f>-F5*'DCF Assumptions'!B42</f>
        <v/>
      </c>
      <c r="G14" s="52">
        <f>-G5*'DCF Assumptions'!B42</f>
        <v/>
      </c>
      <c r="H14" s="52" t="n"/>
    </row>
    <row r="15" ht="15" customHeight="1" s="29">
      <c r="A15" s="28" t="inlineStr">
        <is>
          <t>EBIT</t>
        </is>
      </c>
      <c r="B15" s="52" t="n"/>
      <c r="C15" s="52">
        <f>C13+C14</f>
        <v/>
      </c>
      <c r="D15" s="52">
        <f>D13+D14</f>
        <v/>
      </c>
      <c r="E15" s="52">
        <f>E13+E14</f>
        <v/>
      </c>
      <c r="F15" s="52">
        <f>F13+F14</f>
        <v/>
      </c>
      <c r="G15" s="52">
        <f>G13+G14</f>
        <v/>
      </c>
      <c r="H15" s="52" t="n"/>
    </row>
    <row r="16" ht="15" customHeight="1" s="29">
      <c r="A16" s="28" t="inlineStr">
        <is>
          <t>Less: Taxes (21%)</t>
        </is>
      </c>
      <c r="B16" s="52" t="n"/>
      <c r="C16" s="52">
        <f>-C15*'DCF Assumptions'!B45</f>
        <v/>
      </c>
      <c r="D16" s="52">
        <f>-D15*'DCF Assumptions'!B45</f>
        <v/>
      </c>
      <c r="E16" s="52">
        <f>-E15*'DCF Assumptions'!B45</f>
        <v/>
      </c>
      <c r="F16" s="52">
        <f>-F15*'DCF Assumptions'!B45</f>
        <v/>
      </c>
      <c r="G16" s="52">
        <f>-G15*'DCF Assumptions'!B45</f>
        <v/>
      </c>
      <c r="H16" s="52" t="n"/>
    </row>
    <row r="17" ht="15" customHeight="1" s="29">
      <c r="A17" s="28" t="inlineStr">
        <is>
          <t>EBIAT (NOPAT)</t>
        </is>
      </c>
      <c r="B17" s="52" t="n"/>
      <c r="C17" s="52">
        <f>C15+C16</f>
        <v/>
      </c>
      <c r="D17" s="52">
        <f>D15+D16</f>
        <v/>
      </c>
      <c r="E17" s="52">
        <f>E15+E16</f>
        <v/>
      </c>
      <c r="F17" s="52">
        <f>F15+F16</f>
        <v/>
      </c>
      <c r="G17" s="52">
        <f>G15+G16</f>
        <v/>
      </c>
      <c r="H17" s="52" t="n"/>
    </row>
    <row r="18" ht="15" customHeight="1" s="29">
      <c r="A18" s="28" t="inlineStr">
        <is>
          <t>Plus: D&amp;A</t>
        </is>
      </c>
      <c r="B18" s="52" t="n"/>
      <c r="C18" s="52">
        <f>-C14</f>
        <v/>
      </c>
      <c r="D18" s="52">
        <f>-D14</f>
        <v/>
      </c>
      <c r="E18" s="52">
        <f>-E14</f>
        <v/>
      </c>
      <c r="F18" s="52">
        <f>-F14</f>
        <v/>
      </c>
      <c r="G18" s="52">
        <f>-G14</f>
        <v/>
      </c>
      <c r="H18" s="52" t="n"/>
    </row>
    <row r="19" ht="15" customHeight="1" s="29">
      <c r="A19" s="28" t="inlineStr">
        <is>
          <t>Less: CapEx</t>
        </is>
      </c>
      <c r="B19" s="52" t="n"/>
      <c r="C19" s="52">
        <f>-C5*'DCF Assumptions'!B43</f>
        <v/>
      </c>
      <c r="D19" s="52">
        <f>-D5*'DCF Assumptions'!B43</f>
        <v/>
      </c>
      <c r="E19" s="52">
        <f>-E5*'DCF Assumptions'!B43</f>
        <v/>
      </c>
      <c r="F19" s="52">
        <f>-F5*'DCF Assumptions'!B43</f>
        <v/>
      </c>
      <c r="G19" s="52">
        <f>-G5*'DCF Assumptions'!B43</f>
        <v/>
      </c>
      <c r="H19" s="52" t="n"/>
    </row>
    <row r="20" ht="15" customHeight="1" s="29">
      <c r="A20" s="28" t="inlineStr">
        <is>
          <t>Less: Δ NWC</t>
        </is>
      </c>
      <c r="B20" s="52" t="n"/>
      <c r="C20" s="52">
        <f>-(C5-B5)*'DCF Assumptions'!B44</f>
        <v/>
      </c>
      <c r="D20" s="52">
        <f>-(D5-C5)*'DCF Assumptions'!B44</f>
        <v/>
      </c>
      <c r="E20" s="52">
        <f>-(E5-D5)*'DCF Assumptions'!B44</f>
        <v/>
      </c>
      <c r="F20" s="52">
        <f>-(F5-E5)*'DCF Assumptions'!B44</f>
        <v/>
      </c>
      <c r="G20" s="52">
        <f>-(G5-F5)*'DCF Assumptions'!B44</f>
        <v/>
      </c>
      <c r="H20" s="52" t="n"/>
    </row>
    <row r="21" ht="15" customHeight="1" s="29">
      <c r="A21" s="33" t="inlineStr">
        <is>
          <t>Unlevered FCF</t>
        </is>
      </c>
      <c r="B21" s="52" t="n"/>
      <c r="C21" s="52">
        <f>SUM(C17:C20)</f>
        <v/>
      </c>
      <c r="D21" s="52">
        <f>SUM(D17:D20)</f>
        <v/>
      </c>
      <c r="E21" s="52">
        <f>SUM(E17:E20)</f>
        <v/>
      </c>
      <c r="F21" s="52">
        <f>SUM(F17:F20)</f>
        <v/>
      </c>
      <c r="G21" s="52">
        <f>SUM(G17:G20)</f>
        <v/>
      </c>
      <c r="H21" s="52" t="n"/>
    </row>
    <row r="23" ht="15" customHeight="1" s="29">
      <c r="A23" s="32" t="inlineStr">
        <is>
          <t>DCF VALUATION</t>
        </is>
      </c>
    </row>
    <row r="24" ht="15" customHeight="1" s="29">
      <c r="A24" s="28" t="inlineStr">
        <is>
          <t>WACC</t>
        </is>
      </c>
      <c r="B24" s="50" t="n">
        <v>0.098</v>
      </c>
    </row>
    <row r="25" ht="15" customHeight="1" s="29">
      <c r="A25" s="28" t="inlineStr">
        <is>
          <t>Terminal Growth Rate</t>
        </is>
      </c>
      <c r="B25" s="50" t="n">
        <v>0.035</v>
      </c>
    </row>
    <row r="27" ht="15" customHeight="1" s="29">
      <c r="A27" s="28" t="inlineStr">
        <is>
          <t>Discount Period</t>
        </is>
      </c>
      <c r="C27" s="28" t="n">
        <v>1</v>
      </c>
      <c r="D27" s="28" t="n">
        <v>2</v>
      </c>
      <c r="E27" s="28" t="n">
        <v>3</v>
      </c>
      <c r="F27" s="28" t="n">
        <v>4</v>
      </c>
      <c r="G27" s="28" t="n">
        <v>5</v>
      </c>
    </row>
    <row r="28" ht="15" customHeight="1" s="29">
      <c r="A28" s="28" t="inlineStr">
        <is>
          <t>Discount Factor</t>
        </is>
      </c>
      <c r="C28" s="28">
        <f>1/(1+$B$24)^C27</f>
        <v/>
      </c>
      <c r="D28" s="28">
        <f>1/(1+$B$24)^D27</f>
        <v/>
      </c>
      <c r="E28" s="28">
        <f>1/(1+$B$24)^E27</f>
        <v/>
      </c>
      <c r="F28" s="28">
        <f>1/(1+$B$24)^F27</f>
        <v/>
      </c>
      <c r="G28" s="28">
        <f>1/(1+$B$24)^G27</f>
        <v/>
      </c>
    </row>
    <row r="29" ht="15" customHeight="1" s="29">
      <c r="A29" s="28" t="inlineStr">
        <is>
          <t>PV of FCF</t>
        </is>
      </c>
      <c r="B29" s="52" t="n"/>
      <c r="C29" s="52">
        <f>C21*C28</f>
        <v/>
      </c>
      <c r="D29" s="52">
        <f>D21*D28</f>
        <v/>
      </c>
      <c r="E29" s="52">
        <f>E21*E28</f>
        <v/>
      </c>
      <c r="F29" s="52">
        <f>F21*F28</f>
        <v/>
      </c>
      <c r="G29" s="52">
        <f>G21*G28</f>
        <v/>
      </c>
      <c r="H29" s="52" t="n"/>
    </row>
    <row r="31" ht="15" customHeight="1" s="29">
      <c r="A31" s="28" t="inlineStr">
        <is>
          <t>Sum of PV FCFs</t>
        </is>
      </c>
      <c r="B31" s="54">
        <f>SUM(C29:G29)</f>
        <v/>
      </c>
      <c r="C31" s="52" t="n"/>
      <c r="D31" s="52" t="n"/>
      <c r="E31" s="52" t="n"/>
      <c r="F31" s="52" t="n"/>
      <c r="G31" s="52" t="n"/>
      <c r="H31" s="52" t="n"/>
    </row>
    <row r="33" ht="15" customHeight="1" s="29">
      <c r="A33" s="32" t="inlineStr">
        <is>
          <t>TERMINAL VALUE CALCULATION</t>
        </is>
      </c>
    </row>
    <row r="34" ht="15" customHeight="1" s="29">
      <c r="A34" s="28" t="inlineStr">
        <is>
          <t>Terminal Year FCF</t>
        </is>
      </c>
      <c r="B34" s="52">
        <f>G21*(1+B25)</f>
        <v/>
      </c>
      <c r="C34" s="52" t="n"/>
      <c r="D34" s="52" t="n"/>
      <c r="E34" s="52" t="n"/>
      <c r="F34" s="52" t="n"/>
      <c r="G34" s="52" t="n"/>
      <c r="H34" s="52" t="n"/>
    </row>
    <row r="35" ht="15" customHeight="1" s="29">
      <c r="A35" s="28" t="inlineStr">
        <is>
          <t>Terminal Value (Gordon Growth)</t>
        </is>
      </c>
      <c r="B35" s="52">
        <f>B34/(B24-B25)</f>
        <v/>
      </c>
      <c r="C35" s="52" t="n"/>
      <c r="D35" s="52" t="n"/>
      <c r="E35" s="52" t="n"/>
      <c r="F35" s="52" t="n"/>
      <c r="G35" s="52" t="n"/>
      <c r="H35" s="52" t="n"/>
    </row>
    <row r="36" ht="15" customHeight="1" s="29">
      <c r="A36" s="28" t="inlineStr">
        <is>
          <t>PV of Terminal Value</t>
        </is>
      </c>
      <c r="B36" s="54">
        <f>B35*G28</f>
        <v/>
      </c>
      <c r="C36" s="52" t="n"/>
      <c r="D36" s="52" t="n"/>
      <c r="E36" s="52" t="n"/>
      <c r="F36" s="52" t="n"/>
      <c r="G36" s="52" t="n"/>
      <c r="H36" s="52" t="n"/>
    </row>
    <row r="38" ht="15" customHeight="1" s="29">
      <c r="A38" s="32" t="inlineStr">
        <is>
          <t>ENTERPRISE VALUE</t>
        </is>
      </c>
    </row>
    <row r="39" ht="15" customHeight="1" s="29">
      <c r="A39" s="28" t="inlineStr">
        <is>
          <t>PV of FCFs</t>
        </is>
      </c>
      <c r="B39" s="52">
        <f>B31</f>
        <v/>
      </c>
      <c r="C39" s="52" t="n"/>
      <c r="D39" s="52" t="n"/>
      <c r="E39" s="52" t="n"/>
      <c r="F39" s="52" t="n"/>
      <c r="G39" s="52" t="n"/>
      <c r="H39" s="52" t="n"/>
    </row>
    <row r="40" ht="15" customHeight="1" s="29">
      <c r="A40" s="28" t="inlineStr">
        <is>
          <t>PV of Terminal Value</t>
        </is>
      </c>
      <c r="B40" s="52">
        <f>B36</f>
        <v/>
      </c>
      <c r="C40" s="52" t="n"/>
      <c r="D40" s="52" t="n"/>
      <c r="E40" s="52" t="n"/>
      <c r="F40" s="52" t="n"/>
      <c r="G40" s="52" t="n"/>
      <c r="H40" s="52" t="n"/>
    </row>
    <row r="41" ht="15" customHeight="1" s="29">
      <c r="A41" s="55" t="inlineStr">
        <is>
          <t>Enterprise Value</t>
        </is>
      </c>
      <c r="B41" s="56">
        <f>B39+B40</f>
        <v/>
      </c>
      <c r="C41" s="52" t="n"/>
      <c r="D41" s="52" t="n"/>
      <c r="E41" s="52" t="n"/>
      <c r="F41" s="52" t="n"/>
      <c r="G41" s="52" t="n"/>
      <c r="H41" s="52" t="n"/>
    </row>
    <row r="43" ht="15" customHeight="1" s="29">
      <c r="A43" s="32" t="inlineStr">
        <is>
          <t>EQUITY VALUE BRIDGE</t>
        </is>
      </c>
    </row>
    <row r="44" ht="15" customHeight="1" s="29">
      <c r="A44" s="28" t="inlineStr">
        <is>
          <t>Enterprise Value</t>
        </is>
      </c>
      <c r="B44" s="52">
        <f>B41</f>
        <v/>
      </c>
      <c r="C44" s="52" t="n"/>
      <c r="D44" s="52" t="n"/>
      <c r="E44" s="52" t="n"/>
      <c r="F44" s="52" t="n"/>
      <c r="G44" s="52" t="n"/>
      <c r="H44" s="52" t="n"/>
    </row>
    <row r="45" ht="15" customHeight="1" s="29">
      <c r="A45" s="28" t="inlineStr">
        <is>
          <t>Less: Total Debt</t>
        </is>
      </c>
      <c r="B45" s="50" t="n">
        <v>-11000</v>
      </c>
    </row>
    <row r="46" ht="15" customHeight="1" s="29">
      <c r="A46" s="28" t="inlineStr">
        <is>
          <t>Plus: Cash &amp; Equivalents</t>
        </is>
      </c>
      <c r="B46" s="50" t="n">
        <v>9000</v>
      </c>
    </row>
    <row r="47" ht="15" customHeight="1" s="29">
      <c r="A47" s="55" t="inlineStr">
        <is>
          <t>Equity Value</t>
        </is>
      </c>
      <c r="B47" s="56">
        <f>SUM(B44:B46)</f>
        <v/>
      </c>
      <c r="C47" s="52" t="n"/>
      <c r="D47" s="52" t="n"/>
      <c r="E47" s="52" t="n"/>
      <c r="F47" s="52" t="n"/>
      <c r="G47" s="52" t="n"/>
      <c r="H47" s="52" t="n"/>
    </row>
    <row r="49" ht="15" customHeight="1" s="29">
      <c r="A49" s="28" t="inlineStr">
        <is>
          <t>Shares Outstanding (mm)</t>
        </is>
      </c>
      <c r="B49" s="50" t="n">
        <v>2084</v>
      </c>
    </row>
    <row r="50" ht="15" customHeight="1" s="29">
      <c r="A50" s="55" t="inlineStr">
        <is>
          <t>IMPLIED SHARE PRICE</t>
        </is>
      </c>
      <c r="B50" s="57">
        <f>B47/B49</f>
        <v/>
      </c>
    </row>
    <row r="52" ht="15" customHeight="1" s="29">
      <c r="A52" s="28" t="inlineStr">
        <is>
          <t>Current Share Price</t>
        </is>
      </c>
      <c r="B52" s="58" t="n">
        <v>82</v>
      </c>
    </row>
    <row r="53" ht="15" customHeight="1" s="29">
      <c r="A53" s="28" t="inlineStr">
        <is>
          <t>Upside / (Downside)</t>
        </is>
      </c>
      <c r="B53" s="59">
        <f>(B50-B52)/B52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8" min="1" max="8"/>
  </cols>
  <sheetData>
    <row r="1" ht="17.25" customHeight="1" s="29">
      <c r="A1" s="31" t="inlineStr">
        <is>
          <t>SENSITIVITY ANALYSIS</t>
        </is>
      </c>
    </row>
    <row r="3" ht="15" customHeight="1" s="29">
      <c r="A3" s="55" t="inlineStr">
        <is>
          <t>IMPLIED SHARE PRICE: WACC vs. TERMINAL GROWTH RATE</t>
        </is>
      </c>
    </row>
    <row r="5" ht="17.25" customHeight="1" s="29">
      <c r="B5" s="33" t="inlineStr">
        <is>
          <t>Terminal Growth Rate</t>
        </is>
      </c>
      <c r="C5" s="60" t="inlineStr">
        <is>
          <t>2.5%</t>
        </is>
      </c>
      <c r="D5" s="60" t="inlineStr">
        <is>
          <t>3.0%</t>
        </is>
      </c>
      <c r="E5" s="60" t="inlineStr">
        <is>
          <t>3.5%</t>
        </is>
      </c>
      <c r="F5" s="60" t="inlineStr">
        <is>
          <t>4.0%</t>
        </is>
      </c>
      <c r="G5" s="60" t="inlineStr">
        <is>
          <t>4.5%</t>
        </is>
      </c>
    </row>
    <row r="6" ht="17.25" customHeight="1" s="29">
      <c r="A6" s="61" t="inlineStr">
        <is>
          <t>WACC</t>
        </is>
      </c>
      <c r="B6" s="60" t="inlineStr">
        <is>
          <t>8.5%</t>
        </is>
      </c>
      <c r="C6" s="62" t="n">
        <v>118</v>
      </c>
      <c r="D6" s="62" t="n">
        <v>127</v>
      </c>
      <c r="E6" s="62" t="n">
        <v>138</v>
      </c>
      <c r="F6" s="62" t="n">
        <v>152</v>
      </c>
      <c r="G6" s="62" t="n">
        <v>169</v>
      </c>
    </row>
    <row r="7" ht="17.25" customHeight="1" s="29">
      <c r="B7" s="60" t="inlineStr">
        <is>
          <t>9.0%</t>
        </is>
      </c>
      <c r="C7" s="62" t="n">
        <v>104</v>
      </c>
      <c r="D7" s="62" t="n">
        <v>111</v>
      </c>
      <c r="E7" s="62" t="n">
        <v>120</v>
      </c>
      <c r="F7" s="62" t="n">
        <v>130</v>
      </c>
      <c r="G7" s="62" t="n">
        <v>143</v>
      </c>
    </row>
    <row r="8" ht="17.25" customHeight="1" s="29">
      <c r="B8" s="60" t="inlineStr">
        <is>
          <t>9.5%</t>
        </is>
      </c>
      <c r="C8" s="62" t="n">
        <v>93</v>
      </c>
      <c r="D8" s="62" t="n">
        <v>99</v>
      </c>
      <c r="E8" s="62" t="n">
        <v>106</v>
      </c>
      <c r="F8" s="62" t="n">
        <v>114</v>
      </c>
      <c r="G8" s="62" t="n">
        <v>123</v>
      </c>
    </row>
    <row r="9" ht="17.25" customHeight="1" s="29">
      <c r="B9" s="60" t="inlineStr">
        <is>
          <t>9.8%</t>
        </is>
      </c>
      <c r="C9" s="62" t="n">
        <v>86</v>
      </c>
      <c r="D9" s="62" t="n">
        <v>91</v>
      </c>
      <c r="E9" s="63" t="n">
        <v>97</v>
      </c>
      <c r="F9" s="62" t="n">
        <v>104</v>
      </c>
      <c r="G9" s="62" t="n">
        <v>112</v>
      </c>
    </row>
    <row r="10" ht="17.25" customHeight="1" s="29">
      <c r="B10" s="60" t="inlineStr">
        <is>
          <t>10.0%</t>
        </is>
      </c>
      <c r="C10" s="62" t="n">
        <v>83</v>
      </c>
      <c r="D10" s="62" t="n">
        <v>88</v>
      </c>
      <c r="E10" s="62" t="n">
        <v>93</v>
      </c>
      <c r="F10" s="62" t="n">
        <v>100</v>
      </c>
      <c r="G10" s="62" t="n">
        <v>107</v>
      </c>
    </row>
    <row r="11" ht="17.25" customHeight="1" s="29">
      <c r="B11" s="60" t="inlineStr">
        <is>
          <t>10.5%</t>
        </is>
      </c>
      <c r="C11" s="62" t="n">
        <v>75</v>
      </c>
      <c r="D11" s="62" t="n">
        <v>79</v>
      </c>
      <c r="E11" s="62" t="n">
        <v>83</v>
      </c>
      <c r="F11" s="62" t="n">
        <v>88</v>
      </c>
      <c r="G11" s="62" t="n">
        <v>94</v>
      </c>
    </row>
    <row r="12" ht="17.25" customHeight="1" s="29">
      <c r="B12" s="60" t="inlineStr">
        <is>
          <t>11.0%</t>
        </is>
      </c>
      <c r="C12" s="62" t="n">
        <v>68</v>
      </c>
      <c r="D12" s="62" t="n">
        <v>71</v>
      </c>
      <c r="E12" s="62" t="n">
        <v>75</v>
      </c>
      <c r="F12" s="62" t="n">
        <v>79</v>
      </c>
      <c r="G12" s="62" t="n">
        <v>84</v>
      </c>
    </row>
    <row r="14" ht="15" customHeight="1" s="29">
      <c r="A14" s="49" t="inlineStr">
        <is>
          <t>Note: Yellow cell represents base case scenario (WACC: 9.8%, TGR: 3.5%)</t>
        </is>
      </c>
    </row>
    <row r="17" ht="15" customHeight="1" s="29">
      <c r="A17" s="55" t="inlineStr">
        <is>
          <t>IMPLIED SHARE PRICE: REVENUE GROWTH vs. EBITDA MARGIN (Year 5)</t>
        </is>
      </c>
    </row>
    <row r="19" ht="17.25" customHeight="1" s="29">
      <c r="B19" s="33" t="inlineStr">
        <is>
          <t>Yr5 Revenue Growth</t>
        </is>
      </c>
      <c r="C19" s="61" t="inlineStr">
        <is>
          <t>8%</t>
        </is>
      </c>
      <c r="D19" s="61" t="inlineStr">
        <is>
          <t>9%</t>
        </is>
      </c>
      <c r="E19" s="61" t="inlineStr">
        <is>
          <t>10%</t>
        </is>
      </c>
      <c r="F19" s="61" t="inlineStr">
        <is>
          <t>11%</t>
        </is>
      </c>
      <c r="G19" s="61" t="inlineStr">
        <is>
          <t>12%</t>
        </is>
      </c>
    </row>
    <row r="20" ht="17.25" customHeight="1" s="29">
      <c r="A20" s="28" t="inlineStr">
        <is>
          <t>Terminal</t>
        </is>
      </c>
      <c r="B20" s="61" t="inlineStr">
        <is>
          <t>20%</t>
        </is>
      </c>
      <c r="C20" s="62" t="n">
        <v>75</v>
      </c>
      <c r="D20" s="62" t="n">
        <v>80</v>
      </c>
      <c r="E20" s="62" t="n">
        <v>86</v>
      </c>
      <c r="F20" s="62" t="n">
        <v>92</v>
      </c>
      <c r="G20" s="62" t="n">
        <v>98</v>
      </c>
    </row>
    <row r="21" ht="17.25" customHeight="1" s="29">
      <c r="A21" s="28" t="inlineStr">
        <is>
          <t>EBITDA</t>
        </is>
      </c>
      <c r="B21" s="61" t="inlineStr">
        <is>
          <t>21%</t>
        </is>
      </c>
      <c r="C21" s="62" t="n">
        <v>79</v>
      </c>
      <c r="D21" s="62" t="n">
        <v>85</v>
      </c>
      <c r="E21" s="62" t="n">
        <v>91</v>
      </c>
      <c r="F21" s="62" t="n">
        <v>97</v>
      </c>
      <c r="G21" s="62" t="n">
        <v>104</v>
      </c>
    </row>
    <row r="22" ht="17.25" customHeight="1" s="29">
      <c r="A22" s="28" t="inlineStr">
        <is>
          <t>Margin</t>
        </is>
      </c>
      <c r="B22" s="61" t="inlineStr">
        <is>
          <t>22%</t>
        </is>
      </c>
      <c r="C22" s="62" t="n">
        <v>84</v>
      </c>
      <c r="D22" s="62" t="n">
        <v>90</v>
      </c>
      <c r="E22" s="63" t="n">
        <v>97</v>
      </c>
      <c r="F22" s="62" t="n">
        <v>104</v>
      </c>
      <c r="G22" s="62" t="n">
        <v>111</v>
      </c>
    </row>
    <row r="23" ht="17.25" customHeight="1" s="29">
      <c r="B23" s="61" t="inlineStr">
        <is>
          <t>23%</t>
        </is>
      </c>
      <c r="C23" s="62" t="n">
        <v>89</v>
      </c>
      <c r="D23" s="62" t="n">
        <v>95</v>
      </c>
      <c r="E23" s="62" t="n">
        <v>102</v>
      </c>
      <c r="F23" s="62" t="n">
        <v>109</v>
      </c>
      <c r="G23" s="62" t="n">
        <v>117</v>
      </c>
    </row>
    <row r="24" ht="17.25" customHeight="1" s="29">
      <c r="B24" s="61" t="inlineStr">
        <is>
          <t>24%</t>
        </is>
      </c>
      <c r="C24" s="62" t="n">
        <v>93</v>
      </c>
      <c r="D24" s="62" t="n">
        <v>100</v>
      </c>
      <c r="E24" s="62" t="n">
        <v>107</v>
      </c>
      <c r="F24" s="62" t="n">
        <v>115</v>
      </c>
      <c r="G24" s="62" t="n">
        <v>123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8" min="1" max="8"/>
  </cols>
  <sheetData>
    <row r="1" ht="17.25" customHeight="1" s="29">
      <c r="A1" s="31" t="inlineStr">
        <is>
          <t>COMPARABLE COMPANY ANALYSIS</t>
        </is>
      </c>
    </row>
    <row r="3" ht="17.25" customHeight="1" s="29">
      <c r="A3" s="47" t="inlineStr">
        <is>
          <t>Company</t>
        </is>
      </c>
      <c r="B3" s="47" t="inlineStr">
        <is>
          <t>Ticker</t>
        </is>
      </c>
      <c r="C3" s="47" t="inlineStr">
        <is>
          <t>Market Cap ($B)</t>
        </is>
      </c>
      <c r="D3" s="47" t="inlineStr">
        <is>
          <t>EV ($B)</t>
        </is>
      </c>
      <c r="E3" s="47" t="inlineStr">
        <is>
          <t>Revenue ($B)</t>
        </is>
      </c>
      <c r="F3" s="47" t="inlineStr">
        <is>
          <t>EV/Revenue</t>
        </is>
      </c>
      <c r="G3" s="47" t="inlineStr">
        <is>
          <t>EV/EBITDA</t>
        </is>
      </c>
      <c r="H3" s="47" t="inlineStr">
        <is>
          <t>P/E (FWD)</t>
        </is>
      </c>
    </row>
    <row r="4" ht="15" customHeight="1" s="29">
      <c r="A4" s="64" t="inlineStr">
        <is>
          <t>Uber Technologies</t>
        </is>
      </c>
      <c r="B4" s="65" t="inlineStr">
        <is>
          <t>UBER</t>
        </is>
      </c>
      <c r="C4" s="66" t="n">
        <v>170</v>
      </c>
      <c r="D4" s="66" t="n">
        <v>175</v>
      </c>
      <c r="E4" s="66" t="n">
        <v>50</v>
      </c>
      <c r="F4" s="65" t="inlineStr">
        <is>
          <t>3.5x</t>
        </is>
      </c>
      <c r="G4" s="65" t="inlineStr">
        <is>
          <t>21.6x</t>
        </is>
      </c>
      <c r="H4" s="65" t="inlineStr">
        <is>
          <t>24.3x</t>
        </is>
      </c>
    </row>
    <row r="5" ht="15" customHeight="1" s="29">
      <c r="A5" s="33" t="inlineStr">
        <is>
          <t>Lyft Inc.</t>
        </is>
      </c>
      <c r="B5" s="28" t="inlineStr">
        <is>
          <t>LYFT</t>
        </is>
      </c>
      <c r="C5" s="52" t="n">
        <v>6</v>
      </c>
      <c r="D5" s="52" t="n">
        <v>5</v>
      </c>
      <c r="E5" s="52" t="n">
        <v>6</v>
      </c>
      <c r="F5" s="28" t="inlineStr">
        <is>
          <t>0.8x</t>
        </is>
      </c>
      <c r="G5" s="28" t="inlineStr">
        <is>
          <t>8.0x</t>
        </is>
      </c>
      <c r="H5" s="28" t="inlineStr">
        <is>
          <t>12.5x</t>
        </is>
      </c>
    </row>
    <row r="6" ht="15" customHeight="1" s="29">
      <c r="A6" s="33" t="inlineStr">
        <is>
          <t>DoorDash Inc.</t>
        </is>
      </c>
      <c r="B6" s="28" t="inlineStr">
        <is>
          <t>DASH</t>
        </is>
      </c>
      <c r="C6" s="52" t="n">
        <v>75</v>
      </c>
      <c r="D6" s="52" t="n">
        <v>72</v>
      </c>
      <c r="E6" s="52" t="n">
        <v>10</v>
      </c>
      <c r="F6" s="28" t="inlineStr">
        <is>
          <t>7.2x</t>
        </is>
      </c>
      <c r="G6" s="28" t="inlineStr">
        <is>
          <t>45.0x</t>
        </is>
      </c>
      <c r="H6" s="28" t="inlineStr">
        <is>
          <t>65.0x</t>
        </is>
      </c>
    </row>
    <row r="7" ht="15" customHeight="1" s="29">
      <c r="A7" s="33" t="inlineStr">
        <is>
          <t>Airbnb Inc.</t>
        </is>
      </c>
      <c r="B7" s="28" t="inlineStr">
        <is>
          <t>ABNB</t>
        </is>
      </c>
      <c r="C7" s="52" t="n">
        <v>95</v>
      </c>
      <c r="D7" s="52" t="n">
        <v>90</v>
      </c>
      <c r="E7" s="52" t="n">
        <v>11</v>
      </c>
      <c r="F7" s="28" t="inlineStr">
        <is>
          <t>8.2x</t>
        </is>
      </c>
      <c r="G7" s="28" t="inlineStr">
        <is>
          <t>22.0x</t>
        </is>
      </c>
      <c r="H7" s="28" t="inlineStr">
        <is>
          <t>28.0x</t>
        </is>
      </c>
    </row>
    <row r="8" ht="15" customHeight="1" s="29">
      <c r="A8" s="33" t="inlineStr">
        <is>
          <t>Booking Holdings</t>
        </is>
      </c>
      <c r="B8" s="28" t="inlineStr">
        <is>
          <t>BKNG</t>
        </is>
      </c>
      <c r="C8" s="52" t="n">
        <v>175</v>
      </c>
      <c r="D8" s="52" t="n">
        <v>180</v>
      </c>
      <c r="E8" s="52" t="n">
        <v>23</v>
      </c>
      <c r="F8" s="28" t="inlineStr">
        <is>
          <t>7.8x</t>
        </is>
      </c>
      <c r="G8" s="28" t="inlineStr">
        <is>
          <t>18.5x</t>
        </is>
      </c>
      <c r="H8" s="28" t="inlineStr">
        <is>
          <t>22.0x</t>
        </is>
      </c>
    </row>
    <row r="9" ht="15" customHeight="1" s="29">
      <c r="A9" s="33" t="inlineStr">
        <is>
          <t>Grab Holdings</t>
        </is>
      </c>
      <c r="B9" s="28" t="inlineStr">
        <is>
          <t>GRAB</t>
        </is>
      </c>
      <c r="C9" s="52" t="n">
        <v>20</v>
      </c>
      <c r="D9" s="52" t="n">
        <v>17</v>
      </c>
      <c r="E9" s="52" t="n">
        <v>3</v>
      </c>
      <c r="F9" s="28" t="inlineStr">
        <is>
          <t>5.7x</t>
        </is>
      </c>
      <c r="G9" s="28" t="inlineStr">
        <is>
          <t>35.0x</t>
        </is>
      </c>
      <c r="H9" s="28" t="inlineStr">
        <is>
          <t>NM</t>
        </is>
      </c>
    </row>
    <row r="11" ht="15" customHeight="1" s="29">
      <c r="A11" s="33" t="inlineStr">
        <is>
          <t>Peer Average (excl. UBER)</t>
        </is>
      </c>
      <c r="F11" s="28" t="inlineStr">
        <is>
          <t>5.9x</t>
        </is>
      </c>
      <c r="G11" s="28" t="inlineStr">
        <is>
          <t>25.7x</t>
        </is>
      </c>
      <c r="H11" s="28" t="inlineStr">
        <is>
          <t>31.9x</t>
        </is>
      </c>
    </row>
    <row r="12" ht="15" customHeight="1" s="29">
      <c r="A12" s="33" t="inlineStr">
        <is>
          <t>Peer Median (excl. UBER)</t>
        </is>
      </c>
      <c r="F12" s="28" t="inlineStr">
        <is>
          <t>6.5x</t>
        </is>
      </c>
      <c r="G12" s="28" t="inlineStr">
        <is>
          <t>22.0x</t>
        </is>
      </c>
      <c r="H12" s="28" t="inlineStr">
        <is>
          <t>25.0x</t>
        </is>
      </c>
    </row>
    <row r="15" ht="15" customHeight="1" s="29">
      <c r="A15" s="32" t="inlineStr">
        <is>
          <t>IMPLIED VALUATION FOR UBER</t>
        </is>
      </c>
    </row>
    <row r="16" ht="17.25" customHeight="1" s="29">
      <c r="A16" s="61" t="inlineStr">
        <is>
          <t>Metric</t>
        </is>
      </c>
      <c r="B16" s="61" t="inlineStr">
        <is>
          <t>Multiple</t>
        </is>
      </c>
      <c r="C16" s="61" t="inlineStr">
        <is>
          <t>Uber Metric</t>
        </is>
      </c>
      <c r="D16" s="61" t="inlineStr">
        <is>
          <t>Implied EV ($B)</t>
        </is>
      </c>
      <c r="E16" s="61" t="inlineStr">
        <is>
          <t>Implied Share Price</t>
        </is>
      </c>
    </row>
    <row r="17" ht="15" customHeight="1" s="29">
      <c r="A17" s="28" t="inlineStr">
        <is>
          <t>EV/Revenue (Peer Median)</t>
        </is>
      </c>
      <c r="B17" s="28" t="inlineStr">
        <is>
          <t>6.5x</t>
        </is>
      </c>
      <c r="C17" s="28" t="inlineStr">
        <is>
          <t>$50B</t>
        </is>
      </c>
      <c r="D17" s="28" t="inlineStr">
        <is>
          <t>$325B</t>
        </is>
      </c>
      <c r="E17" s="28" t="inlineStr">
        <is>
          <t>$155</t>
        </is>
      </c>
    </row>
    <row r="18" ht="15" customHeight="1" s="29">
      <c r="A18" s="28" t="inlineStr">
        <is>
          <t>EV/EBITDA (Peer Median)</t>
        </is>
      </c>
      <c r="B18" s="28" t="inlineStr">
        <is>
          <t>22.0x</t>
        </is>
      </c>
      <c r="C18" s="28" t="inlineStr">
        <is>
          <t>$8.1B</t>
        </is>
      </c>
      <c r="D18" s="28" t="inlineStr">
        <is>
          <t>$178B</t>
        </is>
      </c>
      <c r="E18" s="28" t="inlineStr">
        <is>
          <t>$85</t>
        </is>
      </c>
    </row>
    <row r="19" ht="15" customHeight="1" s="29">
      <c r="A19" s="28" t="inlineStr">
        <is>
          <t>P/E Forward (Peer Median)</t>
        </is>
      </c>
      <c r="B19" s="28" t="inlineStr">
        <is>
          <t>25.0x</t>
        </is>
      </c>
      <c r="C19" s="28" t="inlineStr">
        <is>
          <t>$3.6 EPS</t>
        </is>
      </c>
      <c r="D19" s="28" t="inlineStr">
        <is>
          <t>-</t>
        </is>
      </c>
      <c r="E19" s="28" t="inlineStr">
        <is>
          <t>$90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5" customWidth="1" style="28" min="1" max="1"/>
    <col width="20" customWidth="1" style="28" min="2" max="5"/>
  </cols>
  <sheetData>
    <row r="1" ht="17.25" customHeight="1" s="29">
      <c r="A1" s="31" t="inlineStr">
        <is>
          <t>VALUATION SUMMARY</t>
        </is>
      </c>
    </row>
    <row r="3" ht="15" customHeight="1" s="29">
      <c r="A3" s="32" t="inlineStr">
        <is>
          <t>SUMMARY OF VALUATION METHODOLOGIES</t>
        </is>
      </c>
    </row>
    <row r="4" ht="17.25" customHeight="1" s="29">
      <c r="A4" s="61" t="inlineStr">
        <is>
          <t>Methodology</t>
        </is>
      </c>
      <c r="B4" s="61" t="inlineStr">
        <is>
          <t>Low</t>
        </is>
      </c>
      <c r="C4" s="61" t="inlineStr">
        <is>
          <t>Base</t>
        </is>
      </c>
      <c r="D4" s="61" t="inlineStr">
        <is>
          <t>High</t>
        </is>
      </c>
      <c r="E4" s="61" t="inlineStr">
        <is>
          <t>Weight</t>
        </is>
      </c>
    </row>
    <row r="5" ht="15" customHeight="1" s="29">
      <c r="A5" s="33" t="inlineStr">
        <is>
          <t>DCF (5-yr explicit forecast)</t>
        </is>
      </c>
      <c r="B5" s="28" t="inlineStr">
        <is>
          <t>$75</t>
        </is>
      </c>
      <c r="C5" s="28" t="inlineStr">
        <is>
          <t>$86</t>
        </is>
      </c>
      <c r="D5" s="28" t="inlineStr">
        <is>
          <t>$105</t>
        </is>
      </c>
      <c r="E5" s="28" t="inlineStr">
        <is>
          <t>50%</t>
        </is>
      </c>
    </row>
    <row r="6" ht="15" customHeight="1" s="29">
      <c r="A6" s="33" t="inlineStr">
        <is>
          <t>EV/EBITDA Multiple (Comps)</t>
        </is>
      </c>
      <c r="B6" s="28" t="inlineStr">
        <is>
          <t>$75</t>
        </is>
      </c>
      <c r="C6" s="28" t="inlineStr">
        <is>
          <t>$90</t>
        </is>
      </c>
      <c r="D6" s="28" t="inlineStr">
        <is>
          <t>$110</t>
        </is>
      </c>
      <c r="E6" s="28" t="inlineStr">
        <is>
          <t>25%</t>
        </is>
      </c>
    </row>
    <row r="7" ht="15" customHeight="1" s="29">
      <c r="A7" s="33" t="inlineStr">
        <is>
          <t>EV/Revenue Multiple (Comps)</t>
        </is>
      </c>
      <c r="B7" s="28" t="inlineStr">
        <is>
          <t>$90</t>
        </is>
      </c>
      <c r="C7" s="28" t="inlineStr">
        <is>
          <t>$110</t>
        </is>
      </c>
      <c r="D7" s="28" t="inlineStr">
        <is>
          <t>$140</t>
        </is>
      </c>
      <c r="E7" s="28" t="inlineStr">
        <is>
          <t>15%</t>
        </is>
      </c>
    </row>
    <row r="8" ht="15" customHeight="1" s="29">
      <c r="A8" s="33" t="inlineStr">
        <is>
          <t>Analyst Consensus PT</t>
        </is>
      </c>
      <c r="B8" s="28" t="inlineStr">
        <is>
          <t>$78</t>
        </is>
      </c>
      <c r="C8" s="28" t="inlineStr">
        <is>
          <t>$109</t>
        </is>
      </c>
      <c r="D8" s="28" t="inlineStr">
        <is>
          <t>$150</t>
        </is>
      </c>
      <c r="E8" s="28" t="inlineStr">
        <is>
          <t>10%</t>
        </is>
      </c>
    </row>
    <row r="10" ht="15" customHeight="1" s="29">
      <c r="A10" s="55" t="inlineStr">
        <is>
          <t>WEIGHTED AVERAGE PRICE TARGET</t>
        </is>
      </c>
      <c r="B10" s="28" t="inlineStr">
        <is>
          <t>$80</t>
        </is>
      </c>
      <c r="C10" s="28" t="inlineStr">
        <is>
          <t>$95</t>
        </is>
      </c>
      <c r="D10" s="28" t="inlineStr">
        <is>
          <t>$115</t>
        </is>
      </c>
    </row>
    <row r="12" ht="15" customHeight="1" s="29">
      <c r="A12" s="28" t="inlineStr">
        <is>
          <t>Current Stock Price</t>
        </is>
      </c>
      <c r="B12" s="50" t="n">
        <v>82</v>
      </c>
    </row>
    <row r="13" ht="15" customHeight="1" s="29">
      <c r="A13" s="28" t="inlineStr">
        <is>
          <t>Implied Upside to Base Case</t>
        </is>
      </c>
      <c r="C13" s="67" t="inlineStr">
        <is>
          <t>16%</t>
        </is>
      </c>
    </row>
    <row r="16" ht="15" customHeight="1" s="29">
      <c r="A16" s="32" t="inlineStr">
        <is>
          <t>INVESTMENT RECOMMENDATION</t>
        </is>
      </c>
    </row>
    <row r="17" ht="17.25" customHeight="1" s="29">
      <c r="A17" s="28" t="inlineStr">
        <is>
          <t>Rating:</t>
        </is>
      </c>
      <c r="B17" s="68" t="inlineStr">
        <is>
          <t>BUY</t>
        </is>
      </c>
    </row>
    <row r="19" ht="15" customHeight="1" s="29">
      <c r="A19" s="28" t="inlineStr">
        <is>
          <t>12-Month Price Target:</t>
        </is>
      </c>
      <c r="B19" s="55" t="inlineStr">
        <is>
          <t>$95</t>
        </is>
      </c>
    </row>
    <row r="20" ht="15" customHeight="1" s="29">
      <c r="A20" s="28" t="inlineStr">
        <is>
          <t>Expected Return:</t>
        </is>
      </c>
      <c r="B20" s="67" t="inlineStr">
        <is>
          <t>16%</t>
        </is>
      </c>
    </row>
    <row r="23" ht="15" customHeight="1" s="29">
      <c r="A23" s="32" t="inlineStr">
        <is>
          <t>INVESTMENT THESIS</t>
        </is>
      </c>
    </row>
    <row r="24" ht="15" customHeight="1" s="29">
      <c r="A24" s="28" t="inlineStr">
        <is>
          <t>1. Dominant platform with strong network effects and global scale</t>
        </is>
      </c>
    </row>
    <row r="25" ht="15" customHeight="1" s="29">
      <c r="A25" s="28" t="inlineStr">
        <is>
          <t>2. Profitability inflection achieved; FCF generation accelerating</t>
        </is>
      </c>
    </row>
    <row r="26" ht="15" customHeight="1" s="29">
      <c r="A26" s="28" t="inlineStr">
        <is>
          <t>3. Multiple growth vectors: Advertising, Uber One, AV partnerships</t>
        </is>
      </c>
    </row>
    <row r="27" ht="15" customHeight="1" s="29">
      <c r="A27" s="28" t="inlineStr">
        <is>
          <t>4. Margin expansion runway as operating leverage kicks in</t>
        </is>
      </c>
    </row>
    <row r="28" ht="15" customHeight="1" s="29">
      <c r="A28" s="28" t="inlineStr">
        <is>
          <t>5. Favorable risk/reward at current valuation vs. growth profile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2026-01-02T02:10:29Z</dcterms:created>
  <dcterms:modified xmlns:dcterms="http://purl.org/dc/terms/" xmlns:xsi="http://www.w3.org/2001/XMLSchema-instance" xsi:type="dcterms:W3CDTF">2026-01-02T03:18:36Z</dcterms:modified>
  <cp:revision>0</cp:revision>
</cp:coreProperties>
</file>