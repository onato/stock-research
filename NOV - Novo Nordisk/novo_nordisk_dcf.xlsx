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Projections" sheetId="3" state="visible" r:id="rId5"/>
    <sheet name="DCF" sheetId="4" state="visible" r:id="rId6"/>
    <sheet name="Sensitivity" sheetId="5" state="visible" r:id="rId7"/>
    <sheet name="Com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<sst xmlns="http://schemas.openxmlformats.org/spreadsheetml/2006/main" count="229" uniqueCount="186">
  <si>
    <t xml:space="preserve">NOVO NORDISK (NVO) - DCF VALUATION MODEL</t>
  </si>
  <si>
    <t xml:space="preserve">Deep Dive Analysis &amp; Discounted Cash Flow Valuation</t>
  </si>
  <si>
    <t xml:space="preserve">Model Date: January 4, 2026</t>
  </si>
  <si>
    <t xml:space="preserve">KEY VALUATION OUTPUTS</t>
  </si>
  <si>
    <t xml:space="preserve">Implied Share Price (Base Case)</t>
  </si>
  <si>
    <t xml:space="preserve">$</t>
  </si>
  <si>
    <t xml:space="preserve">Current Share Price</t>
  </si>
  <si>
    <t xml:space="preserve">Upside / (Downside)</t>
  </si>
  <si>
    <t xml:space="preserve">%</t>
  </si>
  <si>
    <t xml:space="preserve">Enterprise Value</t>
  </si>
  <si>
    <t xml:space="preserve">$B</t>
  </si>
  <si>
    <t xml:space="preserve">Equity Value</t>
  </si>
  <si>
    <t xml:space="preserve">Shares Outstanding (B)</t>
  </si>
  <si>
    <t xml:space="preserve">#</t>
  </si>
  <si>
    <t xml:space="preserve">CURRENT MARKET DATA</t>
  </si>
  <si>
    <t xml:space="preserve">Stock Price (USD)</t>
  </si>
  <si>
    <t xml:space="preserve">Source: Yahoo Finance, Jan 4, 2026</t>
  </si>
  <si>
    <t xml:space="preserve">Market Cap ($B)</t>
  </si>
  <si>
    <t xml:space="preserve">Enterprise Value ($B)</t>
  </si>
  <si>
    <t xml:space="preserve">52-Week High</t>
  </si>
  <si>
    <t xml:space="preserve">52-Week Low</t>
  </si>
  <si>
    <t xml:space="preserve">Beta</t>
  </si>
  <si>
    <t xml:space="preserve">5-Year Monthly</t>
  </si>
  <si>
    <t xml:space="preserve">P/E Ratio (TTM)</t>
  </si>
  <si>
    <t xml:space="preserve">EV/EBITDA</t>
  </si>
  <si>
    <t xml:space="preserve">Dividend Yield</t>
  </si>
  <si>
    <t xml:space="preserve">3.30%</t>
  </si>
  <si>
    <t xml:space="preserve">INVESTMENT THESIS</t>
  </si>
  <si>
    <t xml:space="preserve">STRENGTHS:</t>
  </si>
  <si>
    <t xml:space="preserve">• Dominant GLP-1 market leader with Ozempic and Wegovy franchises</t>
  </si>
  <si>
    <t xml:space="preserve">• FDA approval of oral Wegovy (Dec 2025) - first oral GLP-1 for obesity</t>
  </si>
  <si>
    <t xml:space="preserve">• CagriSema NDA filed (Dec 2025) - next-gen obesity treatment with 22.7% weight loss</t>
  </si>
  <si>
    <t xml:space="preserve">• 84.7% gross margin with strong operating leverage</t>
  </si>
  <si>
    <t xml:space="preserve">• 45+ million patients currently on Novo treatments globally</t>
  </si>
  <si>
    <t xml:space="preserve">RISKS:</t>
  </si>
  <si>
    <t xml:space="preserve">• Intensifying competition from Eli Lilly (Zepbound/Mounjaro)</t>
  </si>
  <si>
    <t xml:space="preserve">• Compounded GLP-1 usage impacting branded penetration</t>
  </si>
  <si>
    <t xml:space="preserve">• 2025 guidance reduced: 13-21% sales growth (from 16-24%)</t>
  </si>
  <si>
    <t xml:space="preserve">• Semaglutide patent expiry in select markets beginning 2026</t>
  </si>
  <si>
    <t xml:space="preserve">• Execution challenges under new leadership</t>
  </si>
  <si>
    <t xml:space="preserve">DCF MODEL ASSUMPTIONS</t>
  </si>
  <si>
    <t xml:space="preserve">REVENUE GROWTH ASSUMPTIONS</t>
  </si>
  <si>
    <t xml:space="preserve">Year</t>
  </si>
  <si>
    <t xml:space="preserve">Revenue Growth Rate</t>
  </si>
  <si>
    <t xml:space="preserve">Rationale</t>
  </si>
  <si>
    <t xml:space="preserve">2024A</t>
  </si>
  <si>
    <t xml:space="preserve">Actual: 25% growth driven by GLP-1 momentum</t>
  </si>
  <si>
    <t xml:space="preserve">2025E</t>
  </si>
  <si>
    <t xml:space="preserve">Guidance: 13-21% (midpoint 17%) - reduced due to compounding impact</t>
  </si>
  <si>
    <t xml:space="preserve">2026E</t>
  </si>
  <si>
    <t xml:space="preserve">Wegovy pill launch, CagriSema approval expected, continued expansion</t>
  </si>
  <si>
    <t xml:space="preserve">2027E</t>
  </si>
  <si>
    <t xml:space="preserve">Maturing GLP-1 market, increased competition from Lilly</t>
  </si>
  <si>
    <t xml:space="preserve">2028E</t>
  </si>
  <si>
    <t xml:space="preserve">Market penetration increasing, pricing pressure</t>
  </si>
  <si>
    <t xml:space="preserve">2029E</t>
  </si>
  <si>
    <t xml:space="preserve">Steady state growth approaching</t>
  </si>
  <si>
    <t xml:space="preserve">2030E</t>
  </si>
  <si>
    <t xml:space="preserve">Near-terminal growth rate</t>
  </si>
  <si>
    <t xml:space="preserve">MARGIN ASSUMPTIONS</t>
  </si>
  <si>
    <t xml:space="preserve">Metric</t>
  </si>
  <si>
    <t xml:space="preserve">Value</t>
  </si>
  <si>
    <t xml:space="preserve">Source/Note</t>
  </si>
  <si>
    <t xml:space="preserve">Gross Margin</t>
  </si>
  <si>
    <t xml:space="preserve">2024 Actual: 84.7%</t>
  </si>
  <si>
    <t xml:space="preserve">Operating Margin (Base)</t>
  </si>
  <si>
    <t xml:space="preserve">2024 Actual: ~44%</t>
  </si>
  <si>
    <t xml:space="preserve">Operating Margin (Terminal)</t>
  </si>
  <si>
    <t xml:space="preserve">Slight compression due to competition</t>
  </si>
  <si>
    <t xml:space="preserve">D&amp;A % of Revenue</t>
  </si>
  <si>
    <t xml:space="preserve">Historical average</t>
  </si>
  <si>
    <t xml:space="preserve">CapEx % of Revenue</t>
  </si>
  <si>
    <t xml:space="preserve">Elevated for capacity expansion</t>
  </si>
  <si>
    <t xml:space="preserve">Tax Rate</t>
  </si>
  <si>
    <t xml:space="preserve">2024 Actual: 20.6%</t>
  </si>
  <si>
    <t xml:space="preserve">NWC % of Revenue</t>
  </si>
  <si>
    <t xml:space="preserve">Net Working Capital investment</t>
  </si>
  <si>
    <t xml:space="preserve">WACC ASSUMPTIONS</t>
  </si>
  <si>
    <t xml:space="preserve">Component</t>
  </si>
  <si>
    <t xml:space="preserve">Source/Calculation</t>
  </si>
  <si>
    <t xml:space="preserve">Risk-Free Rate</t>
  </si>
  <si>
    <t xml:space="preserve">10-Year US Treasury</t>
  </si>
  <si>
    <t xml:space="preserve">Equity Risk Premium</t>
  </si>
  <si>
    <t xml:space="preserve">Historical ERP</t>
  </si>
  <si>
    <t xml:space="preserve">Beta (Levered)</t>
  </si>
  <si>
    <t xml:space="preserve">Adjusted beta (Yahoo: 0.35, Infront: 1.14)</t>
  </si>
  <si>
    <t xml:space="preserve">Cost of Equity</t>
  </si>
  <si>
    <t xml:space="preserve">CAPM: Rf + Beta * ERP</t>
  </si>
  <si>
    <t xml:space="preserve">Cost of Debt (Pre-Tax)</t>
  </si>
  <si>
    <t xml:space="preserve">Estimated based on credit rating</t>
  </si>
  <si>
    <t xml:space="preserve">Effective tax rate</t>
  </si>
  <si>
    <t xml:space="preserve">Cost of Debt (After-Tax)</t>
  </si>
  <si>
    <t xml:space="preserve">Pre-tax * (1 - Tax Rate)</t>
  </si>
  <si>
    <t xml:space="preserve">Weight of Equity</t>
  </si>
  <si>
    <t xml:space="preserve">Market value weights</t>
  </si>
  <si>
    <t xml:space="preserve">Weight of Debt</t>
  </si>
  <si>
    <t xml:space="preserve">Total Debt / EV</t>
  </si>
  <si>
    <t xml:space="preserve">WACC</t>
  </si>
  <si>
    <t xml:space="preserve">Re*We + Rd*Wd</t>
  </si>
  <si>
    <t xml:space="preserve">TERMINAL VALUE ASSUMPTIONS</t>
  </si>
  <si>
    <t xml:space="preserve">Terminal Growth Rate</t>
  </si>
  <si>
    <t xml:space="preserve">Long-term GDP + inflation proxy</t>
  </si>
  <si>
    <t xml:space="preserve">Exit EV/EBITDA Multiple</t>
  </si>
  <si>
    <t xml:space="preserve">Peer comparison (conservative)</t>
  </si>
  <si>
    <t xml:space="preserve">FINANCIAL PROJECTIONS ($B USD)</t>
  </si>
  <si>
    <t xml:space="preserve">Revenue</t>
  </si>
  <si>
    <t xml:space="preserve">Revenue Growth %</t>
  </si>
  <si>
    <t xml:space="preserve">Profitability</t>
  </si>
  <si>
    <t xml:space="preserve">Gross Margin %</t>
  </si>
  <si>
    <t xml:space="preserve">Gross Profit</t>
  </si>
  <si>
    <t xml:space="preserve">Operating Margin %</t>
  </si>
  <si>
    <t xml:space="preserve">Operating Income (EBIT)</t>
  </si>
  <si>
    <t xml:space="preserve">Depreciation &amp; Amortization</t>
  </si>
  <si>
    <t xml:space="preserve">EBITDA</t>
  </si>
  <si>
    <t xml:space="preserve">EBITDA Margin %</t>
  </si>
  <si>
    <t xml:space="preserve">Free Cash Flow Calculation</t>
  </si>
  <si>
    <t xml:space="preserve">EBIT</t>
  </si>
  <si>
    <t xml:space="preserve">Taxes</t>
  </si>
  <si>
    <t xml:space="preserve">NOPAT (EBIT * (1-T))</t>
  </si>
  <si>
    <t xml:space="preserve">(+) D&amp;A</t>
  </si>
  <si>
    <t xml:space="preserve">(-) CapEx</t>
  </si>
  <si>
    <t xml:space="preserve">(-) Change in NWC</t>
  </si>
  <si>
    <t xml:space="preserve">Unlevered Free Cash Flow</t>
  </si>
  <si>
    <t xml:space="preserve">DISCOUNTED CASH FLOW ANALYSIS</t>
  </si>
  <si>
    <t xml:space="preserve">Unlevered FCF</t>
  </si>
  <si>
    <t xml:space="preserve">Discount Period</t>
  </si>
  <si>
    <t xml:space="preserve">Discount Factor</t>
  </si>
  <si>
    <t xml:space="preserve">Present Value of FCF</t>
  </si>
  <si>
    <t xml:space="preserve">TERMINAL VALUE CALCULATION</t>
  </si>
  <si>
    <t xml:space="preserve">Perpetuity Growth Method</t>
  </si>
  <si>
    <t xml:space="preserve">Terminal Year FCF (2030)</t>
  </si>
  <si>
    <t xml:space="preserve">Terminal Value (Perpetuity)</t>
  </si>
  <si>
    <t xml:space="preserve">PV of Terminal Value</t>
  </si>
  <si>
    <t xml:space="preserve">Exit Multiple Method</t>
  </si>
  <si>
    <t xml:space="preserve">Terminal Year EBITDA</t>
  </si>
  <si>
    <t xml:space="preserve">Terminal Value (Multiple)</t>
  </si>
  <si>
    <t xml:space="preserve">ENTERPRISE VALUE CALCULATION</t>
  </si>
  <si>
    <t xml:space="preserve">Perpetuity</t>
  </si>
  <si>
    <t xml:space="preserve">Exit Multiple</t>
  </si>
  <si>
    <t xml:space="preserve">Sum of PV of FCFs</t>
  </si>
  <si>
    <t xml:space="preserve">(-) Total Debt</t>
  </si>
  <si>
    <t xml:space="preserve">(+) Cash &amp; Equivalents</t>
  </si>
  <si>
    <t xml:space="preserve">Implied Share Price</t>
  </si>
  <si>
    <t xml:space="preserve">Upside / (Downside) %</t>
  </si>
  <si>
    <t xml:space="preserve">SENSITIVITY ANALYSIS</t>
  </si>
  <si>
    <t xml:space="preserve">IMPLIED SHARE PRICE: WACC vs Terminal Growth Rate</t>
  </si>
  <si>
    <t xml:space="preserve">Note: Base case WACC = </t>
  </si>
  <si>
    <t xml:space="preserve">Terminal Growth = </t>
  </si>
  <si>
    <t xml:space="preserve">Reference Values (for sensitivity calculation):</t>
  </si>
  <si>
    <t xml:space="preserve">Sum of Explicit PV FCFs</t>
  </si>
  <si>
    <t xml:space="preserve">Terminal Year FCF</t>
  </si>
  <si>
    <t xml:space="preserve">Discount Period (Terminal)</t>
  </si>
  <si>
    <t xml:space="preserve">IMPLIED SHARE PRICE: WACC vs Exit EV/EBITDA Multiple</t>
  </si>
  <si>
    <t xml:space="preserve">COMPARABLE COMPANY ANALYSIS</t>
  </si>
  <si>
    <t xml:space="preserve">Company</t>
  </si>
  <si>
    <t xml:space="preserve">Ticker</t>
  </si>
  <si>
    <t xml:space="preserve">EV ($B)</t>
  </si>
  <si>
    <t xml:space="preserve">LTM Revenue ($B)</t>
  </si>
  <si>
    <t xml:space="preserve">LTM EBITDA ($B)</t>
  </si>
  <si>
    <t xml:space="preserve">EV/Revenue</t>
  </si>
  <si>
    <t xml:space="preserve">P/E</t>
  </si>
  <si>
    <t xml:space="preserve">Revenue Growth</t>
  </si>
  <si>
    <t xml:space="preserve">Novo Nordisk</t>
  </si>
  <si>
    <t xml:space="preserve">NVO</t>
  </si>
  <si>
    <t xml:space="preserve">Eli Lilly</t>
  </si>
  <si>
    <t xml:space="preserve">LLY</t>
  </si>
  <si>
    <t xml:space="preserve">AstraZeneca</t>
  </si>
  <si>
    <t xml:space="preserve">AZN</t>
  </si>
  <si>
    <t xml:space="preserve">Merck</t>
  </si>
  <si>
    <t xml:space="preserve">MRK</t>
  </si>
  <si>
    <t xml:space="preserve">Pfizer</t>
  </si>
  <si>
    <t xml:space="preserve">PFE</t>
  </si>
  <si>
    <t xml:space="preserve">AbbVie</t>
  </si>
  <si>
    <t xml:space="preserve">ABBV</t>
  </si>
  <si>
    <t xml:space="preserve">Mean (excl. NVO)</t>
  </si>
  <si>
    <t xml:space="preserve">Median (excl. NVO)</t>
  </si>
  <si>
    <t xml:space="preserve">IMPLIED VALUATION FROM COMPS</t>
  </si>
  <si>
    <t xml:space="preserve">NVO LTM Revenue ($B)</t>
  </si>
  <si>
    <t xml:space="preserve">NVO LTM EBITDA ($B)</t>
  </si>
  <si>
    <t xml:space="preserve">Net Debt ($B)</t>
  </si>
  <si>
    <t xml:space="preserve">Multiple</t>
  </si>
  <si>
    <t xml:space="preserve">Implied EV</t>
  </si>
  <si>
    <t xml:space="preserve">Implied Equity</t>
  </si>
  <si>
    <t xml:space="preserve">Implied Price</t>
  </si>
  <si>
    <t xml:space="preserve">EV/Revenue (Mean)</t>
  </si>
  <si>
    <t xml:space="preserve">EV/EBITDA (Mean)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</si>
</sst>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"/>
    <numFmt numFmtId="166" formatCode="[$$-409]#,##0.00;[RED]\-[$$-409]#,##0.00"/>
    <numFmt numFmtId="167" formatCode="General"/>
    <numFmt numFmtId="168" formatCode="0.0%"/>
    <numFmt numFmtId="169" formatCode="0.00%"/>
    <numFmt numFmtId="170" formatCode="0.0\x"/>
    <numFmt numFmtId="171" formatCode="\$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i val="true"/>
      <sz val="12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u val="singl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DCE5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6DC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3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0" t="s">
        <v>4</v>
      </c>
      <c r="B6" s="5" t="n">
        <f aca="false">DCF!E35</f>
        <v>347.119305942365</v>
      </c>
      <c r="C6" s="6" t="s">
        <v>5</v>
      </c>
    </row>
    <row r="7" customFormat="false" ht="15" hidden="false" customHeight="false" outlineLevel="0" collapsed="false">
      <c r="A7" s="0" t="s">
        <v>6</v>
      </c>
      <c r="B7" s="7" t="n">
        <v>52.39</v>
      </c>
      <c r="C7" s="6" t="s">
        <v>5</v>
      </c>
    </row>
    <row r="8" customFormat="false" ht="15" hidden="false" customHeight="false" outlineLevel="0" collapsed="false">
      <c r="A8" s="0" t="s">
        <v>7</v>
      </c>
      <c r="B8" s="8" t="n">
        <f aca="false">(B6-B7)/B7</f>
        <v>5.62567867803713</v>
      </c>
      <c r="C8" s="6" t="s">
        <v>8</v>
      </c>
    </row>
    <row r="9" customFormat="false" ht="15" hidden="false" customHeight="false" outlineLevel="0" collapsed="false">
      <c r="B9" s="7"/>
    </row>
    <row r="10" customFormat="false" ht="15" hidden="false" customHeight="false" outlineLevel="0" collapsed="false">
      <c r="A10" s="0" t="s">
        <v>9</v>
      </c>
      <c r="B10" s="5" t="n">
        <f aca="false">DCF!E30</f>
        <v>281.903917391422</v>
      </c>
      <c r="C10" s="6" t="s">
        <v>10</v>
      </c>
    </row>
    <row r="11" customFormat="false" ht="15" hidden="false" customHeight="false" outlineLevel="0" collapsed="false">
      <c r="A11" s="0" t="s">
        <v>11</v>
      </c>
      <c r="B11" s="9" t="n">
        <f aca="false">DCF!E32</f>
        <v>0</v>
      </c>
      <c r="C11" s="6" t="s">
        <v>10</v>
      </c>
    </row>
    <row r="12" customFormat="false" ht="15" hidden="false" customHeight="false" outlineLevel="0" collapsed="false">
      <c r="A12" s="0" t="s">
        <v>12</v>
      </c>
      <c r="B12" s="7" t="n">
        <v>4.45</v>
      </c>
      <c r="C12" s="6" t="s">
        <v>13</v>
      </c>
    </row>
    <row r="15" customFormat="false" ht="15" hidden="false" customHeight="false" outlineLevel="0" collapsed="false">
      <c r="A15" s="4" t="s">
        <v>14</v>
      </c>
      <c r="B15" s="4"/>
      <c r="C15" s="4"/>
    </row>
    <row r="16" customFormat="false" ht="15" hidden="false" customHeight="false" outlineLevel="0" collapsed="false">
      <c r="A16" s="0" t="s">
        <v>15</v>
      </c>
      <c r="B16" s="7" t="n">
        <v>52.39</v>
      </c>
      <c r="C16" s="10" t="s">
        <v>16</v>
      </c>
    </row>
    <row r="17" customFormat="false" ht="15" hidden="false" customHeight="false" outlineLevel="0" collapsed="false">
      <c r="A17" s="0" t="s">
        <v>17</v>
      </c>
      <c r="B17" s="7" t="n">
        <v>232.8</v>
      </c>
      <c r="C17" s="10"/>
    </row>
    <row r="18" customFormat="false" ht="15" hidden="false" customHeight="false" outlineLevel="0" collapsed="false">
      <c r="A18" s="0" t="s">
        <v>18</v>
      </c>
      <c r="B18" s="7" t="n">
        <v>238.1</v>
      </c>
      <c r="C18" s="10"/>
    </row>
    <row r="19" customFormat="false" ht="15" hidden="false" customHeight="false" outlineLevel="0" collapsed="false">
      <c r="A19" s="0" t="s">
        <v>12</v>
      </c>
      <c r="B19" s="7" t="n">
        <v>4.45</v>
      </c>
      <c r="C19" s="10"/>
    </row>
    <row r="20" customFormat="false" ht="15" hidden="false" customHeight="false" outlineLevel="0" collapsed="false">
      <c r="A20" s="0" t="s">
        <v>19</v>
      </c>
      <c r="B20" s="7" t="n">
        <v>93.8</v>
      </c>
      <c r="C20" s="10"/>
    </row>
    <row r="21" customFormat="false" ht="15" hidden="false" customHeight="false" outlineLevel="0" collapsed="false">
      <c r="A21" s="0" t="s">
        <v>20</v>
      </c>
      <c r="B21" s="7" t="n">
        <v>43.08</v>
      </c>
      <c r="C21" s="10"/>
    </row>
    <row r="22" customFormat="false" ht="15" hidden="false" customHeight="false" outlineLevel="0" collapsed="false">
      <c r="A22" s="0" t="s">
        <v>21</v>
      </c>
      <c r="B22" s="7" t="n">
        <v>0.35</v>
      </c>
      <c r="C22" s="10" t="s">
        <v>22</v>
      </c>
    </row>
    <row r="23" customFormat="false" ht="15" hidden="false" customHeight="false" outlineLevel="0" collapsed="false">
      <c r="A23" s="0" t="s">
        <v>23</v>
      </c>
      <c r="B23" s="7" t="n">
        <v>14.28</v>
      </c>
      <c r="C23" s="10"/>
    </row>
    <row r="24" customFormat="false" ht="15" hidden="false" customHeight="false" outlineLevel="0" collapsed="false">
      <c r="A24" s="0" t="s">
        <v>24</v>
      </c>
      <c r="B24" s="7" t="n">
        <v>10.03</v>
      </c>
      <c r="C24" s="10"/>
    </row>
    <row r="25" customFormat="false" ht="15" hidden="false" customHeight="false" outlineLevel="0" collapsed="false">
      <c r="A25" s="0" t="s">
        <v>25</v>
      </c>
      <c r="B25" s="7" t="s">
        <v>26</v>
      </c>
      <c r="C25" s="10"/>
    </row>
    <row r="28" customFormat="false" ht="15" hidden="false" customHeight="false" outlineLevel="0" collapsed="false">
      <c r="A28" s="4" t="s">
        <v>27</v>
      </c>
      <c r="B28" s="4"/>
      <c r="C28" s="4"/>
      <c r="D28" s="4"/>
      <c r="E28" s="4"/>
      <c r="F28" s="4"/>
    </row>
    <row r="29" customFormat="false" ht="15" hidden="false" customHeight="false" outlineLevel="0" collapsed="false">
      <c r="A29" s="11" t="s">
        <v>28</v>
      </c>
      <c r="B29" s="11"/>
      <c r="C29" s="11"/>
      <c r="D29" s="11"/>
      <c r="E29" s="11"/>
      <c r="F29" s="11"/>
    </row>
    <row r="30" customFormat="false" ht="15" hidden="false" customHeight="false" outlineLevel="0" collapsed="false">
      <c r="A30" s="12" t="s">
        <v>29</v>
      </c>
      <c r="B30" s="12"/>
      <c r="C30" s="12"/>
      <c r="D30" s="12"/>
      <c r="E30" s="12"/>
      <c r="F30" s="12"/>
    </row>
    <row r="31" customFormat="false" ht="15" hidden="false" customHeight="false" outlineLevel="0" collapsed="false">
      <c r="A31" s="12" t="s">
        <v>30</v>
      </c>
      <c r="B31" s="12"/>
      <c r="C31" s="12"/>
      <c r="D31" s="12"/>
      <c r="E31" s="12"/>
      <c r="F31" s="12"/>
    </row>
    <row r="32" customFormat="false" ht="15" hidden="false" customHeight="false" outlineLevel="0" collapsed="false">
      <c r="A32" s="12" t="s">
        <v>31</v>
      </c>
      <c r="B32" s="12"/>
      <c r="C32" s="12"/>
      <c r="D32" s="12"/>
      <c r="E32" s="12"/>
      <c r="F32" s="12"/>
    </row>
    <row r="33" customFormat="false" ht="15" hidden="false" customHeight="false" outlineLevel="0" collapsed="false">
      <c r="A33" s="12" t="s">
        <v>32</v>
      </c>
      <c r="B33" s="12"/>
      <c r="C33" s="12"/>
      <c r="D33" s="12"/>
      <c r="E33" s="12"/>
      <c r="F33" s="12"/>
    </row>
    <row r="34" customFormat="false" ht="15" hidden="false" customHeight="false" outlineLevel="0" collapsed="false">
      <c r="A34" s="12" t="s">
        <v>33</v>
      </c>
      <c r="B34" s="12"/>
      <c r="C34" s="12"/>
      <c r="D34" s="12"/>
      <c r="E34" s="12"/>
      <c r="F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</row>
    <row r="36" customFormat="false" ht="15" hidden="false" customHeight="false" outlineLevel="0" collapsed="false">
      <c r="A36" s="11" t="s">
        <v>34</v>
      </c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2" t="s">
        <v>35</v>
      </c>
      <c r="B37" s="12"/>
      <c r="C37" s="12"/>
      <c r="D37" s="12"/>
      <c r="E37" s="12"/>
      <c r="F37" s="12"/>
    </row>
    <row r="38" customFormat="false" ht="15" hidden="false" customHeight="false" outlineLevel="0" collapsed="false">
      <c r="A38" s="12" t="s">
        <v>36</v>
      </c>
      <c r="B38" s="12"/>
      <c r="C38" s="12"/>
      <c r="D38" s="12"/>
      <c r="E38" s="12"/>
      <c r="F38" s="12"/>
    </row>
    <row r="39" customFormat="false" ht="15" hidden="false" customHeight="false" outlineLevel="0" collapsed="false">
      <c r="A39" s="12" t="s">
        <v>37</v>
      </c>
      <c r="B39" s="12"/>
      <c r="C39" s="12"/>
      <c r="D39" s="12"/>
      <c r="E39" s="12"/>
      <c r="F39" s="12"/>
    </row>
    <row r="40" customFormat="false" ht="15" hidden="false" customHeight="false" outlineLevel="0" collapsed="false">
      <c r="A40" s="12" t="s">
        <v>38</v>
      </c>
      <c r="B40" s="12"/>
      <c r="C40" s="12"/>
      <c r="D40" s="12"/>
      <c r="E40" s="12"/>
      <c r="F40" s="12"/>
    </row>
    <row r="41" customFormat="false" ht="15" hidden="false" customHeight="false" outlineLevel="0" collapsed="false">
      <c r="A41" s="12" t="s">
        <v>39</v>
      </c>
      <c r="B41" s="12"/>
      <c r="C41" s="12"/>
      <c r="D41" s="12"/>
      <c r="E41" s="12"/>
      <c r="F41" s="12"/>
    </row>
  </sheetData>
  <mergeCells count="18">
    <mergeCell ref="A1:F1"/>
    <mergeCell ref="A2:F2"/>
    <mergeCell ref="A5:C5"/>
    <mergeCell ref="A15:C15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3" t="s">
        <v>40</v>
      </c>
      <c r="B1" s="13"/>
      <c r="C1" s="13"/>
      <c r="D1" s="13"/>
    </row>
    <row r="3" customFormat="false" ht="15" hidden="false" customHeight="false" outlineLevel="0" collapsed="false">
      <c r="A3" s="4" t="s">
        <v>41</v>
      </c>
      <c r="B3" s="4"/>
      <c r="C3" s="4"/>
      <c r="D3" s="4"/>
    </row>
    <row r="4" customFormat="false" ht="15" hidden="false" customHeight="false" outlineLevel="0" collapsed="false">
      <c r="A4" s="14" t="s">
        <v>42</v>
      </c>
      <c r="B4" s="14" t="s">
        <v>43</v>
      </c>
      <c r="C4" s="14" t="s">
        <v>44</v>
      </c>
    </row>
    <row r="5" customFormat="false" ht="15" hidden="false" customHeight="false" outlineLevel="0" collapsed="false">
      <c r="A5" s="0" t="s">
        <v>45</v>
      </c>
      <c r="B5" s="15" t="n">
        <v>0.25</v>
      </c>
      <c r="C5" s="6" t="s">
        <v>46</v>
      </c>
    </row>
    <row r="6" customFormat="false" ht="15" hidden="false" customHeight="false" outlineLevel="0" collapsed="false">
      <c r="A6" s="0" t="s">
        <v>47</v>
      </c>
      <c r="B6" s="15" t="n">
        <v>0.17</v>
      </c>
      <c r="C6" s="6" t="s">
        <v>48</v>
      </c>
    </row>
    <row r="7" customFormat="false" ht="15" hidden="false" customHeight="false" outlineLevel="0" collapsed="false">
      <c r="A7" s="0" t="s">
        <v>49</v>
      </c>
      <c r="B7" s="15" t="n">
        <v>0.15</v>
      </c>
      <c r="C7" s="6" t="s">
        <v>50</v>
      </c>
    </row>
    <row r="8" customFormat="false" ht="15" hidden="false" customHeight="false" outlineLevel="0" collapsed="false">
      <c r="A8" s="0" t="s">
        <v>51</v>
      </c>
      <c r="B8" s="15" t="n">
        <v>0.13</v>
      </c>
      <c r="C8" s="6" t="s">
        <v>52</v>
      </c>
    </row>
    <row r="9" customFormat="false" ht="15" hidden="false" customHeight="false" outlineLevel="0" collapsed="false">
      <c r="A9" s="0" t="s">
        <v>53</v>
      </c>
      <c r="B9" s="15" t="n">
        <v>0.11</v>
      </c>
      <c r="C9" s="6" t="s">
        <v>54</v>
      </c>
    </row>
    <row r="10" customFormat="false" ht="15" hidden="false" customHeight="false" outlineLevel="0" collapsed="false">
      <c r="A10" s="0" t="s">
        <v>55</v>
      </c>
      <c r="B10" s="15" t="n">
        <v>0.09</v>
      </c>
      <c r="C10" s="6" t="s">
        <v>56</v>
      </c>
    </row>
    <row r="11" customFormat="false" ht="15" hidden="false" customHeight="false" outlineLevel="0" collapsed="false">
      <c r="A11" s="0" t="s">
        <v>57</v>
      </c>
      <c r="B11" s="15" t="n">
        <v>0.07</v>
      </c>
      <c r="C11" s="6" t="s">
        <v>58</v>
      </c>
    </row>
    <row r="14" customFormat="false" ht="15" hidden="false" customHeight="false" outlineLevel="0" collapsed="false">
      <c r="A14" s="4" t="s">
        <v>59</v>
      </c>
      <c r="B14" s="4"/>
      <c r="C14" s="4"/>
      <c r="D14" s="4"/>
    </row>
    <row r="15" customFormat="false" ht="15" hidden="false" customHeight="false" outlineLevel="0" collapsed="false">
      <c r="A15" s="14" t="s">
        <v>60</v>
      </c>
      <c r="B15" s="14" t="s">
        <v>61</v>
      </c>
      <c r="C15" s="14" t="s">
        <v>62</v>
      </c>
    </row>
    <row r="16" customFormat="false" ht="15" hidden="false" customHeight="false" outlineLevel="0" collapsed="false">
      <c r="A16" s="0" t="s">
        <v>63</v>
      </c>
      <c r="B16" s="15" t="n">
        <v>0.847</v>
      </c>
      <c r="C16" s="6" t="s">
        <v>64</v>
      </c>
    </row>
    <row r="17" customFormat="false" ht="15" hidden="false" customHeight="false" outlineLevel="0" collapsed="false">
      <c r="A17" s="0" t="s">
        <v>65</v>
      </c>
      <c r="B17" s="15" t="n">
        <v>0.44</v>
      </c>
      <c r="C17" s="6" t="s">
        <v>66</v>
      </c>
    </row>
    <row r="18" customFormat="false" ht="15" hidden="false" customHeight="false" outlineLevel="0" collapsed="false">
      <c r="A18" s="0" t="s">
        <v>67</v>
      </c>
      <c r="B18" s="15" t="n">
        <v>0.42</v>
      </c>
      <c r="C18" s="6" t="s">
        <v>68</v>
      </c>
    </row>
    <row r="19" customFormat="false" ht="15" hidden="false" customHeight="false" outlineLevel="0" collapsed="false">
      <c r="A19" s="0" t="s">
        <v>69</v>
      </c>
      <c r="B19" s="15" t="n">
        <v>0.025</v>
      </c>
      <c r="C19" s="6" t="s">
        <v>70</v>
      </c>
    </row>
    <row r="20" customFormat="false" ht="15" hidden="false" customHeight="false" outlineLevel="0" collapsed="false">
      <c r="A20" s="0" t="s">
        <v>71</v>
      </c>
      <c r="B20" s="15" t="n">
        <v>0.12</v>
      </c>
      <c r="C20" s="6" t="s">
        <v>72</v>
      </c>
    </row>
    <row r="21" customFormat="false" ht="15" hidden="false" customHeight="false" outlineLevel="0" collapsed="false">
      <c r="A21" s="0" t="s">
        <v>73</v>
      </c>
      <c r="B21" s="15" t="n">
        <v>0.206</v>
      </c>
      <c r="C21" s="6" t="s">
        <v>74</v>
      </c>
    </row>
    <row r="22" customFormat="false" ht="15" hidden="false" customHeight="false" outlineLevel="0" collapsed="false">
      <c r="A22" s="0" t="s">
        <v>75</v>
      </c>
      <c r="B22" s="15" t="n">
        <v>0.05</v>
      </c>
      <c r="C22" s="6" t="s">
        <v>76</v>
      </c>
    </row>
    <row r="25" customFormat="false" ht="15" hidden="false" customHeight="false" outlineLevel="0" collapsed="false">
      <c r="A25" s="4" t="s">
        <v>77</v>
      </c>
      <c r="B25" s="4"/>
      <c r="C25" s="4"/>
      <c r="D25" s="4"/>
    </row>
    <row r="26" customFormat="false" ht="15" hidden="false" customHeight="false" outlineLevel="0" collapsed="false">
      <c r="A26" s="14" t="s">
        <v>78</v>
      </c>
      <c r="B26" s="14" t="s">
        <v>61</v>
      </c>
      <c r="C26" s="14" t="s">
        <v>79</v>
      </c>
    </row>
    <row r="27" customFormat="false" ht="15" hidden="false" customHeight="false" outlineLevel="0" collapsed="false">
      <c r="A27" s="0" t="s">
        <v>80</v>
      </c>
      <c r="B27" s="16" t="n">
        <v>0.043</v>
      </c>
      <c r="C27" s="6" t="s">
        <v>81</v>
      </c>
    </row>
    <row r="28" customFormat="false" ht="15" hidden="false" customHeight="false" outlineLevel="0" collapsed="false">
      <c r="A28" s="0" t="s">
        <v>82</v>
      </c>
      <c r="B28" s="16" t="n">
        <v>0.05</v>
      </c>
      <c r="C28" s="6" t="s">
        <v>83</v>
      </c>
    </row>
    <row r="29" customFormat="false" ht="15" hidden="false" customHeight="false" outlineLevel="0" collapsed="false">
      <c r="A29" s="0" t="s">
        <v>84</v>
      </c>
      <c r="B29" s="16" t="n">
        <v>0.75</v>
      </c>
      <c r="C29" s="6" t="s">
        <v>85</v>
      </c>
    </row>
    <row r="30" customFormat="false" ht="15" hidden="false" customHeight="false" outlineLevel="0" collapsed="false">
      <c r="A30" s="0" t="s">
        <v>86</v>
      </c>
      <c r="B30" s="17" t="n">
        <f aca="false">B27+B28*B29</f>
        <v>0.0805</v>
      </c>
      <c r="C30" s="6" t="s">
        <v>87</v>
      </c>
    </row>
    <row r="31" customFormat="false" ht="15" hidden="false" customHeight="false" outlineLevel="0" collapsed="false">
      <c r="A31" s="0" t="s">
        <v>88</v>
      </c>
      <c r="B31" s="16" t="n">
        <v>0.045</v>
      </c>
      <c r="C31" s="6" t="s">
        <v>89</v>
      </c>
    </row>
    <row r="32" customFormat="false" ht="15" hidden="false" customHeight="false" outlineLevel="0" collapsed="false">
      <c r="A32" s="0" t="s">
        <v>73</v>
      </c>
      <c r="B32" s="16" t="n">
        <v>0.206</v>
      </c>
      <c r="C32" s="6" t="s">
        <v>90</v>
      </c>
    </row>
    <row r="33" customFormat="false" ht="15" hidden="false" customHeight="false" outlineLevel="0" collapsed="false">
      <c r="A33" s="0" t="s">
        <v>91</v>
      </c>
      <c r="B33" s="17" t="n">
        <f aca="false">B31*(1-B32)</f>
        <v>0.03573</v>
      </c>
      <c r="C33" s="6" t="s">
        <v>92</v>
      </c>
    </row>
    <row r="34" customFormat="false" ht="15" hidden="false" customHeight="false" outlineLevel="0" collapsed="false">
      <c r="A34" s="0" t="s">
        <v>93</v>
      </c>
      <c r="B34" s="16" t="n">
        <v>0.94</v>
      </c>
      <c r="C34" s="6" t="s">
        <v>94</v>
      </c>
    </row>
    <row r="35" customFormat="false" ht="15" hidden="false" customHeight="false" outlineLevel="0" collapsed="false">
      <c r="A35" s="0" t="s">
        <v>95</v>
      </c>
      <c r="B35" s="16" t="n">
        <v>0.06</v>
      </c>
      <c r="C35" s="6" t="s">
        <v>96</v>
      </c>
    </row>
    <row r="36" customFormat="false" ht="15" hidden="false" customHeight="false" outlineLevel="0" collapsed="false">
      <c r="A36" s="0" t="s">
        <v>97</v>
      </c>
      <c r="B36" s="17" t="n">
        <f aca="false">B30*B34+B33*B35</f>
        <v>0.0778138</v>
      </c>
      <c r="C36" s="6" t="s">
        <v>98</v>
      </c>
    </row>
    <row r="39" customFormat="false" ht="15" hidden="false" customHeight="false" outlineLevel="0" collapsed="false">
      <c r="A39" s="4" t="s">
        <v>99</v>
      </c>
      <c r="B39" s="4"/>
      <c r="C39" s="4"/>
      <c r="D39" s="4"/>
    </row>
    <row r="40" customFormat="false" ht="15" hidden="false" customHeight="false" outlineLevel="0" collapsed="false">
      <c r="A40" s="0" t="s">
        <v>100</v>
      </c>
      <c r="B40" s="15" t="n">
        <v>0.03</v>
      </c>
      <c r="C40" s="6" t="s">
        <v>101</v>
      </c>
    </row>
    <row r="41" customFormat="false" ht="15" hidden="false" customHeight="false" outlineLevel="0" collapsed="false">
      <c r="A41" s="0" t="s">
        <v>102</v>
      </c>
      <c r="B41" s="18" t="n">
        <v>12</v>
      </c>
      <c r="C41" s="6" t="s">
        <v>103</v>
      </c>
    </row>
  </sheetData>
  <mergeCells count="5">
    <mergeCell ref="A1:D1"/>
    <mergeCell ref="A3:D3"/>
    <mergeCell ref="A14:D14"/>
    <mergeCell ref="A25:D25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2"/>
  </cols>
  <sheetData>
    <row r="1" customFormat="false" ht="19.7" hidden="false" customHeight="false" outlineLevel="0" collapsed="false">
      <c r="A1" s="13" t="s">
        <v>104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19" t="s">
        <v>60</v>
      </c>
      <c r="B3" s="19" t="s">
        <v>45</v>
      </c>
      <c r="C3" s="19" t="s">
        <v>47</v>
      </c>
      <c r="D3" s="19" t="s">
        <v>49</v>
      </c>
      <c r="E3" s="19" t="s">
        <v>51</v>
      </c>
      <c r="F3" s="19" t="s">
        <v>53</v>
      </c>
      <c r="G3" s="19" t="s">
        <v>55</v>
      </c>
      <c r="H3" s="19" t="s">
        <v>57</v>
      </c>
    </row>
    <row r="4" customFormat="false" ht="15" hidden="false" customHeight="false" outlineLevel="0" collapsed="false">
      <c r="A4" s="20" t="s">
        <v>105</v>
      </c>
    </row>
    <row r="5" customFormat="false" ht="15" hidden="false" customHeight="false" outlineLevel="0" collapsed="false">
      <c r="A5" s="0" t="s">
        <v>106</v>
      </c>
      <c r="B5" s="15" t="n">
        <v>0.25</v>
      </c>
      <c r="C5" s="21" t="n">
        <f aca="false">Assumptions!B6</f>
        <v>0.17</v>
      </c>
      <c r="D5" s="21" t="n">
        <f aca="false">Assumptions!B7</f>
        <v>0.15</v>
      </c>
      <c r="E5" s="21" t="n">
        <f aca="false">Assumptions!B8</f>
        <v>0.13</v>
      </c>
      <c r="F5" s="21" t="n">
        <f aca="false">Assumptions!B9</f>
        <v>0.11</v>
      </c>
      <c r="G5" s="21" t="n">
        <f aca="false">Assumptions!B10</f>
        <v>0.09</v>
      </c>
      <c r="H5" s="21" t="n">
        <f aca="false">Assumptions!B11</f>
        <v>0.07</v>
      </c>
    </row>
    <row r="6" customFormat="false" ht="15" hidden="false" customHeight="false" outlineLevel="0" collapsed="false">
      <c r="A6" s="0" t="s">
        <v>105</v>
      </c>
      <c r="B6" s="22" t="n">
        <v>40.5</v>
      </c>
      <c r="C6" s="5" t="n">
        <f aca="false">B6*(1+C5)</f>
        <v>47.385</v>
      </c>
      <c r="D6" s="5" t="n">
        <f aca="false">C6*(1+D5)</f>
        <v>54.49275</v>
      </c>
      <c r="E6" s="5" t="n">
        <f aca="false">D6*(1+E5)</f>
        <v>61.5768075</v>
      </c>
      <c r="F6" s="5" t="n">
        <f aca="false">E6*(1+F5)</f>
        <v>68.350256325</v>
      </c>
      <c r="G6" s="5" t="n">
        <f aca="false">F6*(1+G5)</f>
        <v>74.50177939425</v>
      </c>
      <c r="H6" s="5" t="n">
        <f aca="false">G6*(1+H5)</f>
        <v>79.7169039518475</v>
      </c>
    </row>
    <row r="7" customFormat="false" ht="15" hidden="false" customHeight="false" outlineLevel="0" collapsed="false">
      <c r="B7" s="22"/>
      <c r="C7" s="22"/>
      <c r="D7" s="22"/>
      <c r="E7" s="22"/>
      <c r="F7" s="22"/>
      <c r="G7" s="22"/>
      <c r="H7" s="22"/>
    </row>
    <row r="8" customFormat="false" ht="15" hidden="false" customHeight="false" outlineLevel="0" collapsed="false">
      <c r="A8" s="20" t="s">
        <v>107</v>
      </c>
      <c r="B8" s="22"/>
      <c r="C8" s="22"/>
      <c r="D8" s="22"/>
      <c r="E8" s="22"/>
      <c r="F8" s="22"/>
      <c r="G8" s="22"/>
      <c r="H8" s="22"/>
    </row>
    <row r="9" customFormat="false" ht="15" hidden="false" customHeight="false" outlineLevel="0" collapsed="false">
      <c r="A9" s="0" t="s">
        <v>108</v>
      </c>
      <c r="B9" s="15" t="n">
        <v>0.847</v>
      </c>
      <c r="C9" s="15" t="n">
        <v>0.845</v>
      </c>
      <c r="D9" s="15" t="n">
        <v>0.843</v>
      </c>
      <c r="E9" s="15" t="n">
        <v>0.84</v>
      </c>
      <c r="F9" s="15" t="n">
        <v>0.838</v>
      </c>
      <c r="G9" s="15" t="n">
        <v>0.835</v>
      </c>
      <c r="H9" s="15" t="n">
        <v>0.833</v>
      </c>
    </row>
    <row r="10" customFormat="false" ht="15" hidden="false" customHeight="false" outlineLevel="0" collapsed="false">
      <c r="A10" s="0" t="s">
        <v>109</v>
      </c>
      <c r="B10" s="5" t="n">
        <f aca="false">B6*B9</f>
        <v>34.3035</v>
      </c>
      <c r="C10" s="5" t="n">
        <f aca="false">C6*C9</f>
        <v>40.040325</v>
      </c>
      <c r="D10" s="5" t="n">
        <f aca="false">D6*D9</f>
        <v>45.93738825</v>
      </c>
      <c r="E10" s="5" t="n">
        <f aca="false">E6*E9</f>
        <v>51.7245183</v>
      </c>
      <c r="F10" s="5" t="n">
        <f aca="false">F6*F9</f>
        <v>57.27751480035</v>
      </c>
      <c r="G10" s="5" t="n">
        <f aca="false">G6*G9</f>
        <v>62.2089857941987</v>
      </c>
      <c r="H10" s="5" t="n">
        <f aca="false">H6*H9</f>
        <v>66.404180991889</v>
      </c>
    </row>
    <row r="11" customFormat="false" ht="15" hidden="false" customHeight="false" outlineLevel="0" collapsed="false">
      <c r="A11" s="0" t="s">
        <v>110</v>
      </c>
      <c r="B11" s="15" t="n">
        <v>0.44</v>
      </c>
      <c r="C11" s="15" t="n">
        <v>0.43</v>
      </c>
      <c r="D11" s="15" t="n">
        <v>0.43</v>
      </c>
      <c r="E11" s="15" t="n">
        <v>0.42</v>
      </c>
      <c r="F11" s="15" t="n">
        <v>0.42</v>
      </c>
      <c r="G11" s="15" t="n">
        <v>0.42</v>
      </c>
      <c r="H11" s="15" t="n">
        <v>0.42</v>
      </c>
    </row>
    <row r="12" customFormat="false" ht="15" hidden="false" customHeight="false" outlineLevel="0" collapsed="false">
      <c r="A12" s="0" t="s">
        <v>111</v>
      </c>
      <c r="B12" s="5" t="n">
        <f aca="false">B6*B11</f>
        <v>17.82</v>
      </c>
      <c r="C12" s="5" t="n">
        <f aca="false">C6*C11</f>
        <v>20.37555</v>
      </c>
      <c r="D12" s="5" t="n">
        <f aca="false">D6*D11</f>
        <v>23.4318825</v>
      </c>
      <c r="E12" s="5" t="n">
        <f aca="false">E6*E11</f>
        <v>25.86225915</v>
      </c>
      <c r="F12" s="5" t="n">
        <f aca="false">F6*F11</f>
        <v>28.7071076565</v>
      </c>
      <c r="G12" s="5" t="n">
        <f aca="false">G6*G11</f>
        <v>31.290747345585</v>
      </c>
      <c r="H12" s="5" t="n">
        <f aca="false">H6*H11</f>
        <v>33.481099659776</v>
      </c>
    </row>
    <row r="13" customFormat="false" ht="15" hidden="false" customHeight="false" outlineLevel="0" collapsed="false">
      <c r="A13" s="0" t="s">
        <v>69</v>
      </c>
      <c r="B13" s="15" t="n">
        <v>0.025</v>
      </c>
      <c r="C13" s="15" t="n">
        <v>0.025</v>
      </c>
      <c r="D13" s="15" t="n">
        <v>0.025</v>
      </c>
      <c r="E13" s="15" t="n">
        <v>0.025</v>
      </c>
      <c r="F13" s="15" t="n">
        <v>0.025</v>
      </c>
      <c r="G13" s="15" t="n">
        <v>0.025</v>
      </c>
      <c r="H13" s="15" t="n">
        <v>0.025</v>
      </c>
    </row>
    <row r="14" customFormat="false" ht="15" hidden="false" customHeight="false" outlineLevel="0" collapsed="false">
      <c r="A14" s="0" t="s">
        <v>112</v>
      </c>
      <c r="B14" s="5" t="n">
        <f aca="false">B6*B13</f>
        <v>1.0125</v>
      </c>
      <c r="C14" s="5" t="n">
        <f aca="false">C6*C13</f>
        <v>1.184625</v>
      </c>
      <c r="D14" s="5" t="n">
        <f aca="false">D6*D13</f>
        <v>1.36231875</v>
      </c>
      <c r="E14" s="5" t="n">
        <f aca="false">E6*E13</f>
        <v>1.5394201875</v>
      </c>
      <c r="F14" s="5" t="n">
        <f aca="false">F6*F13</f>
        <v>1.708756408125</v>
      </c>
      <c r="G14" s="5" t="n">
        <f aca="false">G6*G13</f>
        <v>1.86254448485625</v>
      </c>
      <c r="H14" s="5" t="n">
        <f aca="false">H6*H13</f>
        <v>1.99292259879619</v>
      </c>
    </row>
    <row r="15" customFormat="false" ht="15" hidden="false" customHeight="false" outlineLevel="0" collapsed="false">
      <c r="A15" s="0" t="s">
        <v>113</v>
      </c>
      <c r="B15" s="5" t="n">
        <f aca="false">B12+B14</f>
        <v>18.8325</v>
      </c>
      <c r="C15" s="5" t="n">
        <f aca="false">C12+C14</f>
        <v>21.560175</v>
      </c>
      <c r="D15" s="5" t="n">
        <f aca="false">D12+D14</f>
        <v>24.79420125</v>
      </c>
      <c r="E15" s="5" t="n">
        <f aca="false">E12+E14</f>
        <v>27.4016793375</v>
      </c>
      <c r="F15" s="5" t="n">
        <f aca="false">F12+F14</f>
        <v>30.415864064625</v>
      </c>
      <c r="G15" s="5" t="n">
        <f aca="false">G12+G14</f>
        <v>33.1532918304413</v>
      </c>
      <c r="H15" s="5" t="n">
        <f aca="false">H12+H14</f>
        <v>35.4740222585721</v>
      </c>
    </row>
    <row r="16" customFormat="false" ht="15" hidden="false" customHeight="false" outlineLevel="0" collapsed="false">
      <c r="A16" s="0" t="s">
        <v>114</v>
      </c>
      <c r="B16" s="21" t="n">
        <f aca="false">B15/B6</f>
        <v>0.465</v>
      </c>
      <c r="C16" s="21" t="n">
        <f aca="false">C15/C6</f>
        <v>0.455</v>
      </c>
      <c r="D16" s="21" t="n">
        <f aca="false">D15/D6</f>
        <v>0.455</v>
      </c>
      <c r="E16" s="21" t="n">
        <f aca="false">E15/E6</f>
        <v>0.445</v>
      </c>
      <c r="F16" s="21" t="n">
        <f aca="false">F15/F6</f>
        <v>0.445</v>
      </c>
      <c r="G16" s="21" t="n">
        <f aca="false">G15/G6</f>
        <v>0.445</v>
      </c>
      <c r="H16" s="21" t="n">
        <f aca="false">H15/H6</f>
        <v>0.445</v>
      </c>
    </row>
    <row r="17" customFormat="false" ht="15" hidden="false" customHeight="false" outlineLevel="0" collapsed="false">
      <c r="B17" s="22"/>
      <c r="C17" s="22"/>
      <c r="D17" s="22"/>
      <c r="E17" s="22"/>
      <c r="F17" s="22"/>
      <c r="G17" s="22"/>
      <c r="H17" s="22"/>
    </row>
    <row r="18" customFormat="false" ht="15" hidden="false" customHeight="false" outlineLevel="0" collapsed="false">
      <c r="A18" s="20" t="s">
        <v>115</v>
      </c>
      <c r="B18" s="22"/>
      <c r="C18" s="22"/>
      <c r="D18" s="22"/>
      <c r="E18" s="22"/>
      <c r="F18" s="22"/>
      <c r="G18" s="22"/>
      <c r="H18" s="22"/>
    </row>
    <row r="19" customFormat="false" ht="15" hidden="false" customHeight="false" outlineLevel="0" collapsed="false">
      <c r="A19" s="0" t="s">
        <v>116</v>
      </c>
      <c r="B19" s="5" t="n">
        <f aca="false">B12</f>
        <v>17.82</v>
      </c>
      <c r="C19" s="5" t="n">
        <f aca="false">C12</f>
        <v>20.37555</v>
      </c>
      <c r="D19" s="5" t="n">
        <f aca="false">D12</f>
        <v>23.4318825</v>
      </c>
      <c r="E19" s="5" t="n">
        <f aca="false">E12</f>
        <v>25.86225915</v>
      </c>
      <c r="F19" s="5" t="n">
        <f aca="false">F12</f>
        <v>28.7071076565</v>
      </c>
      <c r="G19" s="5" t="n">
        <f aca="false">G12</f>
        <v>31.290747345585</v>
      </c>
      <c r="H19" s="5" t="n">
        <f aca="false">H12</f>
        <v>33.481099659776</v>
      </c>
    </row>
    <row r="20" customFormat="false" ht="15" hidden="false" customHeight="false" outlineLevel="0" collapsed="false">
      <c r="A20" s="0" t="s">
        <v>73</v>
      </c>
      <c r="B20" s="15" t="n">
        <v>0.206</v>
      </c>
      <c r="C20" s="15" t="n">
        <v>0.206</v>
      </c>
      <c r="D20" s="15" t="n">
        <v>0.206</v>
      </c>
      <c r="E20" s="15" t="n">
        <v>0.206</v>
      </c>
      <c r="F20" s="15" t="n">
        <v>0.206</v>
      </c>
      <c r="G20" s="15" t="n">
        <v>0.206</v>
      </c>
      <c r="H20" s="15" t="n">
        <v>0.206</v>
      </c>
    </row>
    <row r="21" customFormat="false" ht="15" hidden="false" customHeight="false" outlineLevel="0" collapsed="false">
      <c r="A21" s="0" t="s">
        <v>117</v>
      </c>
      <c r="B21" s="5" t="n">
        <f aca="false">-B19*B20</f>
        <v>-3.67092</v>
      </c>
      <c r="C21" s="5" t="n">
        <f aca="false">-C19*C20</f>
        <v>-4.1973633</v>
      </c>
      <c r="D21" s="5" t="n">
        <f aca="false">-D19*D20</f>
        <v>-4.826967795</v>
      </c>
      <c r="E21" s="5" t="n">
        <f aca="false">-E19*E20</f>
        <v>-5.3276253849</v>
      </c>
      <c r="F21" s="5" t="n">
        <f aca="false">-F19*F20</f>
        <v>-5.913664177239</v>
      </c>
      <c r="G21" s="5" t="n">
        <f aca="false">-G19*G20</f>
        <v>-6.44589395319051</v>
      </c>
      <c r="H21" s="5" t="n">
        <f aca="false">-H19*H20</f>
        <v>-6.89710652991385</v>
      </c>
    </row>
    <row r="22" customFormat="false" ht="15" hidden="false" customHeight="false" outlineLevel="0" collapsed="false">
      <c r="A22" s="0" t="s">
        <v>118</v>
      </c>
      <c r="B22" s="5" t="n">
        <f aca="false">B19+B21</f>
        <v>14.14908</v>
      </c>
      <c r="C22" s="5" t="n">
        <f aca="false">C19+C21</f>
        <v>16.1781867</v>
      </c>
      <c r="D22" s="5" t="n">
        <f aca="false">D19+D21</f>
        <v>18.604914705</v>
      </c>
      <c r="E22" s="5" t="n">
        <f aca="false">E19+E21</f>
        <v>20.5346337651</v>
      </c>
      <c r="F22" s="5" t="n">
        <f aca="false">F19+F21</f>
        <v>22.793443479261</v>
      </c>
      <c r="G22" s="5" t="n">
        <f aca="false">G19+G21</f>
        <v>24.8448533923945</v>
      </c>
      <c r="H22" s="5" t="n">
        <f aca="false">H19+H21</f>
        <v>26.5839931298621</v>
      </c>
    </row>
    <row r="23" customFormat="false" ht="15" hidden="false" customHeight="false" outlineLevel="0" collapsed="false">
      <c r="A23" s="0" t="s">
        <v>119</v>
      </c>
      <c r="B23" s="5" t="n">
        <f aca="false">B14</f>
        <v>1.0125</v>
      </c>
      <c r="C23" s="5" t="n">
        <f aca="false">C14</f>
        <v>1.184625</v>
      </c>
      <c r="D23" s="5" t="n">
        <f aca="false">D14</f>
        <v>1.36231875</v>
      </c>
      <c r="E23" s="5" t="n">
        <f aca="false">E14</f>
        <v>1.5394201875</v>
      </c>
      <c r="F23" s="5" t="n">
        <f aca="false">F14</f>
        <v>1.708756408125</v>
      </c>
      <c r="G23" s="5" t="n">
        <f aca="false">G14</f>
        <v>1.86254448485625</v>
      </c>
      <c r="H23" s="5" t="n">
        <f aca="false">H14</f>
        <v>1.99292259879619</v>
      </c>
    </row>
    <row r="24" customFormat="false" ht="15" hidden="false" customHeight="false" outlineLevel="0" collapsed="false">
      <c r="A24" s="0" t="s">
        <v>71</v>
      </c>
      <c r="B24" s="15" t="n">
        <v>0.16</v>
      </c>
      <c r="C24" s="15" t="n">
        <v>0.14</v>
      </c>
      <c r="D24" s="15" t="n">
        <v>0.12</v>
      </c>
      <c r="E24" s="15" t="n">
        <v>0.11</v>
      </c>
      <c r="F24" s="15" t="n">
        <v>0.1</v>
      </c>
      <c r="G24" s="15" t="n">
        <v>0.09</v>
      </c>
      <c r="H24" s="15" t="n">
        <v>0.08</v>
      </c>
    </row>
    <row r="25" customFormat="false" ht="15" hidden="false" customHeight="false" outlineLevel="0" collapsed="false">
      <c r="A25" s="0" t="s">
        <v>120</v>
      </c>
      <c r="B25" s="5" t="n">
        <f aca="false">-B6*B24</f>
        <v>-6.48</v>
      </c>
      <c r="C25" s="5" t="n">
        <f aca="false">-C6*C24</f>
        <v>-6.6339</v>
      </c>
      <c r="D25" s="5" t="n">
        <f aca="false">-D6*D24</f>
        <v>-6.53913</v>
      </c>
      <c r="E25" s="5" t="n">
        <f aca="false">-E6*E24</f>
        <v>-6.773448825</v>
      </c>
      <c r="F25" s="5" t="n">
        <f aca="false">-F6*F24</f>
        <v>-6.8350256325</v>
      </c>
      <c r="G25" s="5" t="n">
        <f aca="false">-G6*G24</f>
        <v>-6.7051601454825</v>
      </c>
      <c r="H25" s="5" t="n">
        <f aca="false">-H6*H24</f>
        <v>-6.3773523161478</v>
      </c>
    </row>
    <row r="26" customFormat="false" ht="15" hidden="false" customHeight="false" outlineLevel="0" collapsed="false">
      <c r="A26" s="0" t="s">
        <v>75</v>
      </c>
      <c r="B26" s="15" t="n">
        <v>0.05</v>
      </c>
      <c r="C26" s="15" t="n">
        <v>0.05</v>
      </c>
      <c r="D26" s="15" t="n">
        <v>0.05</v>
      </c>
      <c r="E26" s="15" t="n">
        <v>0.05</v>
      </c>
      <c r="F26" s="15" t="n">
        <v>0.05</v>
      </c>
      <c r="G26" s="15" t="n">
        <v>0.05</v>
      </c>
      <c r="H26" s="15" t="n">
        <v>0.05</v>
      </c>
    </row>
    <row r="27" customFormat="false" ht="15" hidden="false" customHeight="false" outlineLevel="0" collapsed="false">
      <c r="A27" s="0" t="s">
        <v>121</v>
      </c>
      <c r="B27" s="22" t="n">
        <v>-0.5</v>
      </c>
      <c r="C27" s="5" t="n">
        <f aca="false">-(C6-B6)*C26</f>
        <v>-0.34425</v>
      </c>
      <c r="D27" s="5" t="n">
        <f aca="false">-(D6-C6)*D26</f>
        <v>-0.3553875</v>
      </c>
      <c r="E27" s="5" t="n">
        <f aca="false">-(E6-D6)*E26</f>
        <v>-0.354202875</v>
      </c>
      <c r="F27" s="5" t="n">
        <f aca="false">-(F6-E6)*F26</f>
        <v>-0.33867244125</v>
      </c>
      <c r="G27" s="5" t="n">
        <f aca="false">-(G6-F6)*G26</f>
        <v>-0.3075761534625</v>
      </c>
      <c r="H27" s="5" t="n">
        <f aca="false">-(H6-G6)*H26</f>
        <v>-0.260756227879875</v>
      </c>
    </row>
    <row r="28" customFormat="false" ht="15" hidden="false" customHeight="false" outlineLevel="0" collapsed="false">
      <c r="A28" s="23" t="s">
        <v>122</v>
      </c>
      <c r="B28" s="5" t="n">
        <f aca="false">B22+B23+B25+B27</f>
        <v>8.18158</v>
      </c>
      <c r="C28" s="5" t="n">
        <f aca="false">C22+C23+C25+C27</f>
        <v>10.3846617</v>
      </c>
      <c r="D28" s="5" t="n">
        <f aca="false">D22+D23+D25+D27</f>
        <v>13.072715955</v>
      </c>
      <c r="E28" s="5" t="n">
        <f aca="false">E22+E23+E25+E27</f>
        <v>14.9464022526</v>
      </c>
      <c r="F28" s="5" t="n">
        <f aca="false">F22+F23+F25+F27</f>
        <v>17.328501813636</v>
      </c>
      <c r="G28" s="5" t="n">
        <f aca="false">G22+G23+G25+G27</f>
        <v>19.6946615783057</v>
      </c>
      <c r="H28" s="5" t="n">
        <f aca="false">H22+H23+H25+H27</f>
        <v>21.9388071846306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3" t="s">
        <v>123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19"/>
      <c r="B3" s="19" t="s">
        <v>47</v>
      </c>
      <c r="C3" s="19" t="s">
        <v>49</v>
      </c>
      <c r="D3" s="19" t="s">
        <v>51</v>
      </c>
      <c r="E3" s="19" t="s">
        <v>53</v>
      </c>
      <c r="F3" s="19" t="s">
        <v>55</v>
      </c>
      <c r="G3" s="19" t="s">
        <v>57</v>
      </c>
    </row>
    <row r="4" customFormat="false" ht="15" hidden="false" customHeight="false" outlineLevel="0" collapsed="false">
      <c r="A4" s="0" t="s">
        <v>124</v>
      </c>
      <c r="B4" s="22" t="n">
        <f aca="false">Projections!C28</f>
        <v>10.3846617</v>
      </c>
      <c r="C4" s="22" t="n">
        <f aca="false">Projections!D28</f>
        <v>13.072715955</v>
      </c>
      <c r="D4" s="22" t="n">
        <f aca="false">Projections!E28</f>
        <v>14.9464022526</v>
      </c>
      <c r="E4" s="22" t="n">
        <f aca="false">Projections!F28</f>
        <v>17.328501813636</v>
      </c>
      <c r="F4" s="22" t="n">
        <f aca="false">Projections!G28</f>
        <v>19.6946615783057</v>
      </c>
      <c r="G4" s="22" t="n">
        <f aca="false">Projections!H28</f>
        <v>21.9388071846306</v>
      </c>
    </row>
    <row r="6" customFormat="false" ht="15" hidden="false" customHeight="false" outlineLevel="0" collapsed="false">
      <c r="A6" s="0" t="s">
        <v>97</v>
      </c>
      <c r="B6" s="24" t="n">
        <f aca="false">Assumptions!B36</f>
        <v>0.0778138</v>
      </c>
      <c r="C6" s="24"/>
      <c r="D6" s="24"/>
      <c r="E6" s="24"/>
      <c r="F6" s="24"/>
      <c r="G6" s="24"/>
    </row>
    <row r="7" customFormat="false" ht="15" hidden="false" customHeight="false" outlineLevel="0" collapsed="false">
      <c r="A7" s="0" t="s">
        <v>125</v>
      </c>
      <c r="B7" s="7" t="n">
        <v>0.5</v>
      </c>
      <c r="C7" s="7" t="n">
        <v>1.5</v>
      </c>
      <c r="D7" s="7" t="n">
        <v>2.5</v>
      </c>
      <c r="E7" s="7" t="n">
        <v>3.5</v>
      </c>
      <c r="F7" s="7" t="n">
        <v>4.5</v>
      </c>
      <c r="G7" s="7" t="n">
        <v>5.5</v>
      </c>
    </row>
    <row r="8" customFormat="false" ht="15" hidden="false" customHeight="false" outlineLevel="0" collapsed="false">
      <c r="A8" s="0" t="s">
        <v>126</v>
      </c>
      <c r="B8" s="0" t="n">
        <f aca="false">1/(1+$B$6)^B7</f>
        <v>0.963225851941493</v>
      </c>
      <c r="C8" s="0" t="n">
        <f aca="false">1/(1+$B$6)^C7</f>
        <v>0.893684838644201</v>
      </c>
      <c r="D8" s="0" t="n">
        <f aca="false">1/(1+$B$6)^D7</f>
        <v>0.829164405432739</v>
      </c>
      <c r="E8" s="0" t="n">
        <f aca="false">1/(1+$B$6)^E7</f>
        <v>0.769302086717334</v>
      </c>
      <c r="F8" s="0" t="n">
        <f aca="false">1/(1+$B$6)^F7</f>
        <v>0.713761585458763</v>
      </c>
      <c r="G8" s="0" t="n">
        <f aca="false">1/(1+$B$6)^G7</f>
        <v>0.662230883904774</v>
      </c>
    </row>
    <row r="9" customFormat="false" ht="15" hidden="false" customHeight="false" outlineLevel="0" collapsed="false">
      <c r="A9" s="0" t="s">
        <v>127</v>
      </c>
      <c r="B9" s="22" t="n">
        <f aca="false">B4*B8</f>
        <v>10.0027746131067</v>
      </c>
      <c r="C9" s="22" t="n">
        <f aca="false">C4*C8</f>
        <v>11.6828880488857</v>
      </c>
      <c r="D9" s="22" t="n">
        <f aca="false">D4*D8</f>
        <v>12.3930247371356</v>
      </c>
      <c r="E9" s="22" t="n">
        <f aca="false">E4*E8</f>
        <v>13.3308526049153</v>
      </c>
      <c r="F9" s="22" t="n">
        <f aca="false">F4*F8</f>
        <v>14.0572928732053</v>
      </c>
      <c r="G9" s="22" t="n">
        <f aca="false">G4*G8</f>
        <v>14.5285556736943</v>
      </c>
    </row>
    <row r="12" customFormat="false" ht="15" hidden="false" customHeight="false" outlineLevel="0" collapsed="false">
      <c r="A12" s="4" t="s">
        <v>128</v>
      </c>
      <c r="B12" s="4"/>
      <c r="C12" s="4"/>
      <c r="D12" s="4"/>
      <c r="E12" s="4"/>
      <c r="F12" s="4"/>
      <c r="G12" s="4"/>
    </row>
    <row r="14" customFormat="false" ht="15" hidden="false" customHeight="false" outlineLevel="0" collapsed="false">
      <c r="A14" s="25" t="s">
        <v>129</v>
      </c>
    </row>
    <row r="15" customFormat="false" ht="15" hidden="false" customHeight="false" outlineLevel="0" collapsed="false">
      <c r="A15" s="0" t="s">
        <v>100</v>
      </c>
      <c r="B15" s="26" t="n">
        <f aca="false">Assumptions!B40</f>
        <v>0.03</v>
      </c>
    </row>
    <row r="16" customFormat="false" ht="15" hidden="false" customHeight="false" outlineLevel="0" collapsed="false">
      <c r="A16" s="0" t="s">
        <v>130</v>
      </c>
      <c r="B16" s="22" t="n">
        <f aca="false">G4</f>
        <v>21.9388071846306</v>
      </c>
      <c r="C16" s="22"/>
      <c r="D16" s="22"/>
      <c r="E16" s="22"/>
      <c r="F16" s="22"/>
      <c r="G16" s="22"/>
    </row>
    <row r="17" customFormat="false" ht="15" hidden="false" customHeight="false" outlineLevel="0" collapsed="false">
      <c r="A17" s="0" t="s">
        <v>131</v>
      </c>
      <c r="B17" s="22" t="n">
        <f aca="false">B16*(1+B15)/(B6-B15)</f>
        <v>472.603545423487</v>
      </c>
      <c r="C17" s="22"/>
      <c r="D17" s="22"/>
      <c r="E17" s="22"/>
      <c r="F17" s="22"/>
      <c r="G17" s="22"/>
    </row>
    <row r="18" customFormat="false" ht="15" hidden="false" customHeight="false" outlineLevel="0" collapsed="false">
      <c r="A18" s="0" t="s">
        <v>132</v>
      </c>
      <c r="B18" s="22" t="n">
        <f aca="false">B17*G8</f>
        <v>312.972663622326</v>
      </c>
      <c r="C18" s="22"/>
      <c r="D18" s="22"/>
      <c r="E18" s="22"/>
      <c r="F18" s="22"/>
      <c r="G18" s="22"/>
    </row>
    <row r="20" customFormat="false" ht="15" hidden="false" customHeight="false" outlineLevel="0" collapsed="false">
      <c r="A20" s="25" t="s">
        <v>133</v>
      </c>
    </row>
    <row r="21" customFormat="false" ht="15" hidden="false" customHeight="false" outlineLevel="0" collapsed="false">
      <c r="A21" s="0" t="s">
        <v>102</v>
      </c>
      <c r="B21" s="27" t="n">
        <f aca="false">Assumptions!B41</f>
        <v>12</v>
      </c>
    </row>
    <row r="22" customFormat="false" ht="15" hidden="false" customHeight="false" outlineLevel="0" collapsed="false">
      <c r="A22" s="0" t="s">
        <v>134</v>
      </c>
      <c r="B22" s="22" t="n">
        <f aca="false">Projections!H15</f>
        <v>35.4740222585721</v>
      </c>
      <c r="C22" s="22"/>
      <c r="D22" s="22"/>
      <c r="E22" s="22"/>
      <c r="F22" s="22"/>
      <c r="G22" s="22"/>
    </row>
    <row r="23" customFormat="false" ht="15" hidden="false" customHeight="false" outlineLevel="0" collapsed="false">
      <c r="A23" s="0" t="s">
        <v>135</v>
      </c>
      <c r="B23" s="22" t="n">
        <f aca="false">B21*B22</f>
        <v>425.688267102866</v>
      </c>
      <c r="C23" s="22"/>
      <c r="D23" s="22"/>
      <c r="E23" s="22"/>
      <c r="F23" s="22"/>
      <c r="G23" s="22"/>
    </row>
    <row r="24" customFormat="false" ht="15" hidden="false" customHeight="false" outlineLevel="0" collapsed="false">
      <c r="A24" s="0" t="s">
        <v>132</v>
      </c>
      <c r="B24" s="22" t="n">
        <f aca="false">B23*G8</f>
        <v>281.903917391422</v>
      </c>
      <c r="C24" s="22"/>
      <c r="D24" s="22"/>
      <c r="E24" s="22"/>
      <c r="F24" s="22"/>
      <c r="G24" s="22"/>
    </row>
    <row r="27" customFormat="false" ht="15" hidden="false" customHeight="false" outlineLevel="0" collapsed="false">
      <c r="A27" s="4" t="s">
        <v>136</v>
      </c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D28" s="14" t="s">
        <v>137</v>
      </c>
      <c r="E28" s="14" t="s">
        <v>138</v>
      </c>
    </row>
    <row r="29" customFormat="false" ht="15" hidden="false" customHeight="false" outlineLevel="0" collapsed="false">
      <c r="A29" s="0" t="s">
        <v>139</v>
      </c>
      <c r="B29" s="22"/>
      <c r="C29" s="22"/>
      <c r="D29" s="22" t="n">
        <f aca="false">SUM(B9:G9)</f>
        <v>75.9953885509429</v>
      </c>
      <c r="E29" s="22" t="n">
        <f aca="false">SUM(B9:G9)</f>
        <v>75.9953885509429</v>
      </c>
      <c r="F29" s="22"/>
      <c r="G29" s="22"/>
    </row>
    <row r="30" customFormat="false" ht="15" hidden="false" customHeight="false" outlineLevel="0" collapsed="false">
      <c r="A30" s="0" t="s">
        <v>132</v>
      </c>
      <c r="B30" s="22"/>
      <c r="C30" s="22"/>
      <c r="D30" s="22" t="n">
        <f aca="false">B18</f>
        <v>312.972663622326</v>
      </c>
      <c r="E30" s="22" t="n">
        <f aca="false">B24</f>
        <v>281.903917391422</v>
      </c>
      <c r="F30" s="22"/>
      <c r="G30" s="22"/>
    </row>
    <row r="31" customFormat="false" ht="15" hidden="false" customHeight="false" outlineLevel="0" collapsed="false">
      <c r="A31" s="0" t="s">
        <v>9</v>
      </c>
      <c r="B31" s="22"/>
      <c r="C31" s="22"/>
      <c r="D31" s="28" t="n">
        <f aca="false">D29+D30</f>
        <v>388.968052173269</v>
      </c>
      <c r="E31" s="28" t="n">
        <f aca="false">E29+E30</f>
        <v>357.899305942365</v>
      </c>
      <c r="F31" s="22"/>
      <c r="G31" s="22"/>
    </row>
    <row r="33" customFormat="false" ht="15" hidden="false" customHeight="false" outlineLevel="0" collapsed="false">
      <c r="A33" s="0" t="s">
        <v>140</v>
      </c>
      <c r="B33" s="22"/>
      <c r="C33" s="22"/>
      <c r="D33" s="29" t="n">
        <v>-15.9</v>
      </c>
      <c r="E33" s="29" t="n">
        <v>-15.9</v>
      </c>
      <c r="F33" s="22"/>
      <c r="G33" s="22"/>
    </row>
    <row r="34" customFormat="false" ht="15" hidden="false" customHeight="false" outlineLevel="0" collapsed="false">
      <c r="A34" s="0" t="s">
        <v>141</v>
      </c>
      <c r="B34" s="22"/>
      <c r="C34" s="22"/>
      <c r="D34" s="29" t="n">
        <v>5.12</v>
      </c>
      <c r="E34" s="29" t="n">
        <v>5.12</v>
      </c>
      <c r="F34" s="22"/>
      <c r="G34" s="22"/>
    </row>
    <row r="35" customFormat="false" ht="15" hidden="false" customHeight="false" outlineLevel="0" collapsed="false">
      <c r="A35" s="0" t="s">
        <v>11</v>
      </c>
      <c r="B35" s="22"/>
      <c r="C35" s="22"/>
      <c r="D35" s="28" t="n">
        <f aca="false">D31+D33+D34</f>
        <v>378.188052173269</v>
      </c>
      <c r="E35" s="28" t="n">
        <f aca="false">E31+E33+E34</f>
        <v>347.119305942365</v>
      </c>
      <c r="F35" s="22"/>
      <c r="G35" s="22"/>
    </row>
    <row r="37" customFormat="false" ht="15" hidden="false" customHeight="false" outlineLevel="0" collapsed="false">
      <c r="A37" s="0" t="s">
        <v>12</v>
      </c>
      <c r="D37" s="7" t="n">
        <v>4.45</v>
      </c>
      <c r="E37" s="7" t="n">
        <v>4.45</v>
      </c>
    </row>
    <row r="38" customFormat="false" ht="15" hidden="false" customHeight="false" outlineLevel="0" collapsed="false">
      <c r="A38" s="0" t="s">
        <v>142</v>
      </c>
      <c r="D38" s="30" t="n">
        <f aca="false">D35/D37</f>
        <v>84.9860791400604</v>
      </c>
      <c r="E38" s="30" t="n">
        <f aca="false">E35/E37</f>
        <v>78.0043384140146</v>
      </c>
    </row>
    <row r="40" customFormat="false" ht="15" hidden="false" customHeight="false" outlineLevel="0" collapsed="false">
      <c r="A40" s="0" t="s">
        <v>6</v>
      </c>
      <c r="D40" s="31" t="n">
        <v>52.39</v>
      </c>
      <c r="E40" s="31" t="n">
        <v>52.39</v>
      </c>
    </row>
    <row r="41" customFormat="false" ht="15" hidden="false" customHeight="false" outlineLevel="0" collapsed="false">
      <c r="A41" s="0" t="s">
        <v>143</v>
      </c>
      <c r="D41" s="26" t="n">
        <f aca="false">(D38-D40)/D40</f>
        <v>0.622181315901134</v>
      </c>
      <c r="E41" s="26" t="n">
        <f aca="false">(E38-E40)/E40</f>
        <v>0.488916556862276</v>
      </c>
    </row>
  </sheetData>
  <mergeCells count="4">
    <mergeCell ref="A1:H1"/>
    <mergeCell ref="B6:G6"/>
    <mergeCell ref="A12:G12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2"/>
  </cols>
  <sheetData>
    <row r="1" customFormat="false" ht="19.7" hidden="false" customHeight="false" outlineLevel="0" collapsed="false">
      <c r="A1" s="13" t="s">
        <v>144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4" t="s">
        <v>145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B5" s="11" t="s">
        <v>100</v>
      </c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C6" s="32" t="n">
        <v>0.02</v>
      </c>
      <c r="D6" s="32" t="n">
        <v>0.025</v>
      </c>
      <c r="E6" s="32" t="n">
        <v>0.03</v>
      </c>
      <c r="F6" s="32" t="n">
        <v>0.035</v>
      </c>
      <c r="G6" s="32" t="n">
        <v>0.04</v>
      </c>
    </row>
    <row r="7" customFormat="false" ht="15" hidden="false" customHeight="false" outlineLevel="0" collapsed="false">
      <c r="A7" s="33" t="s">
        <v>97</v>
      </c>
      <c r="B7" s="32" t="n">
        <v>0.055</v>
      </c>
      <c r="C7" s="34" t="n">
        <f aca="false">($B$20+$B$21*(1+C6)/(B7-C6)*(1/(1+B7)^$B$22)-15.9+5.12)/4.45</f>
        <v>121.682943807201</v>
      </c>
      <c r="D7" s="34" t="n">
        <f aca="false">($B$20+$B$21*(1+D6)/(B7-D6)*(1/(1+B7)^$B$22)-15.9+5.12)/4.45</f>
        <v>140.132997619259</v>
      </c>
      <c r="E7" s="34" t="n">
        <f aca="false">($B$20+$B$21*(1+E6)/(B7-E6)*(1/(1+B7)^$B$22)-15.9+5.12)/4.45</f>
        <v>165.963072956142</v>
      </c>
      <c r="F7" s="34" t="n">
        <f aca="false">($B$20+$B$21*(1+F6)/(B7-F6)*(1/(1+B7)^$B$22)-15.9+5.12)/4.45</f>
        <v>204.708185961465</v>
      </c>
      <c r="G7" s="34" t="n">
        <f aca="false">($B$20+$B$21*(1+G6)/(B7-G6)*(1/(1+B7)^$B$22)-15.9+5.12)/4.45</f>
        <v>269.283374303671</v>
      </c>
    </row>
    <row r="8" customFormat="false" ht="15" hidden="false" customHeight="false" outlineLevel="0" collapsed="false">
      <c r="B8" s="32" t="n">
        <v>0.06</v>
      </c>
      <c r="C8" s="34" t="n">
        <f aca="false">($B$20+$B$21*(1+C6)/(B8-C6)*(1/(1+B8)^$B$22)-15.9+5.12)/4.45</f>
        <v>105.900531385052</v>
      </c>
      <c r="D8" s="34" t="n">
        <f aca="false">($B$20+$B$21*(1+D6)/(B8-D6)*(1/(1+B8)^$B$22)-15.9+5.12)/4.45</f>
        <v>119.446765441619</v>
      </c>
      <c r="E8" s="34" t="n">
        <f aca="false">($B$20+$B$21*(1+E6)/(B8-E6)*(1/(1+B8)^$B$22)-15.9+5.12)/4.45</f>
        <v>137.508410850374</v>
      </c>
      <c r="F8" s="34" t="n">
        <f aca="false">($B$20+$B$21*(1+F6)/(B8-F6)*(1/(1+B8)^$B$22)-15.9+5.12)/4.45</f>
        <v>162.794714422632</v>
      </c>
      <c r="G8" s="34" t="n">
        <f aca="false">($B$20+$B$21*(1+G6)/(B8-G6)*(1/(1+B8)^$B$22)-15.9+5.12)/4.45</f>
        <v>200.724169781019</v>
      </c>
    </row>
    <row r="9" customFormat="false" ht="15" hidden="false" customHeight="false" outlineLevel="0" collapsed="false">
      <c r="B9" s="32" t="n">
        <v>0.065</v>
      </c>
      <c r="C9" s="34" t="n">
        <f aca="false">($B$20+$B$21*(1+C6)/(B9-C6)*(1/(1+B9)^$B$22)-15.9+5.12)/4.45</f>
        <v>93.6898446501909</v>
      </c>
      <c r="D9" s="34" t="n">
        <f aca="false">($B$20+$B$21*(1+D6)/(B9-D6)*(1/(1+B9)^$B$22)-15.9+5.12)/4.45</f>
        <v>104.005035426013</v>
      </c>
      <c r="E9" s="34" t="n">
        <f aca="false">($B$20+$B$21*(1+E6)/(B9-E6)*(1/(1+B9)^$B$22)-15.9+5.12)/4.45</f>
        <v>117.267423566356</v>
      </c>
      <c r="F9" s="34" t="n">
        <f aca="false">($B$20+$B$21*(1+F6)/(B9-F6)*(1/(1+B9)^$B$22)-15.9+5.12)/4.45</f>
        <v>134.95060775348</v>
      </c>
      <c r="G9" s="34" t="n">
        <f aca="false">($B$20+$B$21*(1+G6)/(B9-G6)*(1/(1+B9)^$B$22)-15.9+5.12)/4.45</f>
        <v>159.707065615454</v>
      </c>
    </row>
    <row r="10" customFormat="false" ht="15" hidden="false" customHeight="false" outlineLevel="0" collapsed="false">
      <c r="B10" s="32" t="n">
        <v>0.07</v>
      </c>
      <c r="C10" s="34" t="n">
        <f aca="false">($B$20+$B$21*(1+C6)/(B10-C6)*(1/(1+B10)^$B$22)-15.9+5.12)/4.45</f>
        <v>83.9773520256905</v>
      </c>
      <c r="D10" s="34" t="n">
        <f aca="false">($B$20+$B$21*(1+D6)/(B10-D6)*(1/(1+B10)^$B$22)-15.9+5.12)/4.45</f>
        <v>92.0573915821473</v>
      </c>
      <c r="E10" s="34" t="n">
        <f aca="false">($B$20+$B$21*(1+E6)/(B10-E6)*(1/(1+B10)^$B$22)-15.9+5.12)/4.45</f>
        <v>102.157441027718</v>
      </c>
      <c r="F10" s="34" t="n">
        <f aca="false">($B$20+$B$21*(1+F6)/(B10-F6)*(1/(1+B10)^$B$22)-15.9+5.12)/4.45</f>
        <v>115.14321888631</v>
      </c>
      <c r="G10" s="34" t="n">
        <f aca="false">($B$20+$B$21*(1+G6)/(B10-G6)*(1/(1+B10)^$B$22)-15.9+5.12)/4.45</f>
        <v>132.457589364431</v>
      </c>
    </row>
    <row r="11" customFormat="false" ht="15" hidden="false" customHeight="false" outlineLevel="0" collapsed="false">
      <c r="B11" s="32" t="n">
        <v>0.075</v>
      </c>
      <c r="C11" s="34" t="n">
        <f aca="false">($B$20+$B$21*(1+C6)/(B11-C6)*(1/(1+B11)^$B$22)-15.9+5.12)/4.45</f>
        <v>76.0799686785042</v>
      </c>
      <c r="D11" s="34" t="n">
        <f aca="false">($B$20+$B$21*(1+D6)/(B11-D6)*(1/(1+B11)^$B$22)-15.9+5.12)/4.45</f>
        <v>82.5536634895536</v>
      </c>
      <c r="E11" s="34" t="n">
        <f aca="false">($B$20+$B$21*(1+E6)/(B11-E6)*(1/(1+B11)^$B$22)-15.9+5.12)/4.45</f>
        <v>90.4659571475028</v>
      </c>
      <c r="F11" s="34" t="n">
        <f aca="false">($B$20+$B$21*(1+F6)/(B11-F6)*(1/(1+B11)^$B$22)-15.9+5.12)/4.45</f>
        <v>100.356324219939</v>
      </c>
      <c r="G11" s="34" t="n">
        <f aca="false">($B$20+$B$21*(1+G6)/(B11-G6)*(1/(1+B11)^$B$22)-15.9+5.12)/4.45</f>
        <v>113.072510455929</v>
      </c>
    </row>
    <row r="12" customFormat="false" ht="15" hidden="false" customHeight="false" outlineLevel="0" collapsed="false">
      <c r="B12" s="32" t="n">
        <v>0.08</v>
      </c>
      <c r="C12" s="34" t="n">
        <f aca="false">($B$20+$B$21*(1+C6)/(B12-C6)*(1/(1+B12)^$B$22)-15.9+5.12)/4.45</f>
        <v>69.5423675185324</v>
      </c>
      <c r="D12" s="34" t="n">
        <f aca="false">($B$20+$B$21*(1+D6)/(B12-D6)*(1/(1+B12)^$B$22)-15.9+5.12)/4.45</f>
        <v>74.8256297240452</v>
      </c>
      <c r="E12" s="34" t="n">
        <f aca="false">($B$20+$B$21*(1+E6)/(B12-E6)*(1/(1+B12)^$B$22)-15.9+5.12)/4.45</f>
        <v>81.1655443706606</v>
      </c>
      <c r="F12" s="34" t="n">
        <f aca="false">($B$20+$B$21*(1+F6)/(B12-F6)*(1/(1+B12)^$B$22)-15.9+5.12)/4.45</f>
        <v>88.914328938746</v>
      </c>
      <c r="G12" s="34" t="n">
        <f aca="false">($B$20+$B$21*(1+G6)/(B12-G6)*(1/(1+B12)^$B$22)-15.9+5.12)/4.45</f>
        <v>98.6003096488528</v>
      </c>
    </row>
    <row r="13" customFormat="false" ht="15" hidden="false" customHeight="false" outlineLevel="0" collapsed="false">
      <c r="B13" s="32" t="n">
        <v>0.085</v>
      </c>
      <c r="C13" s="34" t="n">
        <f aca="false">($B$20+$B$21*(1+C6)/(B13-C6)*(1/(1+B13)^$B$22)-15.9+5.12)/4.45</f>
        <v>64.0493775552075</v>
      </c>
      <c r="D13" s="34" t="n">
        <f aca="false">($B$20+$B$21*(1+D6)/(B13-D6)*(1/(1+B13)^$B$22)-15.9+5.12)/4.45</f>
        <v>68.4278697084563</v>
      </c>
      <c r="E13" s="34" t="n">
        <f aca="false">($B$20+$B$21*(1+E6)/(B13-E6)*(1/(1+B13)^$B$22)-15.9+5.12)/4.45</f>
        <v>73.6024513441141</v>
      </c>
      <c r="F13" s="34" t="n">
        <f aca="false">($B$20+$B$21*(1+F6)/(B13-F6)*(1/(1+B13)^$B$22)-15.9+5.12)/4.45</f>
        <v>79.8119493069033</v>
      </c>
      <c r="G13" s="34" t="n">
        <f aca="false">($B$20+$B$21*(1+G6)/(B13-G6)*(1/(1+B13)^$B$22)-15.9+5.12)/4.45</f>
        <v>87.401335705868</v>
      </c>
    </row>
    <row r="17" customFormat="false" ht="15" hidden="false" customHeight="false" outlineLevel="0" collapsed="false">
      <c r="A17" s="0" t="s">
        <v>146</v>
      </c>
      <c r="B17" s="26" t="n">
        <f aca="false">Assumptions!B36</f>
        <v>0.0778138</v>
      </c>
      <c r="C17" s="6" t="s">
        <v>147</v>
      </c>
      <c r="D17" s="26" t="n">
        <f aca="false">Assumptions!B40</f>
        <v>0.03</v>
      </c>
    </row>
    <row r="19" customFormat="false" ht="15" hidden="false" customHeight="false" outlineLevel="0" collapsed="false">
      <c r="A19" s="35" t="s">
        <v>148</v>
      </c>
    </row>
    <row r="20" customFormat="false" ht="15" hidden="false" customHeight="false" outlineLevel="0" collapsed="false">
      <c r="A20" s="0" t="s">
        <v>149</v>
      </c>
      <c r="B20" s="22" t="n">
        <f aca="false">DCF!D29</f>
        <v>75.9953885509429</v>
      </c>
    </row>
    <row r="21" customFormat="false" ht="15" hidden="false" customHeight="false" outlineLevel="0" collapsed="false">
      <c r="A21" s="0" t="s">
        <v>150</v>
      </c>
      <c r="B21" s="22" t="n">
        <f aca="false">DCF!B16</f>
        <v>21.9388071846306</v>
      </c>
    </row>
    <row r="22" customFormat="false" ht="15" hidden="false" customHeight="false" outlineLevel="0" collapsed="false">
      <c r="A22" s="0" t="s">
        <v>151</v>
      </c>
      <c r="B22" s="0" t="n">
        <v>5.5</v>
      </c>
    </row>
    <row r="25" customFormat="false" ht="15" hidden="false" customHeight="false" outlineLevel="0" collapsed="false">
      <c r="A25" s="4" t="s">
        <v>152</v>
      </c>
      <c r="B25" s="4"/>
      <c r="C25" s="4"/>
      <c r="D25" s="4"/>
      <c r="E25" s="4"/>
      <c r="F25" s="4"/>
      <c r="G25" s="4"/>
      <c r="H25" s="4"/>
    </row>
    <row r="27" customFormat="false" ht="15" hidden="false" customHeight="false" outlineLevel="0" collapsed="false">
      <c r="B27" s="11" t="s">
        <v>102</v>
      </c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C28" s="36" t="n">
        <v>9</v>
      </c>
      <c r="D28" s="36" t="n">
        <v>10</v>
      </c>
      <c r="E28" s="36" t="n">
        <v>11</v>
      </c>
      <c r="F28" s="36" t="n">
        <v>12</v>
      </c>
      <c r="G28" s="36" t="n">
        <v>13</v>
      </c>
    </row>
    <row r="29" customFormat="false" ht="15" hidden="false" customHeight="false" outlineLevel="0" collapsed="false">
      <c r="A29" s="33" t="s">
        <v>97</v>
      </c>
      <c r="B29" s="32" t="n">
        <v>0.055</v>
      </c>
      <c r="C29" s="34" t="n">
        <f aca="false">($B$20+C28*$B$37*(1/(1+B29)^$B$22)-15.9+5.12)/4.45</f>
        <v>68.0998140912411</v>
      </c>
      <c r="D29" s="34" t="n">
        <f aca="false">($B$20+D28*$B$37*(1/(1+B29)^$B$22)-15.9+5.12)/4.45</f>
        <v>74.0381108242019</v>
      </c>
      <c r="E29" s="34" t="n">
        <f aca="false">($B$20+E28*$B$37*(1/(1+B29)^$B$22)-15.9+5.12)/4.45</f>
        <v>79.9764075571627</v>
      </c>
      <c r="F29" s="34" t="n">
        <f aca="false">($B$20+F28*$B$37*(1/(1+B29)^$B$22)-15.9+5.12)/4.45</f>
        <v>85.9147042901235</v>
      </c>
      <c r="G29" s="34" t="n">
        <f aca="false">($B$20+G28*$B$37*(1/(1+B29)^$B$22)-15.9+5.12)/4.45</f>
        <v>91.8530010230843</v>
      </c>
    </row>
    <row r="30" customFormat="false" ht="15" hidden="false" customHeight="false" outlineLevel="0" collapsed="false">
      <c r="B30" s="32" t="n">
        <v>0.06</v>
      </c>
      <c r="C30" s="34" t="n">
        <f aca="false">($B$20+C28*$B$37*(1/(1+B30)^$B$22)-15.9+5.12)/4.45</f>
        <v>66.727912679266</v>
      </c>
      <c r="D30" s="34" t="n">
        <f aca="false">($B$20+D28*$B$37*(1/(1+B30)^$B$22)-15.9+5.12)/4.45</f>
        <v>72.5137759220073</v>
      </c>
      <c r="E30" s="34" t="n">
        <f aca="false">($B$20+E28*$B$37*(1/(1+B30)^$B$22)-15.9+5.12)/4.45</f>
        <v>78.2996391647486</v>
      </c>
      <c r="F30" s="34" t="n">
        <f aca="false">($B$20+F28*$B$37*(1/(1+B30)^$B$22)-15.9+5.12)/4.45</f>
        <v>84.08550240749</v>
      </c>
      <c r="G30" s="34" t="n">
        <f aca="false">($B$20+G28*$B$37*(1/(1+B30)^$B$22)-15.9+5.12)/4.45</f>
        <v>89.8713656502313</v>
      </c>
    </row>
    <row r="31" customFormat="false" ht="15" hidden="false" customHeight="false" outlineLevel="0" collapsed="false">
      <c r="B31" s="32" t="n">
        <v>0.065</v>
      </c>
      <c r="C31" s="34" t="n">
        <f aca="false">($B$20+C28*$B$37*(1/(1+B31)^$B$22)-15.9+5.12)/4.45</f>
        <v>65.3974366313187</v>
      </c>
      <c r="D31" s="34" t="n">
        <f aca="false">($B$20+D28*$B$37*(1/(1+B31)^$B$22)-15.9+5.12)/4.45</f>
        <v>71.0354692020659</v>
      </c>
      <c r="E31" s="34" t="n">
        <f aca="false">($B$20+E28*$B$37*(1/(1+B31)^$B$22)-15.9+5.12)/4.45</f>
        <v>76.6735017728131</v>
      </c>
      <c r="F31" s="34" t="n">
        <f aca="false">($B$20+F28*$B$37*(1/(1+B31)^$B$22)-15.9+5.12)/4.45</f>
        <v>82.3115343435603</v>
      </c>
      <c r="G31" s="34" t="n">
        <f aca="false">($B$20+G28*$B$37*(1/(1+B31)^$B$22)-15.9+5.12)/4.45</f>
        <v>87.9495669143075</v>
      </c>
    </row>
    <row r="32" customFormat="false" ht="15" hidden="false" customHeight="false" outlineLevel="0" collapsed="false">
      <c r="B32" s="32" t="n">
        <v>0.07</v>
      </c>
      <c r="C32" s="34" t="n">
        <f aca="false">($B$20+C28*$B$37*(1/(1+B32)^$B$22)-15.9+5.12)/4.45</f>
        <v>64.106949329223</v>
      </c>
      <c r="D32" s="34" t="n">
        <f aca="false">($B$20+D28*$B$37*(1/(1+B32)^$B$22)-15.9+5.12)/4.45</f>
        <v>69.6015944219596</v>
      </c>
      <c r="E32" s="34" t="n">
        <f aca="false">($B$20+E28*$B$37*(1/(1+B32)^$B$22)-15.9+5.12)/4.45</f>
        <v>75.0962395146962</v>
      </c>
      <c r="F32" s="34" t="n">
        <f aca="false">($B$20+F28*$B$37*(1/(1+B32)^$B$22)-15.9+5.12)/4.45</f>
        <v>80.5908846074328</v>
      </c>
      <c r="G32" s="34" t="n">
        <f aca="false">($B$20+G28*$B$37*(1/(1+B32)^$B$22)-15.9+5.12)/4.45</f>
        <v>86.0855297001694</v>
      </c>
    </row>
    <row r="33" customFormat="false" ht="15" hidden="false" customHeight="false" outlineLevel="0" collapsed="false">
      <c r="B33" s="32" t="n">
        <v>0.075</v>
      </c>
      <c r="C33" s="34" t="n">
        <f aca="false">($B$20+C28*$B$37*(1/(1+B33)^$B$22)-15.9+5.12)/4.45</f>
        <v>62.8550703587819</v>
      </c>
      <c r="D33" s="34" t="n">
        <f aca="false">($B$20+D28*$B$37*(1/(1+B33)^$B$22)-15.9+5.12)/4.45</f>
        <v>68.2106177881362</v>
      </c>
      <c r="E33" s="34" t="n">
        <f aca="false">($B$20+E28*$B$37*(1/(1+B33)^$B$22)-15.9+5.12)/4.45</f>
        <v>73.5661652174904</v>
      </c>
      <c r="F33" s="34" t="n">
        <f aca="false">($B$20+F28*$B$37*(1/(1+B33)^$B$22)-15.9+5.12)/4.45</f>
        <v>78.9217126468446</v>
      </c>
      <c r="G33" s="34" t="n">
        <f aca="false">($B$20+G28*$B$37*(1/(1+B33)^$B$22)-15.9+5.12)/4.45</f>
        <v>84.2772600761988</v>
      </c>
    </row>
    <row r="34" customFormat="false" ht="15" hidden="false" customHeight="false" outlineLevel="0" collapsed="false">
      <c r="B34" s="32" t="n">
        <v>0.08</v>
      </c>
      <c r="C34" s="34" t="n">
        <f aca="false">($B$20+C28*$B$37*(1/(1+B34)^$B$22)-15.9+5.12)/4.45</f>
        <v>61.6404730635334</v>
      </c>
      <c r="D34" s="34" t="n">
        <f aca="false">($B$20+D28*$B$37*(1/(1+B34)^$B$22)-15.9+5.12)/4.45</f>
        <v>66.86106523786</v>
      </c>
      <c r="E34" s="34" t="n">
        <f aca="false">($B$20+E28*$B$37*(1/(1+B34)^$B$22)-15.9+5.12)/4.45</f>
        <v>72.0816574121866</v>
      </c>
      <c r="F34" s="34" t="n">
        <f aca="false">($B$20+F28*$B$37*(1/(1+B34)^$B$22)-15.9+5.12)/4.45</f>
        <v>77.3022495865132</v>
      </c>
      <c r="G34" s="34" t="n">
        <f aca="false">($B$20+G28*$B$37*(1/(1+B34)^$B$22)-15.9+5.12)/4.45</f>
        <v>82.5228417608398</v>
      </c>
    </row>
    <row r="35" customFormat="false" ht="15" hidden="false" customHeight="false" outlineLevel="0" collapsed="false">
      <c r="B35" s="32" t="n">
        <v>0.085</v>
      </c>
      <c r="C35" s="34" t="n">
        <f aca="false">($B$20+C28*$B$37*(1/(1+B35)^$B$22)-15.9+5.12)/4.45</f>
        <v>60.4618822156484</v>
      </c>
      <c r="D35" s="34" t="n">
        <f aca="false">($B$20+D28*$B$37*(1/(1+B35)^$B$22)-15.9+5.12)/4.45</f>
        <v>65.5515198513211</v>
      </c>
      <c r="E35" s="34" t="n">
        <f aca="false">($B$20+E28*$B$37*(1/(1+B35)^$B$22)-15.9+5.12)/4.45</f>
        <v>70.6411574869939</v>
      </c>
      <c r="F35" s="34" t="n">
        <f aca="false">($B$20+F28*$B$37*(1/(1+B35)^$B$22)-15.9+5.12)/4.45</f>
        <v>75.7307951226666</v>
      </c>
      <c r="G35" s="34" t="n">
        <f aca="false">($B$20+G28*$B$37*(1/(1+B35)^$B$22)-15.9+5.12)/4.45</f>
        <v>80.8204327583393</v>
      </c>
    </row>
    <row r="37" customFormat="false" ht="15" hidden="false" customHeight="false" outlineLevel="0" collapsed="false">
      <c r="A37" s="0" t="s">
        <v>134</v>
      </c>
      <c r="B37" s="22" t="n">
        <f aca="false">DCF!B22</f>
        <v>35.4740222585721</v>
      </c>
    </row>
  </sheetData>
  <mergeCells count="5">
    <mergeCell ref="A1:H1"/>
    <mergeCell ref="A3:H3"/>
    <mergeCell ref="B5:H5"/>
    <mergeCell ref="A25:H25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4"/>
  </cols>
  <sheetData>
    <row r="1" customFormat="false" ht="19.7" hidden="false" customHeight="false" outlineLevel="0" collapsed="false">
      <c r="A1" s="13" t="s">
        <v>153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customFormat="false" ht="28.35" hidden="false" customHeight="false" outlineLevel="0" collapsed="false">
      <c r="A3" s="37" t="s">
        <v>154</v>
      </c>
      <c r="B3" s="37" t="s">
        <v>155</v>
      </c>
      <c r="C3" s="37" t="s">
        <v>17</v>
      </c>
      <c r="D3" s="37" t="s">
        <v>156</v>
      </c>
      <c r="E3" s="37" t="s">
        <v>157</v>
      </c>
      <c r="F3" s="37" t="s">
        <v>158</v>
      </c>
      <c r="G3" s="37" t="s">
        <v>159</v>
      </c>
      <c r="H3" s="37" t="s">
        <v>24</v>
      </c>
      <c r="I3" s="37" t="s">
        <v>160</v>
      </c>
      <c r="J3" s="37" t="s">
        <v>161</v>
      </c>
      <c r="K3" s="37" t="s">
        <v>63</v>
      </c>
    </row>
    <row r="4" customFormat="false" ht="15" hidden="false" customHeight="false" outlineLevel="0" collapsed="false">
      <c r="A4" s="0" t="s">
        <v>162</v>
      </c>
      <c r="B4" s="0" t="s">
        <v>163</v>
      </c>
      <c r="C4" s="29" t="n">
        <v>232.8</v>
      </c>
      <c r="D4" s="29" t="n">
        <v>238.1</v>
      </c>
      <c r="E4" s="29" t="n">
        <v>49.6</v>
      </c>
      <c r="F4" s="29" t="n">
        <v>23.2</v>
      </c>
      <c r="G4" s="38" t="n">
        <f aca="false">D4/E4</f>
        <v>4.80040322580645</v>
      </c>
      <c r="H4" s="38" t="n">
        <f aca="false">D4/F4</f>
        <v>10.2629310344828</v>
      </c>
      <c r="I4" s="18" t="n">
        <v>14.3</v>
      </c>
      <c r="J4" s="15" t="n">
        <v>0.17</v>
      </c>
      <c r="K4" s="15" t="n">
        <v>0.847</v>
      </c>
    </row>
    <row r="5" customFormat="false" ht="15" hidden="false" customHeight="false" outlineLevel="0" collapsed="false">
      <c r="A5" s="0" t="s">
        <v>164</v>
      </c>
      <c r="B5" s="0" t="s">
        <v>165</v>
      </c>
      <c r="C5" s="29" t="n">
        <v>968.5</v>
      </c>
      <c r="D5" s="29" t="n">
        <v>982</v>
      </c>
      <c r="E5" s="29" t="n">
        <v>45</v>
      </c>
      <c r="F5" s="29" t="n">
        <v>16.5</v>
      </c>
      <c r="G5" s="38" t="n">
        <f aca="false">D5/E5</f>
        <v>21.8222222222222</v>
      </c>
      <c r="H5" s="38" t="n">
        <f aca="false">D5/F5</f>
        <v>59.5151515151515</v>
      </c>
      <c r="I5" s="18" t="n">
        <v>65.2</v>
      </c>
      <c r="J5" s="15" t="n">
        <v>0.32</v>
      </c>
      <c r="K5" s="15" t="n">
        <v>0.81</v>
      </c>
    </row>
    <row r="6" customFormat="false" ht="15" hidden="false" customHeight="false" outlineLevel="0" collapsed="false">
      <c r="A6" s="0" t="s">
        <v>166</v>
      </c>
      <c r="B6" s="0" t="s">
        <v>167</v>
      </c>
      <c r="C6" s="29" t="n">
        <v>210</v>
      </c>
      <c r="D6" s="29" t="n">
        <v>235</v>
      </c>
      <c r="E6" s="29" t="n">
        <v>54</v>
      </c>
      <c r="F6" s="29" t="n">
        <v>15.5</v>
      </c>
      <c r="G6" s="38" t="n">
        <f aca="false">D6/E6</f>
        <v>4.35185185185185</v>
      </c>
      <c r="H6" s="38" t="n">
        <f aca="false">D6/F6</f>
        <v>15.1612903225806</v>
      </c>
      <c r="I6" s="18" t="n">
        <v>32.1</v>
      </c>
      <c r="J6" s="15" t="n">
        <v>0.18</v>
      </c>
      <c r="K6" s="15" t="n">
        <v>0.73</v>
      </c>
    </row>
    <row r="7" customFormat="false" ht="15" hidden="false" customHeight="false" outlineLevel="0" collapsed="false">
      <c r="A7" s="0" t="s">
        <v>168</v>
      </c>
      <c r="B7" s="0" t="s">
        <v>169</v>
      </c>
      <c r="C7" s="29" t="n">
        <v>245</v>
      </c>
      <c r="D7" s="29" t="n">
        <v>270</v>
      </c>
      <c r="E7" s="29" t="n">
        <v>64</v>
      </c>
      <c r="F7" s="29" t="n">
        <v>28</v>
      </c>
      <c r="G7" s="38" t="n">
        <f aca="false">D7/E7</f>
        <v>4.21875</v>
      </c>
      <c r="H7" s="38" t="n">
        <f aca="false">D7/F7</f>
        <v>9.64285714285714</v>
      </c>
      <c r="I7" s="18" t="n">
        <v>15.8</v>
      </c>
      <c r="J7" s="15" t="n">
        <v>0.07</v>
      </c>
      <c r="K7" s="15" t="n">
        <v>0.76</v>
      </c>
    </row>
    <row r="8" customFormat="false" ht="15" hidden="false" customHeight="false" outlineLevel="0" collapsed="false">
      <c r="A8" s="0" t="s">
        <v>170</v>
      </c>
      <c r="B8" s="0" t="s">
        <v>171</v>
      </c>
      <c r="C8" s="29" t="n">
        <v>142</v>
      </c>
      <c r="D8" s="29" t="n">
        <v>205</v>
      </c>
      <c r="E8" s="29" t="n">
        <v>58</v>
      </c>
      <c r="F8" s="29" t="n">
        <v>18</v>
      </c>
      <c r="G8" s="38" t="n">
        <f aca="false">D8/E8</f>
        <v>3.53448275862069</v>
      </c>
      <c r="H8" s="38" t="n">
        <f aca="false">D8/F8</f>
        <v>11.3888888888889</v>
      </c>
      <c r="I8" s="18" t="n">
        <v>22.5</v>
      </c>
      <c r="J8" s="15" t="n">
        <v>-0.05</v>
      </c>
      <c r="K8" s="15" t="n">
        <v>0.68</v>
      </c>
    </row>
    <row r="9" customFormat="false" ht="15" hidden="false" customHeight="false" outlineLevel="0" collapsed="false">
      <c r="A9" s="0" t="s">
        <v>172</v>
      </c>
      <c r="B9" s="0" t="s">
        <v>173</v>
      </c>
      <c r="C9" s="29" t="n">
        <v>315</v>
      </c>
      <c r="D9" s="29" t="n">
        <v>385</v>
      </c>
      <c r="E9" s="29" t="n">
        <v>56</v>
      </c>
      <c r="F9" s="29" t="n">
        <v>26</v>
      </c>
      <c r="G9" s="38" t="n">
        <f aca="false">D9/E9</f>
        <v>6.875</v>
      </c>
      <c r="H9" s="38" t="n">
        <f aca="false">D9/F9</f>
        <v>14.8076923076923</v>
      </c>
      <c r="I9" s="18" t="n">
        <v>18.2</v>
      </c>
      <c r="J9" s="15" t="n">
        <v>0.04</v>
      </c>
      <c r="K9" s="15" t="n">
        <v>0.7</v>
      </c>
    </row>
    <row r="10" customFormat="false" ht="15" hidden="false" customHeight="false" outlineLevel="0" collapsed="false">
      <c r="C10" s="22"/>
      <c r="D10" s="22"/>
      <c r="E10" s="22"/>
      <c r="F10" s="22"/>
      <c r="G10" s="27"/>
      <c r="H10" s="27"/>
      <c r="I10" s="27"/>
      <c r="J10" s="26"/>
      <c r="K10" s="26"/>
    </row>
    <row r="11" customFormat="false" ht="15" hidden="false" customHeight="false" outlineLevel="0" collapsed="false">
      <c r="A11" s="0" t="s">
        <v>174</v>
      </c>
      <c r="C11" s="22"/>
      <c r="D11" s="22"/>
      <c r="E11" s="22"/>
      <c r="F11" s="22"/>
      <c r="G11" s="38" t="n">
        <f aca="false">AVERAGE(G5:G9)</f>
        <v>8.16046136653895</v>
      </c>
      <c r="H11" s="38" t="n">
        <f aca="false">AVERAGE(H5:H9)</f>
        <v>22.1031760354341</v>
      </c>
      <c r="I11" s="38" t="n">
        <f aca="false">AVERAGE(I5:I9)</f>
        <v>30.76</v>
      </c>
      <c r="J11" s="21" t="n">
        <f aca="false">AVERAGE(J5:J9)</f>
        <v>0.112</v>
      </c>
      <c r="K11" s="21" t="n">
        <f aca="false">AVERAGE(K5:K9)</f>
        <v>0.736</v>
      </c>
    </row>
    <row r="12" customFormat="false" ht="15" hidden="false" customHeight="false" outlineLevel="0" collapsed="false">
      <c r="A12" s="0" t="s">
        <v>175</v>
      </c>
      <c r="C12" s="22"/>
      <c r="D12" s="22"/>
      <c r="E12" s="22"/>
      <c r="F12" s="22"/>
      <c r="G12" s="38" t="n">
        <f aca="false">MEDIAN(G5:G9)</f>
        <v>4.35185185185185</v>
      </c>
      <c r="H12" s="38" t="n">
        <f aca="false">MEDIAN(H5:H9)</f>
        <v>14.8076923076923</v>
      </c>
      <c r="I12" s="38" t="n">
        <f aca="false">MEDIAN(I5:I9)</f>
        <v>22.5</v>
      </c>
      <c r="J12" s="21" t="n">
        <f aca="false">MEDIAN(J5:J9)</f>
        <v>0.07</v>
      </c>
      <c r="K12" s="21" t="n">
        <f aca="false">MEDIAN(K5:K9)</f>
        <v>0.73</v>
      </c>
    </row>
    <row r="16" customFormat="false" ht="15" hidden="false" customHeight="false" outlineLevel="0" collapsed="false">
      <c r="A16" s="4" t="s">
        <v>176</v>
      </c>
      <c r="B16" s="4"/>
      <c r="C16" s="4"/>
      <c r="D16" s="4"/>
      <c r="E16" s="4"/>
    </row>
    <row r="18" customFormat="false" ht="15" hidden="false" customHeight="false" outlineLevel="0" collapsed="false">
      <c r="A18" s="0" t="s">
        <v>177</v>
      </c>
      <c r="B18" s="0" t="n">
        <v>49.6</v>
      </c>
    </row>
    <row r="19" customFormat="false" ht="15" hidden="false" customHeight="false" outlineLevel="0" collapsed="false">
      <c r="A19" s="0" t="s">
        <v>178</v>
      </c>
      <c r="B19" s="0" t="n">
        <v>23.2</v>
      </c>
    </row>
    <row r="20" customFormat="false" ht="15" hidden="false" customHeight="false" outlineLevel="0" collapsed="false">
      <c r="A20" s="0" t="s">
        <v>12</v>
      </c>
      <c r="B20" s="0" t="n">
        <v>4.45</v>
      </c>
    </row>
    <row r="21" customFormat="false" ht="15" hidden="false" customHeight="false" outlineLevel="0" collapsed="false">
      <c r="A21" s="0" t="s">
        <v>179</v>
      </c>
      <c r="B21" s="0" t="n">
        <v>10.78</v>
      </c>
    </row>
    <row r="23" customFormat="false" ht="15" hidden="false" customHeight="false" outlineLevel="0" collapsed="false">
      <c r="A23" s="14" t="s">
        <v>60</v>
      </c>
      <c r="B23" s="14" t="s">
        <v>180</v>
      </c>
      <c r="C23" s="14" t="s">
        <v>181</v>
      </c>
      <c r="D23" s="14" t="s">
        <v>182</v>
      </c>
      <c r="E23" s="14" t="s">
        <v>183</v>
      </c>
    </row>
    <row r="24" customFormat="false" ht="15" hidden="false" customHeight="false" outlineLevel="0" collapsed="false">
      <c r="A24" s="0" t="s">
        <v>184</v>
      </c>
      <c r="B24" s="27" t="n">
        <f aca="false">G11</f>
        <v>8.16046136653895</v>
      </c>
      <c r="C24" s="22" t="n">
        <f aca="false">B24*B18</f>
        <v>404.758883780332</v>
      </c>
      <c r="D24" s="22" t="n">
        <f aca="false">C24-B21</f>
        <v>393.978883780332</v>
      </c>
      <c r="E24" s="39" t="n">
        <f aca="false">D24/B20</f>
        <v>88.5345806247937</v>
      </c>
    </row>
    <row r="25" customFormat="false" ht="15" hidden="false" customHeight="false" outlineLevel="0" collapsed="false">
      <c r="A25" s="0" t="s">
        <v>185</v>
      </c>
      <c r="B25" s="27" t="n">
        <f aca="false">H11</f>
        <v>22.1031760354341</v>
      </c>
      <c r="C25" s="22" t="n">
        <f aca="false">B25*B19</f>
        <v>512.793684022071</v>
      </c>
      <c r="D25" s="22" t="n">
        <f aca="false">C25-B21</f>
        <v>502.013684022071</v>
      </c>
      <c r="E25" s="39" t="n">
        <f aca="false">D25/B20</f>
        <v>112.812063825185</v>
      </c>
    </row>
  </sheetData>
  <mergeCells count="2">
    <mergeCell ref="A1:K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2026-01-03T23:01:14Z</dcterms:created>
  <dc:creator>openpyxl</dc:creator>
  <dc:description/>
  <dc:language>en-US</dc:language>
  <cp:lastModifiedBy/>
  <dcterms:modified xsi:type="dcterms:W3CDTF">2026-01-03T23:01:14Z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