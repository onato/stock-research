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Sensitivity" sheetId="2" r:id="rId2"/>
    <sheet name="Historical" sheetId="3" r:id="rId3"/>
    <sheet name="FCF Quality" sheetId="4" r:id="rId4"/>
    <sheet name="Model_Info" sheetId="5" r:id="rId5"/>
  </sheets>
  <calcPr calcId="124519" fullCalcOnLoad="1"/>
</workbook>
</file>

<file path=xl/sharedStrings.xml><?xml version="1.0" encoding="utf-8"?>
<sst xmlns="http://schemas.openxmlformats.org/spreadsheetml/2006/main" count="148" uniqueCount="131">
  <si>
    <t>FLOW.AS Earnings-Based Valuation Model (Cost of Equity)</t>
  </si>
  <si>
    <t>Gray cells are INPUTS - adjust to see valuation change. This is NOT a FCF DCF - see Model_Info tab.</t>
  </si>
  <si>
    <t>KEY INPUTS</t>
  </si>
  <si>
    <t>Current Stock Price</t>
  </si>
  <si>
    <t>Shares Outstanding, FY2025 base (M)</t>
  </si>
  <si>
    <t>Annual Net Dilution Rate (SBC vesting less buybacks)</t>
  </si>
  <si>
    <t>FY2025 NTI base (EUR m)</t>
  </si>
  <si>
    <t>Cost of Equity</t>
  </si>
  <si>
    <t>Terminal Growth Rate</t>
  </si>
  <si>
    <t>Terminal Exit P/E Cap</t>
  </si>
  <si>
    <t>Net Debt Adjustment (EUR m)</t>
  </si>
  <si>
    <t>Trading capital is a required operating asset, not excess cash - see Model_Info</t>
  </si>
  <si>
    <t>GROWTH &amp; MARGIN ASSUMPTIONS (BASE CASE)</t>
  </si>
  <si>
    <t>FY2026E</t>
  </si>
  <si>
    <t>FY2027E</t>
  </si>
  <si>
    <t>FY2028E</t>
  </si>
  <si>
    <t>FY2029E</t>
  </si>
  <si>
    <t>FY2030E</t>
  </si>
  <si>
    <t>NTI Growth Rate</t>
  </si>
  <si>
    <t>EBITDA Margin</t>
  </si>
  <si>
    <t>Fixed Opex (EUR m)</t>
  </si>
  <si>
    <t>D&amp;A (EUR m)</t>
  </si>
  <si>
    <t>Interest Expense (EUR m)</t>
  </si>
  <si>
    <t>Cash Tax Rate</t>
  </si>
  <si>
    <t>PROJECTIONS (component build)</t>
  </si>
  <si>
    <t>NTI (Revenue)</t>
  </si>
  <si>
    <t>EBITDA</t>
  </si>
  <si>
    <t>Implied Variable Opex (memo)</t>
  </si>
  <si>
    <t>EBIT (EBITDA - D&amp;A)</t>
  </si>
  <si>
    <t>Pretax Income (EBIT - Interest)</t>
  </si>
  <si>
    <t>Net Income (owner earnings)</t>
  </si>
  <si>
    <t>Net Margin % (memo)</t>
  </si>
  <si>
    <t>Shares Outstanding (M)</t>
  </si>
  <si>
    <t>Discount Factor (Cost of Equity)</t>
  </si>
  <si>
    <t>PV of Net Income</t>
  </si>
  <si>
    <t>VALUATION</t>
  </si>
  <si>
    <t>Sum of PV of Net Income</t>
  </si>
  <si>
    <t>Terminal Net Income (Year 5 x (1+g))</t>
  </si>
  <si>
    <t>Terminal Value - Gordon Growth</t>
  </si>
  <si>
    <t>Terminal Value - Exit P/E Cap</t>
  </si>
  <si>
    <t>Terminal Value Used (MIN of the two)</t>
  </si>
  <si>
    <t>PV of Terminal Value</t>
  </si>
  <si>
    <t>Equity Value (= PV NI + PV TV, no net-debt bridge)</t>
  </si>
  <si>
    <t>INTRINSIC VALUE/SHARE</t>
  </si>
  <si>
    <t>Terminal % of Enterprise Value</t>
  </si>
  <si>
    <t>Implied Exit P/E (TV / Y5 Net Income)</t>
  </si>
  <si>
    <t>ENTRY PRICE (15% IRR Target)</t>
  </si>
  <si>
    <t>PV of Yrs 1-5 Net Income @15%</t>
  </si>
  <si>
    <t>PV of Terminal Value @15%</t>
  </si>
  <si>
    <t>Net Debt Adjustment</t>
  </si>
  <si>
    <t>Entry Price (15% IRR, base case)</t>
  </si>
  <si>
    <t>Upside to Intrinsic Value</t>
  </si>
  <si>
    <t>Upside to Entry Price (premium/discount)</t>
  </si>
  <si>
    <t>Sanity: IV / FY2025 EPS (3.07)</t>
  </si>
  <si>
    <t>Sanity: Current Price / FY2025 EPS (3.07)</t>
  </si>
  <si>
    <t>Sensitivity Analysis - Base Case</t>
  </si>
  <si>
    <t>Intrinsic Value by Cost of Equity &amp; Terminal Growth (with exit-P/E cap applied)</t>
  </si>
  <si>
    <t>CoE \ Term G</t>
  </si>
  <si>
    <t>Note: rows where Gordon growth would exceed the exit-P/E cap show flat values across</t>
  </si>
  <si>
    <t>columns because the cap (not terminal growth) is binding - this is intentional, not an error.</t>
  </si>
  <si>
    <t>Historical Growth Rates</t>
  </si>
  <si>
    <t>Metric</t>
  </si>
  <si>
    <t>3-Year CAGR</t>
  </si>
  <si>
    <t>5-Year CAGR</t>
  </si>
  <si>
    <t>EPS</t>
  </si>
  <si>
    <t>Equity (Book Value)</t>
  </si>
  <si>
    <t>NTI 6yr CAGR ex-COVID base (FY19-25)</t>
  </si>
  <si>
    <t>Equity 6yr CAGR ex-COVID base (FY19-25)</t>
  </si>
  <si>
    <t>Net Income 6yr CAGR ex-COVID base (FY19-25)</t>
  </si>
  <si>
    <t>Selected Growth Rate (reference anchor):</t>
  </si>
  <si>
    <t>Source:</t>
  </si>
  <si>
    <t>equity_3yr_cagr</t>
  </si>
  <si>
    <t>Historical NTI by Fiscal Year (EUR m)</t>
  </si>
  <si>
    <t>Fiscal Year</t>
  </si>
  <si>
    <t>NTI</t>
  </si>
  <si>
    <t>Net Income</t>
  </si>
  <si>
    <t>Net Margin %</t>
  </si>
  <si>
    <t>FY2015</t>
  </si>
  <si>
    <t>FY2016</t>
  </si>
  <si>
    <t>FY2017</t>
  </si>
  <si>
    <t>FY2018</t>
  </si>
  <si>
    <t>FY2019</t>
  </si>
  <si>
    <t>FY2020</t>
  </si>
  <si>
    <t>FY2021</t>
  </si>
  <si>
    <t>FY2022</t>
  </si>
  <si>
    <t>FY2023</t>
  </si>
  <si>
    <t>FY2024</t>
  </si>
  <si>
    <t>FY2025</t>
  </si>
  <si>
    <t>FY2020 note:</t>
  </si>
  <si>
    <t>COVID volatility spike - excluded as base year for CAGR calcs</t>
  </si>
  <si>
    <t>FCF Quality - NOT APPLICABLE for Flow Traders</t>
  </si>
  <si>
    <t>This tab is intentionally different from the standard template. Flow Traders is a proprietary market maker with no meaningful reported FCF signal. Reported Operating Cash Flow and Free Cash Flow swing violently with trading-capital working-capital movements and are NOT used anywhere in this valuation.</t>
  </si>
  <si>
    <t>Reported OCF / FCF by Fiscal Year (EUR m) - for reference only, NOT used in DCF</t>
  </si>
  <si>
    <t>Operating Cash Flow</t>
  </si>
  <si>
    <t>Free Cash Flow</t>
  </si>
  <si>
    <t>OCF - NI (working capital noise)</t>
  </si>
  <si>
    <t>Key observation:</t>
  </si>
  <si>
    <t>FY2025 OCF (EUR -120.6m) was NEGATIVE in a profitable year (Net Income EUR 133.6m) - a EUR 254m gap driven by trading-capital deployment (records show trading capital grew from EUR 775m to EUR 1,044m in FY2025 alone). This is why the model discounts NET INCOME, not FCF. See DCF Model tab and Model_Info tab.</t>
  </si>
  <si>
    <t>SBC Treatment (in lieu of FCF Quality reconciliation):</t>
  </si>
  <si>
    <t>SBC (StockBasedComp column, EUR 17.6m FY2025) is a component of "Variable compensation paid in shares" within Employee Expenses and is ALREADY fully expensed within reported Net Income (confirmed via FY2022 Annual Report Note 12). It is NOT deducted a second time. Only dilution (~1.0%/yr net share growth from vesting less minimal/absent buybacks) is modeled - see DCF Model tab rows 6-7, 34.</t>
  </si>
  <si>
    <t>Model Provenance &amp; Methodology Notes</t>
  </si>
  <si>
    <t>Ticker</t>
  </si>
  <si>
    <t>FLOW.AS (Flow Traders Ltd., Euronext Amsterdam)</t>
  </si>
  <si>
    <t>Built by</t>
  </si>
  <si>
    <t>dcf-analyst agent (Claude Agent SDK), per /Users/swilliams/Stocks/Research/.claude/agents/dcf-analyst.md</t>
  </si>
  <si>
    <t>Valuation date</t>
  </si>
  <si>
    <t>2026-08-01</t>
  </si>
  <si>
    <t>Current price source</t>
  </si>
  <si>
    <t>Yahoo Finance chart API, verified 2026-08-01: EUR 26.48</t>
  </si>
  <si>
    <t>Data vintage</t>
  </si>
  <si>
    <t>FY2015-FY2025 annuals, H1-2026 and Q1/Q2-2026 interims from FLOW.AS_Metrics.csv; qualitative inputs from FLOW.AS_Analysis.json (analysis_date 2026-08-01, covering the 30-July-2026 2Q26 results release and the 23-June-2026 Capital Markets Day / Horizon 2030 announcement).</t>
  </si>
  <si>
    <t>Model type</t>
  </si>
  <si>
    <t>EARNINGS-BASED, cost-of-equity discounting (NOT a free-cash-flow DCF). Flow Traders is a proprietary market maker with no client AuM; reported OCF/FCF are dominated by trading-capital working-capital swings (FY2025 OCF was EUR -120.6m in a EUR 133.6m net-income year) and are economically meaningless for valuation. The model discounts projected Net Income at a cost of equity, analogous to a bank/insurer residual-income framework.</t>
  </si>
  <si>
    <t>SBC treatment</t>
  </si>
  <si>
    <t>SBC is CONFIRMED already-expensed within reported Net Income (FY2022 Annual Report Note 12: "Total expenses arising from equity settled share-based payments" sits inside Employee Expenses feeding EBIT; the cash flow statement adds it back as a non-cash reconciling item from Net Profit to Operating Cash Flow). NO earnings deduction is applied for SBC (this would double-count the cost). Only the resulting net DILUTION (~1.0%/yr, vesting less minimal/absent buybacks - FY2024 buyback EUR 11.8m, FY2025 buyback EUR 0) is modeled via a growing share count, consistent with "no dividend/buyback through at least 2030" guidance.</t>
  </si>
  <si>
    <t>Net debt treatment</t>
  </si>
  <si>
    <t>NO net-debt/net-cash bridge applied to equity value. FY2025 loans &amp; borrowings EUR 164.9m / H1-2026 EUR 197.5m ($200m private credit facility + $75m revolver, both drawn to fund the Trading Capital Expansion Plan) are offset by trading capital (EUR 1,150m at H1-2026), which is REQUIRED regulatory/operating capital, not distributable excess cash. The cost of this debt is captured through the interest-expense line (EUR 20-22m/yr projected) inside the Net Income build instead.</t>
  </si>
  <si>
    <t>Earnings base</t>
  </si>
  <si>
    <t>FY2025 actual NTI of EUR 485.8m is used as the Y0 anchor - a genuine mid-cycle year, above the EUR 114m FY2021-2025 raw net-income average but explicitly NOT extrapolating the stronger Q1-2026/H1-2026 run-rate, since 2Q26 already showed sequential deceleration versus 1Q26 (NTI -5% QoQ, net profit -19% QoQ, EBITDA margin 43% vs 46%).</t>
  </si>
  <si>
    <t>Terminal value</t>
  </si>
  <si>
    <t>MIN of Gordon growth perpetuity and an exit-P/E cap (11x base / 13x bull / 9x bear) applied to Year-5 Net Income, discounted at the scenario cost of equity, per the standard skill methodology adapted to earnings rather than FCF.</t>
  </si>
  <si>
    <t>Entry price</t>
  </si>
  <si>
    <t>Price at which buying today, collecting 5 years of base-case projected Net Income and exiting at the base-case terminal value in Year 5, earns a 15% IRR. Interim earnings and the terminal value are discounted at 15%; the terminal value itself is still computed using cost-of-equity based Gordon/cap logic (the fair exit price a buyer pays), only the discounting back to today uses the 15% hurdle.</t>
  </si>
  <si>
    <t>Horizon</t>
  </si>
  <si>
    <t>5 years (FY2026E-FY2030E). A 5-year horizon is appropriate here because margins are not "ramping" in the SBC/component sense used for growth-tech names - Flow Traders margins are cyclical, not maturing, so extending the explicit horizon would not resolve a maturity gap, only add forecast error on a highly volatility-dependent business.</t>
  </si>
  <si>
    <t>What to refresh after next earnings print</t>
  </si>
  <si>
    <t>Update FY2025-actuals-based inputs (B6, B8 on DCF Model tab) once FY2026 full-year results are released (expected ~Feb 2027); re-check whether FY2026 fixed opex landed within the EUR 235-245m guided range; re-check interest expense run-rate against the annualizing ~EUR 19-20m estimate; re-verify shares outstanding and buyback/dividend status (currently suspended through at least 2030 per Horizon 2030 guidance); refresh current_price from Yahoo Finance.</t>
  </si>
  <si>
    <t>Cell colour conventions</t>
  </si>
  <si>
    <t>Gray-shaded cells = editable inputs. White cells = formulas (do not overwrite). Green cells = key output results (Intrinsic Value/Share, Entry Price).</t>
  </si>
  <si>
    <t>Caveat</t>
  </si>
  <si>
    <t>All figures in this workbook go stale as new quarterly/annual results are published and MUST be re-checked before being relied upon. Flow Traders earnings are structurally cyclical - treat the base-case intrinsic value as a mid-cycle fair-value estimate, not a near-term price target, and expect the stock may reasonably trade at or below the bear-case IV for extended stretches during low-volatility regimes (as it did through FY2023).</t>
  </si>
</sst>
</file>

<file path=xl/styles.xml><?xml version="1.0" encoding="utf-8"?>
<styleSheet xmlns="http://schemas.openxmlformats.org/spreadsheetml/2006/main">
  <numFmts count="3">
    <numFmt numFmtId="164" formatCode="#,##0.0"/>
    <numFmt numFmtId="165" formatCode="0.0%"/>
    <numFmt numFmtId="166" formatCode="&quot;€&quot;#,##0.00"/>
  </numFmts>
  <fonts count="6">
    <font>
      <sz val="11"/>
      <color theme="1"/>
      <name val="Calibri"/>
      <family val="2"/>
      <scheme val="minor"/>
    </font>
    <font>
      <b/>
      <sz val="16"/>
      <color theme="1"/>
      <name val="Calibri"/>
      <family val="2"/>
      <scheme val="minor"/>
    </font>
    <font>
      <i/>
      <sz val="11"/>
      <color rgb="FF808080"/>
      <name val="Calibri"/>
      <family val="2"/>
      <scheme val="minor"/>
    </font>
    <font>
      <b/>
      <sz val="12"/>
      <color theme="1"/>
      <name val="Calibri"/>
      <family val="2"/>
      <scheme val="minor"/>
    </font>
    <font>
      <b/>
      <sz val="11"/>
      <color rgb="FFFFFFFF"/>
      <name val="Calibri"/>
      <family val="2"/>
      <scheme val="minor"/>
    </font>
    <font>
      <b/>
      <sz val="11"/>
      <color theme="1"/>
      <name val="Calibri"/>
      <family val="2"/>
      <scheme val="minor"/>
    </font>
  </fonts>
  <fills count="5">
    <fill>
      <patternFill patternType="none"/>
    </fill>
    <fill>
      <patternFill patternType="gray125"/>
    </fill>
    <fill>
      <patternFill patternType="solid">
        <fgColor rgb="FFDFE6E9"/>
        <bgColor indexed="64"/>
      </patternFill>
    </fill>
    <fill>
      <patternFill patternType="solid">
        <fgColor rgb="FF2D3436"/>
        <bgColor indexed="64"/>
      </patternFill>
    </fill>
    <fill>
      <patternFill patternType="solid">
        <fgColor rgb="FF00B894"/>
        <bgColor indexed="64"/>
      </patternFill>
    </fill>
  </fills>
  <borders count="3">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xf numFmtId="0" fontId="2" fillId="0" borderId="0" xfId="0" applyFont="1" applyAlignment="1">
      <alignment wrapText="1"/>
    </xf>
    <xf numFmtId="0" fontId="3" fillId="0" borderId="1" xfId="0" applyFont="1" applyBorder="1"/>
    <xf numFmtId="164" fontId="0" fillId="2" borderId="2" xfId="0" applyNumberFormat="1" applyFill="1" applyBorder="1"/>
    <xf numFmtId="165" fontId="0" fillId="2" borderId="2" xfId="0" applyNumberFormat="1" applyFill="1" applyBorder="1"/>
    <xf numFmtId="0" fontId="4" fillId="3" borderId="2" xfId="0" applyFont="1" applyFill="1" applyBorder="1"/>
    <xf numFmtId="164" fontId="0" fillId="0" borderId="2" xfId="0" applyNumberFormat="1" applyBorder="1"/>
    <xf numFmtId="165" fontId="0" fillId="0" borderId="2" xfId="0" applyNumberFormat="1" applyBorder="1"/>
    <xf numFmtId="0" fontId="5" fillId="0" borderId="0" xfId="0" applyFont="1"/>
    <xf numFmtId="166" fontId="4" fillId="4" borderId="2" xfId="0" applyNumberFormat="1" applyFont="1" applyFill="1" applyBorder="1"/>
    <xf numFmtId="165" fontId="4" fillId="3" borderId="0" xfId="0" applyNumberFormat="1" applyFont="1" applyFill="1"/>
    <xf numFmtId="166" fontId="0" fillId="0" borderId="2" xfId="0" applyNumberForma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61"/>
  <sheetViews>
    <sheetView tabSelected="1" workbookViewId="0"/>
  </sheetViews>
  <sheetFormatPr defaultRowHeight="15"/>
  <cols>
    <col min="1" max="1" width="30.7109375" customWidth="1"/>
    <col min="2" max="8" width="14.7109375" customWidth="1"/>
  </cols>
  <sheetData>
    <row r="1" spans="1:3">
      <c r="A1" s="1" t="s">
        <v>0</v>
      </c>
    </row>
    <row r="2" spans="1:3">
      <c r="A2" s="2" t="s">
        <v>1</v>
      </c>
    </row>
    <row r="4" spans="1:3">
      <c r="A4" s="3" t="s">
        <v>2</v>
      </c>
    </row>
    <row r="5" spans="1:3">
      <c r="A5" t="s">
        <v>3</v>
      </c>
      <c r="B5" s="4">
        <v>26.48</v>
      </c>
    </row>
    <row r="6" spans="1:3">
      <c r="A6" t="s">
        <v>4</v>
      </c>
      <c r="B6" s="4">
        <v>43.5</v>
      </c>
    </row>
    <row r="7" spans="1:3">
      <c r="A7" t="s">
        <v>5</v>
      </c>
      <c r="B7" s="5">
        <v>0.01</v>
      </c>
    </row>
    <row r="8" spans="1:3">
      <c r="A8" t="s">
        <v>6</v>
      </c>
      <c r="B8" s="4">
        <v>485.8</v>
      </c>
    </row>
    <row r="10" spans="1:3">
      <c r="A10" t="s">
        <v>7</v>
      </c>
      <c r="B10" s="5">
        <v>0.12</v>
      </c>
    </row>
    <row r="11" spans="1:3">
      <c r="A11" t="s">
        <v>8</v>
      </c>
      <c r="B11" s="5">
        <v>0.025</v>
      </c>
    </row>
    <row r="12" spans="1:3">
      <c r="A12" t="s">
        <v>9</v>
      </c>
      <c r="B12" s="4">
        <v>11</v>
      </c>
    </row>
    <row r="14" spans="1:3">
      <c r="A14" t="s">
        <v>10</v>
      </c>
      <c r="B14" s="4">
        <v>0</v>
      </c>
      <c r="C14" s="2" t="s">
        <v>11</v>
      </c>
    </row>
    <row r="16" spans="1:3">
      <c r="A16" s="3" t="s">
        <v>12</v>
      </c>
    </row>
    <row r="17" spans="1:6">
      <c r="B17" s="6" t="s">
        <v>13</v>
      </c>
      <c r="C17" s="6" t="s">
        <v>14</v>
      </c>
      <c r="D17" s="6" t="s">
        <v>15</v>
      </c>
      <c r="E17" s="6" t="s">
        <v>16</v>
      </c>
      <c r="F17" s="6" t="s">
        <v>17</v>
      </c>
    </row>
    <row r="18" spans="1:6">
      <c r="A18" t="s">
        <v>18</v>
      </c>
      <c r="B18" s="5">
        <v>0.07000000000000001</v>
      </c>
      <c r="C18" s="5">
        <v>0.07000000000000001</v>
      </c>
      <c r="D18" s="5">
        <v>0.065</v>
      </c>
      <c r="E18" s="5">
        <v>0.06</v>
      </c>
      <c r="F18" s="5">
        <v>0.06</v>
      </c>
    </row>
    <row r="19" spans="1:6">
      <c r="A19" t="s">
        <v>19</v>
      </c>
      <c r="B19" s="5">
        <v>0.4</v>
      </c>
      <c r="C19" s="5">
        <v>0.405</v>
      </c>
      <c r="D19" s="5">
        <v>0.41</v>
      </c>
      <c r="E19" s="5">
        <v>0.415</v>
      </c>
      <c r="F19" s="5">
        <v>0.42</v>
      </c>
    </row>
    <row r="20" spans="1:6">
      <c r="A20" t="s">
        <v>20</v>
      </c>
      <c r="B20" s="4">
        <v>240</v>
      </c>
      <c r="C20" s="4">
        <v>254.4</v>
      </c>
      <c r="D20" s="4">
        <v>269.7</v>
      </c>
      <c r="E20" s="4">
        <v>285.9</v>
      </c>
      <c r="F20" s="4">
        <v>303.1</v>
      </c>
    </row>
    <row r="21" spans="1:6">
      <c r="A21" t="s">
        <v>21</v>
      </c>
      <c r="B21" s="4">
        <v>19.5</v>
      </c>
      <c r="C21" s="4">
        <v>21.1</v>
      </c>
      <c r="D21" s="4">
        <v>22.8</v>
      </c>
      <c r="E21" s="4">
        <v>24.6</v>
      </c>
      <c r="F21" s="4">
        <v>26.6</v>
      </c>
    </row>
    <row r="22" spans="1:6">
      <c r="A22" t="s">
        <v>22</v>
      </c>
      <c r="B22" s="4">
        <v>20</v>
      </c>
      <c r="C22" s="4">
        <v>20.5</v>
      </c>
      <c r="D22" s="4">
        <v>21</v>
      </c>
      <c r="E22" s="4">
        <v>21.5</v>
      </c>
      <c r="F22" s="4">
        <v>22</v>
      </c>
    </row>
    <row r="23" spans="1:6">
      <c r="A23" t="s">
        <v>23</v>
      </c>
      <c r="B23" s="5">
        <v>0.2</v>
      </c>
      <c r="C23" s="5">
        <v>0.205</v>
      </c>
      <c r="D23" s="5">
        <v>0.21</v>
      </c>
      <c r="E23" s="5">
        <v>0.21</v>
      </c>
      <c r="F23" s="5">
        <v>0.21</v>
      </c>
    </row>
    <row r="25" spans="1:6">
      <c r="A25" s="3" t="s">
        <v>24</v>
      </c>
    </row>
    <row r="26" spans="1:6">
      <c r="A26" s="6"/>
      <c r="B26" s="6" t="s">
        <v>13</v>
      </c>
      <c r="C26" s="6" t="s">
        <v>14</v>
      </c>
      <c r="D26" s="6" t="s">
        <v>15</v>
      </c>
      <c r="E26" s="6" t="s">
        <v>16</v>
      </c>
      <c r="F26" s="6" t="s">
        <v>17</v>
      </c>
    </row>
    <row r="27" spans="1:6">
      <c r="A27" t="s">
        <v>25</v>
      </c>
      <c r="B27" s="7">
        <f>$B$8*(1+B18)</f>
        <v>0</v>
      </c>
      <c r="C27" s="7">
        <f>B27*(1+C18)</f>
        <v>0</v>
      </c>
      <c r="D27" s="7">
        <f>C27*(1+D18)</f>
        <v>0</v>
      </c>
      <c r="E27" s="7">
        <f>D27*(1+E18)</f>
        <v>0</v>
      </c>
      <c r="F27" s="7">
        <f>E27*(1+F18)</f>
        <v>0</v>
      </c>
    </row>
    <row r="28" spans="1:6">
      <c r="A28" t="s">
        <v>26</v>
      </c>
      <c r="B28" s="7">
        <f>B27*B19</f>
        <v>0</v>
      </c>
      <c r="C28" s="7">
        <f>C27*C19</f>
        <v>0</v>
      </c>
      <c r="D28" s="7">
        <f>D27*D19</f>
        <v>0</v>
      </c>
      <c r="E28" s="7">
        <f>E27*E19</f>
        <v>0</v>
      </c>
      <c r="F28" s="7">
        <f>F27*F19</f>
        <v>0</v>
      </c>
    </row>
    <row r="29" spans="1:6">
      <c r="A29" t="s">
        <v>27</v>
      </c>
      <c r="B29" s="7">
        <f>B27-B20-B28</f>
        <v>0</v>
      </c>
      <c r="C29" s="7">
        <f>C27-C20-C28</f>
        <v>0</v>
      </c>
      <c r="D29" s="7">
        <f>D27-D20-D28</f>
        <v>0</v>
      </c>
      <c r="E29" s="7">
        <f>E27-E20-E28</f>
        <v>0</v>
      </c>
      <c r="F29" s="7">
        <f>F27-F20-F28</f>
        <v>0</v>
      </c>
    </row>
    <row r="30" spans="1:6">
      <c r="A30" t="s">
        <v>28</v>
      </c>
      <c r="B30" s="7">
        <f>B28-B21</f>
        <v>0</v>
      </c>
      <c r="C30" s="7">
        <f>C28-C21</f>
        <v>0</v>
      </c>
      <c r="D30" s="7">
        <f>D28-D21</f>
        <v>0</v>
      </c>
      <c r="E30" s="7">
        <f>E28-E21</f>
        <v>0</v>
      </c>
      <c r="F30" s="7">
        <f>F28-F21</f>
        <v>0</v>
      </c>
    </row>
    <row r="31" spans="1:6">
      <c r="A31" t="s">
        <v>29</v>
      </c>
      <c r="B31" s="7">
        <f>B30-B22</f>
        <v>0</v>
      </c>
      <c r="C31" s="7">
        <f>C30-C22</f>
        <v>0</v>
      </c>
      <c r="D31" s="7">
        <f>D30-D22</f>
        <v>0</v>
      </c>
      <c r="E31" s="7">
        <f>E30-E22</f>
        <v>0</v>
      </c>
      <c r="F31" s="7">
        <f>F30-F22</f>
        <v>0</v>
      </c>
    </row>
    <row r="32" spans="1:6">
      <c r="A32" t="s">
        <v>30</v>
      </c>
      <c r="B32" s="7">
        <f>B31*(1-B23)</f>
        <v>0</v>
      </c>
      <c r="C32" s="7">
        <f>C31*(1-C23)</f>
        <v>0</v>
      </c>
      <c r="D32" s="7">
        <f>D31*(1-D23)</f>
        <v>0</v>
      </c>
      <c r="E32" s="7">
        <f>E31*(1-E23)</f>
        <v>0</v>
      </c>
      <c r="F32" s="7">
        <f>F31*(1-F23)</f>
        <v>0</v>
      </c>
    </row>
    <row r="33" spans="1:6">
      <c r="A33" t="s">
        <v>31</v>
      </c>
      <c r="B33" s="8">
        <f>B32/B27</f>
        <v>0</v>
      </c>
      <c r="C33" s="8">
        <f>C32/C27</f>
        <v>0</v>
      </c>
      <c r="D33" s="8">
        <f>D32/D27</f>
        <v>0</v>
      </c>
      <c r="E33" s="8">
        <f>E32/E27</f>
        <v>0</v>
      </c>
      <c r="F33" s="8">
        <f>F32/F27</f>
        <v>0</v>
      </c>
    </row>
    <row r="34" spans="1:6">
      <c r="A34" t="s">
        <v>32</v>
      </c>
      <c r="B34" s="7">
        <f>$B$6*(1+$B$7)</f>
        <v>0</v>
      </c>
      <c r="C34" s="7">
        <f>B34*(1+$B$7)</f>
        <v>0</v>
      </c>
      <c r="D34" s="7">
        <f>C34*(1+$B$7)</f>
        <v>0</v>
      </c>
      <c r="E34" s="7">
        <f>D34*(1+$B$7)</f>
        <v>0</v>
      </c>
      <c r="F34" s="7">
        <f>E34*(1+$B$7)</f>
        <v>0</v>
      </c>
    </row>
    <row r="35" spans="1:6">
      <c r="A35" t="s">
        <v>33</v>
      </c>
      <c r="B35" s="7">
        <f>1/(1+$B$10)^1</f>
        <v>0</v>
      </c>
      <c r="C35" s="7">
        <f>1/(1+$B$10)^2</f>
        <v>0</v>
      </c>
      <c r="D35" s="7">
        <f>1/(1+$B$10)^3</f>
        <v>0</v>
      </c>
      <c r="E35" s="7">
        <f>1/(1+$B$10)^4</f>
        <v>0</v>
      </c>
      <c r="F35" s="7">
        <f>1/(1+$B$10)^5</f>
        <v>0</v>
      </c>
    </row>
    <row r="36" spans="1:6">
      <c r="A36" t="s">
        <v>34</v>
      </c>
      <c r="B36" s="7">
        <f>B32*B35</f>
        <v>0</v>
      </c>
      <c r="C36" s="7">
        <f>C32*C35</f>
        <v>0</v>
      </c>
      <c r="D36" s="7">
        <f>D32*D35</f>
        <v>0</v>
      </c>
      <c r="E36" s="7">
        <f>E32*E35</f>
        <v>0</v>
      </c>
      <c r="F36" s="7">
        <f>F32*F35</f>
        <v>0</v>
      </c>
    </row>
    <row r="38" spans="1:6">
      <c r="A38" s="3" t="s">
        <v>35</v>
      </c>
    </row>
    <row r="39" spans="1:6">
      <c r="A39" t="s">
        <v>36</v>
      </c>
      <c r="B39" s="7">
        <f>SUM(B36:F36)</f>
        <v>0</v>
      </c>
    </row>
    <row r="40" spans="1:6">
      <c r="A40" t="s">
        <v>37</v>
      </c>
      <c r="B40" s="7">
        <f>F32*(1+$B$11)</f>
        <v>0</v>
      </c>
    </row>
    <row r="41" spans="1:6">
      <c r="A41" t="s">
        <v>38</v>
      </c>
      <c r="B41" s="7">
        <f>B40/($B$10-$B$11)</f>
        <v>0</v>
      </c>
    </row>
    <row r="42" spans="1:6">
      <c r="A42" t="s">
        <v>39</v>
      </c>
      <c r="B42" s="7">
        <f>$B$12*F32</f>
        <v>0</v>
      </c>
    </row>
    <row r="43" spans="1:6">
      <c r="A43" t="s">
        <v>40</v>
      </c>
      <c r="B43" s="7">
        <f>MIN(B41,B42)</f>
        <v>0</v>
      </c>
    </row>
    <row r="44" spans="1:6">
      <c r="A44" t="s">
        <v>41</v>
      </c>
      <c r="B44" s="7">
        <f>B43*F35</f>
        <v>0</v>
      </c>
    </row>
    <row r="45" spans="1:6">
      <c r="A45" t="s">
        <v>42</v>
      </c>
      <c r="B45" s="7">
        <f>B39+B44-B14</f>
        <v>0</v>
      </c>
    </row>
    <row r="46" spans="1:6">
      <c r="A46" s="9" t="s">
        <v>43</v>
      </c>
      <c r="B46" s="10">
        <f>B45/F34</f>
        <v>0</v>
      </c>
    </row>
    <row r="48" spans="1:6">
      <c r="A48" t="s">
        <v>44</v>
      </c>
      <c r="B48" s="8">
        <f>B44/B45</f>
        <v>0</v>
      </c>
    </row>
    <row r="49" spans="1:2">
      <c r="A49" t="s">
        <v>45</v>
      </c>
      <c r="B49" s="7">
        <f>B43/F32</f>
        <v>0</v>
      </c>
    </row>
    <row r="51" spans="1:2">
      <c r="A51" s="3" t="s">
        <v>46</v>
      </c>
    </row>
    <row r="52" spans="1:2">
      <c r="A52" t="s">
        <v>47</v>
      </c>
      <c r="B52" s="7">
        <f>NPV(0.15,B32:F32)</f>
        <v>0</v>
      </c>
    </row>
    <row r="53" spans="1:2">
      <c r="A53" t="s">
        <v>48</v>
      </c>
      <c r="B53" s="7">
        <f>B43/(1.15^5)</f>
        <v>0</v>
      </c>
    </row>
    <row r="54" spans="1:2">
      <c r="A54" t="s">
        <v>49</v>
      </c>
      <c r="B54" s="7">
        <f>B14</f>
        <v>0</v>
      </c>
    </row>
    <row r="55" spans="1:2">
      <c r="A55" t="s">
        <v>50</v>
      </c>
      <c r="B55" s="10">
        <f>(B52+B53-B54)/F34</f>
        <v>0</v>
      </c>
    </row>
    <row r="57" spans="1:2">
      <c r="A57" t="s">
        <v>51</v>
      </c>
      <c r="B57" s="8">
        <f>(B46-B5)/B5</f>
        <v>0</v>
      </c>
    </row>
    <row r="58" spans="1:2">
      <c r="A58" t="s">
        <v>52</v>
      </c>
      <c r="B58" s="8">
        <f>(B5-B55)/B5</f>
        <v>0</v>
      </c>
    </row>
    <row r="60" spans="1:2">
      <c r="A60" t="s">
        <v>53</v>
      </c>
      <c r="B60" s="7">
        <f>B46/3.07</f>
        <v>0</v>
      </c>
    </row>
    <row r="61" spans="1:2">
      <c r="A61" t="s">
        <v>54</v>
      </c>
      <c r="B61" s="7">
        <f>B5/3.07</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12"/>
  <sheetViews>
    <sheetView workbookViewId="0"/>
  </sheetViews>
  <sheetFormatPr defaultRowHeight="15"/>
  <cols>
    <col min="1" max="1" width="22.7109375" customWidth="1"/>
    <col min="2" max="7" width="12.7109375" customWidth="1"/>
  </cols>
  <sheetData>
    <row r="1" spans="1:6">
      <c r="A1" s="1" t="s">
        <v>55</v>
      </c>
    </row>
    <row r="2" spans="1:6">
      <c r="A2" t="s">
        <v>56</v>
      </c>
    </row>
    <row r="4" spans="1:6">
      <c r="A4" s="6" t="s">
        <v>57</v>
      </c>
      <c r="B4" s="11">
        <v>0.015</v>
      </c>
      <c r="C4" s="11">
        <v>0.02</v>
      </c>
      <c r="D4" s="11">
        <v>0.025</v>
      </c>
      <c r="E4" s="11">
        <v>0.03</v>
      </c>
      <c r="F4" s="11">
        <v>0.035</v>
      </c>
    </row>
    <row r="5" spans="1:6">
      <c r="A5" s="11">
        <v>0.08</v>
      </c>
      <c r="B5" s="12">
        <f>('DCF Model'!$B$32/(1+0.08)^1+'DCF Model'!$C$32/(1+0.08)^2+'DCF Model'!$D$32/(1+0.08)^3+'DCF Model'!$E$32/(1+0.08)^4+'DCF Model'!$F$32/(1+0.08)^5+MIN('DCF Model'!$F$32*(1+0.015)/(0.08-0.015),'DCF Model'!$B$12*'DCF Model'!$F$32)/(1+0.08)^5)/'DCF Model'!$F$34</f>
        <v>0</v>
      </c>
      <c r="C5" s="12">
        <f>('DCF Model'!$B$32/(1+0.08)^1+'DCF Model'!$C$32/(1+0.08)^2+'DCF Model'!$D$32/(1+0.08)^3+'DCF Model'!$E$32/(1+0.08)^4+'DCF Model'!$F$32/(1+0.08)^5+MIN('DCF Model'!$F$32*(1+0.02)/(0.08-0.02),'DCF Model'!$B$12*'DCF Model'!$F$32)/(1+0.08)^5)/'DCF Model'!$F$34</f>
        <v>0</v>
      </c>
      <c r="D5" s="12">
        <f>('DCF Model'!$B$32/(1+0.08)^1+'DCF Model'!$C$32/(1+0.08)^2+'DCF Model'!$D$32/(1+0.08)^3+'DCF Model'!$E$32/(1+0.08)^4+'DCF Model'!$F$32/(1+0.08)^5+MIN('DCF Model'!$F$32*(1+0.025)/(0.08-0.025),'DCF Model'!$B$12*'DCF Model'!$F$32)/(1+0.08)^5)/'DCF Model'!$F$34</f>
        <v>0</v>
      </c>
      <c r="E5" s="12">
        <f>('DCF Model'!$B$32/(1+0.08)^1+'DCF Model'!$C$32/(1+0.08)^2+'DCF Model'!$D$32/(1+0.08)^3+'DCF Model'!$E$32/(1+0.08)^4+'DCF Model'!$F$32/(1+0.08)^5+MIN('DCF Model'!$F$32*(1+0.03)/(0.08-0.03),'DCF Model'!$B$12*'DCF Model'!$F$32)/(1+0.08)^5)/'DCF Model'!$F$34</f>
        <v>0</v>
      </c>
      <c r="F5" s="12">
        <f>('DCF Model'!$B$32/(1+0.08)^1+'DCF Model'!$C$32/(1+0.08)^2+'DCF Model'!$D$32/(1+0.08)^3+'DCF Model'!$E$32/(1+0.08)^4+'DCF Model'!$F$32/(1+0.08)^5+MIN('DCF Model'!$F$32*(1+0.035)/(0.08-0.035),'DCF Model'!$B$12*'DCF Model'!$F$32)/(1+0.08)^5)/'DCF Model'!$F$34</f>
        <v>0</v>
      </c>
    </row>
    <row r="6" spans="1:6">
      <c r="A6" s="11">
        <v>0.1</v>
      </c>
      <c r="B6" s="12">
        <f>('DCF Model'!$B$32/(1+0.1)^1+'DCF Model'!$C$32/(1+0.1)^2+'DCF Model'!$D$32/(1+0.1)^3+'DCF Model'!$E$32/(1+0.1)^4+'DCF Model'!$F$32/(1+0.1)^5+MIN('DCF Model'!$F$32*(1+0.015)/(0.1-0.015),'DCF Model'!$B$12*'DCF Model'!$F$32)/(1+0.1)^5)/'DCF Model'!$F$34</f>
        <v>0</v>
      </c>
      <c r="C6" s="12">
        <f>('DCF Model'!$B$32/(1+0.1)^1+'DCF Model'!$C$32/(1+0.1)^2+'DCF Model'!$D$32/(1+0.1)^3+'DCF Model'!$E$32/(1+0.1)^4+'DCF Model'!$F$32/(1+0.1)^5+MIN('DCF Model'!$F$32*(1+0.02)/(0.1-0.02),'DCF Model'!$B$12*'DCF Model'!$F$32)/(1+0.1)^5)/'DCF Model'!$F$34</f>
        <v>0</v>
      </c>
      <c r="D6" s="12">
        <f>('DCF Model'!$B$32/(1+0.1)^1+'DCF Model'!$C$32/(1+0.1)^2+'DCF Model'!$D$32/(1+0.1)^3+'DCF Model'!$E$32/(1+0.1)^4+'DCF Model'!$F$32/(1+0.1)^5+MIN('DCF Model'!$F$32*(1+0.025)/(0.1-0.025),'DCF Model'!$B$12*'DCF Model'!$F$32)/(1+0.1)^5)/'DCF Model'!$F$34</f>
        <v>0</v>
      </c>
      <c r="E6" s="12">
        <f>('DCF Model'!$B$32/(1+0.1)^1+'DCF Model'!$C$32/(1+0.1)^2+'DCF Model'!$D$32/(1+0.1)^3+'DCF Model'!$E$32/(1+0.1)^4+'DCF Model'!$F$32/(1+0.1)^5+MIN('DCF Model'!$F$32*(1+0.03)/(0.1-0.03),'DCF Model'!$B$12*'DCF Model'!$F$32)/(1+0.1)^5)/'DCF Model'!$F$34</f>
        <v>0</v>
      </c>
      <c r="F6" s="12">
        <f>('DCF Model'!$B$32/(1+0.1)^1+'DCF Model'!$C$32/(1+0.1)^2+'DCF Model'!$D$32/(1+0.1)^3+'DCF Model'!$E$32/(1+0.1)^4+'DCF Model'!$F$32/(1+0.1)^5+MIN('DCF Model'!$F$32*(1+0.035)/(0.1-0.035),'DCF Model'!$B$12*'DCF Model'!$F$32)/(1+0.1)^5)/'DCF Model'!$F$34</f>
        <v>0</v>
      </c>
    </row>
    <row r="7" spans="1:6">
      <c r="A7" s="11">
        <v>0.12</v>
      </c>
      <c r="B7" s="12">
        <f>('DCF Model'!$B$32/(1+0.12)^1+'DCF Model'!$C$32/(1+0.12)^2+'DCF Model'!$D$32/(1+0.12)^3+'DCF Model'!$E$32/(1+0.12)^4+'DCF Model'!$F$32/(1+0.12)^5+MIN('DCF Model'!$F$32*(1+0.015)/(0.12-0.015),'DCF Model'!$B$12*'DCF Model'!$F$32)/(1+0.12)^5)/'DCF Model'!$F$34</f>
        <v>0</v>
      </c>
      <c r="C7" s="12">
        <f>('DCF Model'!$B$32/(1+0.12)^1+'DCF Model'!$C$32/(1+0.12)^2+'DCF Model'!$D$32/(1+0.12)^3+'DCF Model'!$E$32/(1+0.12)^4+'DCF Model'!$F$32/(1+0.12)^5+MIN('DCF Model'!$F$32*(1+0.02)/(0.12-0.02),'DCF Model'!$B$12*'DCF Model'!$F$32)/(1+0.12)^5)/'DCF Model'!$F$34</f>
        <v>0</v>
      </c>
      <c r="D7" s="12">
        <f>('DCF Model'!$B$32/(1+0.12)^1+'DCF Model'!$C$32/(1+0.12)^2+'DCF Model'!$D$32/(1+0.12)^3+'DCF Model'!$E$32/(1+0.12)^4+'DCF Model'!$F$32/(1+0.12)^5+MIN('DCF Model'!$F$32*(1+0.025)/(0.12-0.025),'DCF Model'!$B$12*'DCF Model'!$F$32)/(1+0.12)^5)/'DCF Model'!$F$34</f>
        <v>0</v>
      </c>
      <c r="E7" s="12">
        <f>('DCF Model'!$B$32/(1+0.12)^1+'DCF Model'!$C$32/(1+0.12)^2+'DCF Model'!$D$32/(1+0.12)^3+'DCF Model'!$E$32/(1+0.12)^4+'DCF Model'!$F$32/(1+0.12)^5+MIN('DCF Model'!$F$32*(1+0.03)/(0.12-0.03),'DCF Model'!$B$12*'DCF Model'!$F$32)/(1+0.12)^5)/'DCF Model'!$F$34</f>
        <v>0</v>
      </c>
      <c r="F7" s="12">
        <f>('DCF Model'!$B$32/(1+0.12)^1+'DCF Model'!$C$32/(1+0.12)^2+'DCF Model'!$D$32/(1+0.12)^3+'DCF Model'!$E$32/(1+0.12)^4+'DCF Model'!$F$32/(1+0.12)^5+MIN('DCF Model'!$F$32*(1+0.035)/(0.12-0.035),'DCF Model'!$B$12*'DCF Model'!$F$32)/(1+0.12)^5)/'DCF Model'!$F$34</f>
        <v>0</v>
      </c>
    </row>
    <row r="8" spans="1:6">
      <c r="A8" s="11">
        <v>0.14</v>
      </c>
      <c r="B8" s="12">
        <f>('DCF Model'!$B$32/(1+0.14)^1+'DCF Model'!$C$32/(1+0.14)^2+'DCF Model'!$D$32/(1+0.14)^3+'DCF Model'!$E$32/(1+0.14)^4+'DCF Model'!$F$32/(1+0.14)^5+MIN('DCF Model'!$F$32*(1+0.015)/(0.14-0.015),'DCF Model'!$B$12*'DCF Model'!$F$32)/(1+0.14)^5)/'DCF Model'!$F$34</f>
        <v>0</v>
      </c>
      <c r="C8" s="12">
        <f>('DCF Model'!$B$32/(1+0.14)^1+'DCF Model'!$C$32/(1+0.14)^2+'DCF Model'!$D$32/(1+0.14)^3+'DCF Model'!$E$32/(1+0.14)^4+'DCF Model'!$F$32/(1+0.14)^5+MIN('DCF Model'!$F$32*(1+0.02)/(0.14-0.02),'DCF Model'!$B$12*'DCF Model'!$F$32)/(1+0.14)^5)/'DCF Model'!$F$34</f>
        <v>0</v>
      </c>
      <c r="D8" s="12">
        <f>('DCF Model'!$B$32/(1+0.14)^1+'DCF Model'!$C$32/(1+0.14)^2+'DCF Model'!$D$32/(1+0.14)^3+'DCF Model'!$E$32/(1+0.14)^4+'DCF Model'!$F$32/(1+0.14)^5+MIN('DCF Model'!$F$32*(1+0.025)/(0.14-0.025),'DCF Model'!$B$12*'DCF Model'!$F$32)/(1+0.14)^5)/'DCF Model'!$F$34</f>
        <v>0</v>
      </c>
      <c r="E8" s="12">
        <f>('DCF Model'!$B$32/(1+0.14)^1+'DCF Model'!$C$32/(1+0.14)^2+'DCF Model'!$D$32/(1+0.14)^3+'DCF Model'!$E$32/(1+0.14)^4+'DCF Model'!$F$32/(1+0.14)^5+MIN('DCF Model'!$F$32*(1+0.03)/(0.14-0.03),'DCF Model'!$B$12*'DCF Model'!$F$32)/(1+0.14)^5)/'DCF Model'!$F$34</f>
        <v>0</v>
      </c>
      <c r="F8" s="12">
        <f>('DCF Model'!$B$32/(1+0.14)^1+'DCF Model'!$C$32/(1+0.14)^2+'DCF Model'!$D$32/(1+0.14)^3+'DCF Model'!$E$32/(1+0.14)^4+'DCF Model'!$F$32/(1+0.14)^5+MIN('DCF Model'!$F$32*(1+0.035)/(0.14-0.035),'DCF Model'!$B$12*'DCF Model'!$F$32)/(1+0.14)^5)/'DCF Model'!$F$34</f>
        <v>0</v>
      </c>
    </row>
    <row r="9" spans="1:6">
      <c r="A9" s="11">
        <v>0.16</v>
      </c>
      <c r="B9" s="12">
        <f>('DCF Model'!$B$32/(1+0.16)^1+'DCF Model'!$C$32/(1+0.16)^2+'DCF Model'!$D$32/(1+0.16)^3+'DCF Model'!$E$32/(1+0.16)^4+'DCF Model'!$F$32/(1+0.16)^5+MIN('DCF Model'!$F$32*(1+0.015)/(0.16-0.015),'DCF Model'!$B$12*'DCF Model'!$F$32)/(1+0.16)^5)/'DCF Model'!$F$34</f>
        <v>0</v>
      </c>
      <c r="C9" s="12">
        <f>('DCF Model'!$B$32/(1+0.16)^1+'DCF Model'!$C$32/(1+0.16)^2+'DCF Model'!$D$32/(1+0.16)^3+'DCF Model'!$E$32/(1+0.16)^4+'DCF Model'!$F$32/(1+0.16)^5+MIN('DCF Model'!$F$32*(1+0.02)/(0.16-0.02),'DCF Model'!$B$12*'DCF Model'!$F$32)/(1+0.16)^5)/'DCF Model'!$F$34</f>
        <v>0</v>
      </c>
      <c r="D9" s="12">
        <f>('DCF Model'!$B$32/(1+0.16)^1+'DCF Model'!$C$32/(1+0.16)^2+'DCF Model'!$D$32/(1+0.16)^3+'DCF Model'!$E$32/(1+0.16)^4+'DCF Model'!$F$32/(1+0.16)^5+MIN('DCF Model'!$F$32*(1+0.025)/(0.16-0.025),'DCF Model'!$B$12*'DCF Model'!$F$32)/(1+0.16)^5)/'DCF Model'!$F$34</f>
        <v>0</v>
      </c>
      <c r="E9" s="12">
        <f>('DCF Model'!$B$32/(1+0.16)^1+'DCF Model'!$C$32/(1+0.16)^2+'DCF Model'!$D$32/(1+0.16)^3+'DCF Model'!$E$32/(1+0.16)^4+'DCF Model'!$F$32/(1+0.16)^5+MIN('DCF Model'!$F$32*(1+0.03)/(0.16-0.03),'DCF Model'!$B$12*'DCF Model'!$F$32)/(1+0.16)^5)/'DCF Model'!$F$34</f>
        <v>0</v>
      </c>
      <c r="F9" s="12">
        <f>('DCF Model'!$B$32/(1+0.16)^1+'DCF Model'!$C$32/(1+0.16)^2+'DCF Model'!$D$32/(1+0.16)^3+'DCF Model'!$E$32/(1+0.16)^4+'DCF Model'!$F$32/(1+0.16)^5+MIN('DCF Model'!$F$32*(1+0.035)/(0.16-0.035),'DCF Model'!$B$12*'DCF Model'!$F$32)/(1+0.16)^5)/'DCF Model'!$F$34</f>
        <v>0</v>
      </c>
    </row>
    <row r="11" spans="1:6">
      <c r="A11" s="2" t="s">
        <v>58</v>
      </c>
    </row>
    <row r="12" spans="1:6">
      <c r="A12" s="2" t="s">
        <v>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D27"/>
  <sheetViews>
    <sheetView workbookViewId="0"/>
  </sheetViews>
  <sheetFormatPr defaultRowHeight="15"/>
  <cols>
    <col min="1" max="1" width="22.7109375" customWidth="1"/>
    <col min="2" max="3" width="15.7109375" customWidth="1"/>
  </cols>
  <sheetData>
    <row r="1" spans="1:4">
      <c r="A1" s="1" t="s">
        <v>60</v>
      </c>
    </row>
    <row r="3" spans="1:4">
      <c r="A3" s="6" t="s">
        <v>61</v>
      </c>
      <c r="B3" s="6" t="s">
        <v>62</v>
      </c>
      <c r="C3" s="6" t="s">
        <v>63</v>
      </c>
    </row>
    <row r="4" spans="1:4">
      <c r="A4" t="s">
        <v>25</v>
      </c>
      <c r="B4" s="8">
        <v>0.0182</v>
      </c>
      <c r="C4" s="8">
        <v>-0.1224</v>
      </c>
    </row>
    <row r="5" spans="1:4">
      <c r="A5" t="s">
        <v>64</v>
      </c>
      <c r="B5" s="8">
        <v>0.0168</v>
      </c>
      <c r="C5" s="8">
        <v>-0.2144</v>
      </c>
    </row>
    <row r="6" spans="1:4">
      <c r="A6" t="s">
        <v>65</v>
      </c>
      <c r="B6" s="8">
        <v>0.1271</v>
      </c>
      <c r="C6" s="8">
        <v>0.0803</v>
      </c>
    </row>
    <row r="7" spans="1:4">
      <c r="A7" t="s">
        <v>66</v>
      </c>
      <c r="B7" s="8">
        <v>0.1443</v>
      </c>
    </row>
    <row r="8" spans="1:4">
      <c r="A8" t="s">
        <v>67</v>
      </c>
      <c r="B8" s="8">
        <v>0.1742</v>
      </c>
    </row>
    <row r="9" spans="1:4">
      <c r="A9" t="s">
        <v>68</v>
      </c>
      <c r="B9" s="8">
        <v>0.1662</v>
      </c>
    </row>
    <row r="11" spans="1:4">
      <c r="A11" s="9" t="s">
        <v>69</v>
      </c>
      <c r="B11" s="8">
        <v>0.1271</v>
      </c>
    </row>
    <row r="12" spans="1:4">
      <c r="A12" t="s">
        <v>70</v>
      </c>
      <c r="B12" t="s">
        <v>71</v>
      </c>
    </row>
    <row r="14" spans="1:4">
      <c r="A14" s="3" t="s">
        <v>72</v>
      </c>
    </row>
    <row r="15" spans="1:4">
      <c r="A15" s="6" t="s">
        <v>73</v>
      </c>
      <c r="B15" s="6" t="s">
        <v>74</v>
      </c>
      <c r="C15" s="6" t="s">
        <v>75</v>
      </c>
      <c r="D15" s="6" t="s">
        <v>76</v>
      </c>
    </row>
    <row r="16" spans="1:4">
      <c r="A16" t="s">
        <v>77</v>
      </c>
      <c r="B16" s="7">
        <v>304.7</v>
      </c>
      <c r="C16" s="7">
        <v>97.3</v>
      </c>
      <c r="D16" s="8">
        <v>0.3193304890055793</v>
      </c>
    </row>
    <row r="17" spans="1:4">
      <c r="A17" t="s">
        <v>78</v>
      </c>
      <c r="B17" s="7">
        <v>250</v>
      </c>
      <c r="C17" s="7">
        <v>91.90000000000001</v>
      </c>
      <c r="D17" s="8">
        <v>0.3676</v>
      </c>
    </row>
    <row r="18" spans="1:4">
      <c r="A18" t="s">
        <v>79</v>
      </c>
      <c r="B18" s="7">
        <v>166</v>
      </c>
      <c r="C18" s="7">
        <v>39.6</v>
      </c>
      <c r="D18" s="8">
        <v>0.2385542168674699</v>
      </c>
    </row>
    <row r="19" spans="1:4">
      <c r="A19" t="s">
        <v>80</v>
      </c>
      <c r="B19" s="7">
        <v>383.4</v>
      </c>
      <c r="C19" s="7">
        <v>160.9</v>
      </c>
      <c r="D19" s="8">
        <v>0.4196661450182577</v>
      </c>
    </row>
    <row r="20" spans="1:4">
      <c r="A20" t="s">
        <v>81</v>
      </c>
      <c r="B20" s="7">
        <v>216.4</v>
      </c>
      <c r="C20" s="7">
        <v>53.1</v>
      </c>
      <c r="D20" s="8">
        <v>0.2453789279112754</v>
      </c>
    </row>
    <row r="21" spans="1:4">
      <c r="A21" t="s">
        <v>82</v>
      </c>
      <c r="B21" s="7">
        <v>933.4</v>
      </c>
      <c r="C21" s="7">
        <v>464.5</v>
      </c>
      <c r="D21" s="8">
        <v>0.4976430254981787</v>
      </c>
    </row>
    <row r="22" spans="1:4">
      <c r="A22" t="s">
        <v>83</v>
      </c>
      <c r="B22" s="7">
        <v>384</v>
      </c>
      <c r="C22" s="7">
        <v>114.9</v>
      </c>
      <c r="D22" s="8">
        <v>0.29921875</v>
      </c>
    </row>
    <row r="23" spans="1:4">
      <c r="A23" t="s">
        <v>84</v>
      </c>
      <c r="B23" s="7">
        <v>460.2</v>
      </c>
      <c r="C23" s="7">
        <v>126.8</v>
      </c>
      <c r="D23" s="8">
        <v>0.2755323772272925</v>
      </c>
    </row>
    <row r="24" spans="1:4">
      <c r="A24" t="s">
        <v>85</v>
      </c>
      <c r="B24" s="7">
        <v>300.3</v>
      </c>
      <c r="C24" s="7">
        <v>36.2</v>
      </c>
      <c r="D24" s="8">
        <v>0.1205461205461205</v>
      </c>
    </row>
    <row r="25" spans="1:4">
      <c r="A25" t="s">
        <v>86</v>
      </c>
      <c r="B25" s="7">
        <v>467.8</v>
      </c>
      <c r="C25" s="7">
        <v>159.5</v>
      </c>
      <c r="D25" s="8">
        <v>0.340957674219752</v>
      </c>
    </row>
    <row r="26" spans="1:4">
      <c r="A26" t="s">
        <v>87</v>
      </c>
      <c r="B26" s="7">
        <v>485.8</v>
      </c>
      <c r="C26" s="7">
        <v>133.6</v>
      </c>
      <c r="D26" s="8">
        <v>0.2750102923013585</v>
      </c>
    </row>
    <row r="27" spans="1:4">
      <c r="A27" s="2" t="s">
        <v>88</v>
      </c>
      <c r="B27" s="2" t="s">
        <v>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22"/>
  <sheetViews>
    <sheetView workbookViewId="0"/>
  </sheetViews>
  <sheetFormatPr defaultRowHeight="15"/>
  <cols>
    <col min="1" max="1" width="30.7109375" customWidth="1"/>
    <col min="2" max="7" width="14.7109375" customWidth="1"/>
  </cols>
  <sheetData>
    <row r="1" spans="1:7">
      <c r="A1" s="1" t="s">
        <v>90</v>
      </c>
    </row>
    <row r="3" spans="1:7">
      <c r="A3" s="2" t="s">
        <v>91</v>
      </c>
      <c r="B3" s="2"/>
      <c r="C3" s="2"/>
      <c r="D3" s="2"/>
      <c r="E3" s="2"/>
      <c r="F3" s="2"/>
      <c r="G3" s="2"/>
    </row>
    <row r="6" spans="1:7">
      <c r="A6" s="3" t="s">
        <v>92</v>
      </c>
    </row>
    <row r="8" spans="1:7">
      <c r="A8" s="6" t="s">
        <v>73</v>
      </c>
      <c r="B8" s="6" t="s">
        <v>93</v>
      </c>
      <c r="C8" s="6" t="s">
        <v>94</v>
      </c>
      <c r="D8" s="6" t="s">
        <v>75</v>
      </c>
      <c r="E8" s="6" t="s">
        <v>95</v>
      </c>
    </row>
    <row r="9" spans="1:7">
      <c r="A9" t="s">
        <v>78</v>
      </c>
      <c r="B9" s="7">
        <v>79.5</v>
      </c>
      <c r="C9" s="7">
        <v>70.5</v>
      </c>
      <c r="D9" s="7">
        <v>91.90000000000001</v>
      </c>
      <c r="E9" s="7">
        <v>-12.40000000000001</v>
      </c>
    </row>
    <row r="10" spans="1:7">
      <c r="A10" t="s">
        <v>79</v>
      </c>
      <c r="B10" s="7">
        <v>63</v>
      </c>
      <c r="C10" s="7">
        <v>50.7</v>
      </c>
      <c r="D10" s="7">
        <v>39.6</v>
      </c>
      <c r="E10" s="7">
        <v>23.4</v>
      </c>
    </row>
    <row r="11" spans="1:7">
      <c r="A11" t="s">
        <v>80</v>
      </c>
      <c r="B11" s="7">
        <v>86.40000000000001</v>
      </c>
      <c r="C11" s="7">
        <v>79</v>
      </c>
      <c r="D11" s="7">
        <v>160.9</v>
      </c>
      <c r="E11" s="7">
        <v>-74.5</v>
      </c>
    </row>
    <row r="12" spans="1:7">
      <c r="A12" t="s">
        <v>81</v>
      </c>
      <c r="B12" s="7">
        <v>79.2</v>
      </c>
      <c r="C12" s="7">
        <v>67</v>
      </c>
      <c r="D12" s="7">
        <v>53.1</v>
      </c>
      <c r="E12" s="7">
        <v>26.1</v>
      </c>
    </row>
    <row r="13" spans="1:7">
      <c r="A13" t="s">
        <v>82</v>
      </c>
      <c r="B13" s="7">
        <v>271.3</v>
      </c>
      <c r="C13" s="7">
        <v>264.8</v>
      </c>
      <c r="D13" s="7">
        <v>464.5</v>
      </c>
      <c r="E13" s="7">
        <v>-193.2</v>
      </c>
    </row>
    <row r="14" spans="1:7">
      <c r="A14" t="s">
        <v>84</v>
      </c>
      <c r="B14" s="7">
        <v>93.8</v>
      </c>
      <c r="C14" s="7">
        <v>86.40000000000001</v>
      </c>
      <c r="D14" s="7">
        <v>126.8</v>
      </c>
      <c r="E14" s="7">
        <v>-33</v>
      </c>
    </row>
    <row r="15" spans="1:7">
      <c r="A15" t="s">
        <v>86</v>
      </c>
      <c r="B15" s="7">
        <v>32.1</v>
      </c>
      <c r="C15" s="7">
        <v>25.5</v>
      </c>
      <c r="D15" s="7">
        <v>159.5</v>
      </c>
      <c r="E15" s="7">
        <v>-127.4</v>
      </c>
    </row>
    <row r="16" spans="1:7">
      <c r="A16" t="s">
        <v>87</v>
      </c>
      <c r="B16" s="7">
        <v>-120.6</v>
      </c>
      <c r="C16" s="7">
        <v>-126.9</v>
      </c>
      <c r="D16" s="7">
        <v>133.6</v>
      </c>
      <c r="E16" s="7">
        <v>-254.2</v>
      </c>
    </row>
    <row r="18" spans="1:7">
      <c r="A18" s="9" t="s">
        <v>96</v>
      </c>
    </row>
    <row r="19" spans="1:7">
      <c r="A19" s="2" t="s">
        <v>97</v>
      </c>
      <c r="B19" s="2"/>
      <c r="C19" s="2"/>
      <c r="D19" s="2"/>
      <c r="E19" s="2"/>
      <c r="F19" s="2"/>
      <c r="G19" s="2"/>
    </row>
    <row r="21" spans="1:7">
      <c r="A21" s="3" t="s">
        <v>98</v>
      </c>
    </row>
    <row r="22" spans="1:7">
      <c r="A22" s="2" t="s">
        <v>99</v>
      </c>
      <c r="B22" s="2"/>
      <c r="C22" s="2"/>
      <c r="D22" s="2"/>
      <c r="E22" s="2"/>
      <c r="F22" s="2"/>
      <c r="G22" s="2"/>
    </row>
  </sheetData>
  <mergeCells count="3">
    <mergeCell ref="A3:G3"/>
    <mergeCell ref="A19:G19"/>
    <mergeCell ref="A22:G22"/>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B18"/>
  <sheetViews>
    <sheetView workbookViewId="0"/>
  </sheetViews>
  <sheetFormatPr defaultRowHeight="15"/>
  <cols>
    <col min="1" max="1" width="28.7109375" customWidth="1"/>
    <col min="2" max="2" width="90.7109375" customWidth="1"/>
  </cols>
  <sheetData>
    <row r="1" spans="1:2">
      <c r="A1" s="1" t="s">
        <v>100</v>
      </c>
    </row>
    <row r="4" spans="1:2" ht="60" customHeight="1">
      <c r="A4" s="9" t="s">
        <v>101</v>
      </c>
      <c r="B4" s="2" t="s">
        <v>102</v>
      </c>
    </row>
    <row r="5" spans="1:2" ht="60" customHeight="1">
      <c r="A5" s="9" t="s">
        <v>103</v>
      </c>
      <c r="B5" s="2" t="s">
        <v>104</v>
      </c>
    </row>
    <row r="6" spans="1:2" ht="60" customHeight="1">
      <c r="A6" s="9" t="s">
        <v>105</v>
      </c>
      <c r="B6" s="2" t="s">
        <v>106</v>
      </c>
    </row>
    <row r="7" spans="1:2" ht="60" customHeight="1">
      <c r="A7" s="9" t="s">
        <v>107</v>
      </c>
      <c r="B7" s="2" t="s">
        <v>108</v>
      </c>
    </row>
    <row r="8" spans="1:2" ht="60" customHeight="1">
      <c r="A8" s="9" t="s">
        <v>109</v>
      </c>
      <c r="B8" s="2" t="s">
        <v>110</v>
      </c>
    </row>
    <row r="9" spans="1:2" ht="60" customHeight="1">
      <c r="A9" s="9" t="s">
        <v>111</v>
      </c>
      <c r="B9" s="2" t="s">
        <v>112</v>
      </c>
    </row>
    <row r="10" spans="1:2" ht="60" customHeight="1">
      <c r="A10" s="9" t="s">
        <v>113</v>
      </c>
      <c r="B10" s="2" t="s">
        <v>114</v>
      </c>
    </row>
    <row r="11" spans="1:2" ht="60" customHeight="1">
      <c r="A11" s="9" t="s">
        <v>115</v>
      </c>
      <c r="B11" s="2" t="s">
        <v>116</v>
      </c>
    </row>
    <row r="12" spans="1:2" ht="60" customHeight="1">
      <c r="A12" s="9" t="s">
        <v>117</v>
      </c>
      <c r="B12" s="2" t="s">
        <v>118</v>
      </c>
    </row>
    <row r="13" spans="1:2" ht="60" customHeight="1">
      <c r="A13" s="9" t="s">
        <v>119</v>
      </c>
      <c r="B13" s="2" t="s">
        <v>120</v>
      </c>
    </row>
    <row r="14" spans="1:2" ht="60" customHeight="1">
      <c r="A14" s="9" t="s">
        <v>121</v>
      </c>
      <c r="B14" s="2" t="s">
        <v>122</v>
      </c>
    </row>
    <row r="15" spans="1:2" ht="60" customHeight="1">
      <c r="A15" s="9" t="s">
        <v>123</v>
      </c>
      <c r="B15" s="2" t="s">
        <v>124</v>
      </c>
    </row>
    <row r="16" spans="1:2" ht="60" customHeight="1">
      <c r="A16" s="9" t="s">
        <v>125</v>
      </c>
      <c r="B16" s="2" t="s">
        <v>126</v>
      </c>
    </row>
    <row r="17" spans="1:2" ht="60" customHeight="1">
      <c r="A17" s="9" t="s">
        <v>127</v>
      </c>
      <c r="B17" s="2" t="s">
        <v>128</v>
      </c>
    </row>
    <row r="18" spans="1:2" ht="60" customHeight="1">
      <c r="A18" s="9" t="s">
        <v>129</v>
      </c>
      <c r="B18" s="2" t="s">
        <v>130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DCF Model</vt:lpstr>
      <vt:lpstr>Sensitivity</vt:lpstr>
      <vt:lpstr>Historical</vt:lpstr>
      <vt:lpstr>FCF Quality</vt:lpstr>
      <vt:lpstr>Model_Info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2026-08-01T02:51:38Z</dcterms:created>
  <dcterms:modified xsi:type="dcterms:W3CDTF">2026-08-01T02:51:38Z</dcterms:modified>
</cp:coreProperties>
</file>