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Historical" sheetId="3" r:id="rId3"/>
  </sheets>
  <calcPr calcId="124519" fullCalcOnLoad="1"/>
</workbook>
</file>

<file path=xl/sharedStrings.xml><?xml version="1.0" encoding="utf-8"?>
<sst xmlns="http://schemas.openxmlformats.org/spreadsheetml/2006/main" count="118" uniqueCount="109">
  <si>
    <t>Flow Traders (FLOW.AS) — DCF Valuation Model</t>
  </si>
  <si>
    <t>Gray cells are INPUTS — adjust to see valuation update automatically. Currency: EUR millions.</t>
  </si>
  <si>
    <t>Valuation date: 2026-03-12   |   Net Profit used as distributable earnings proxy (no traditional FCF for market-making firm)</t>
  </si>
  <si>
    <t>KEY INPUTS</t>
  </si>
  <si>
    <t>Current Stock Price (EUR)</t>
  </si>
  <si>
    <t>Shares Outstanding (M)</t>
  </si>
  <si>
    <t>Cash &amp; Equivalents (EUR M)</t>
  </si>
  <si>
    <t>Total Debt (EUR M)</t>
  </si>
  <si>
    <t>Net Debt (EUR M)</t>
  </si>
  <si>
    <t>Base Year Net Profit (EUR M)</t>
  </si>
  <si>
    <t>WACC</t>
  </si>
  <si>
    <t>Terminal Growth Rate</t>
  </si>
  <si>
    <t>GROWTH RATE ASSUMPTIONS</t>
  </si>
  <si>
    <t>Year 1</t>
  </si>
  <si>
    <t>Year 2</t>
  </si>
  <si>
    <t>Year 3</t>
  </si>
  <si>
    <t>Year 4</t>
  </si>
  <si>
    <t>Year 5</t>
  </si>
  <si>
    <t>Base Case Growth Rate</t>
  </si>
  <si>
    <t>BASE CASE PROJECTIONS</t>
  </si>
  <si>
    <t>Base Year</t>
  </si>
  <si>
    <t>Net Profit (EUR M)</t>
  </si>
  <si>
    <t>Discount Factor</t>
  </si>
  <si>
    <t>PV of Net Profit (EUR M)</t>
  </si>
  <si>
    <t>BASE CASE VALUATION</t>
  </si>
  <si>
    <t>Sum of PV of Net Profits (EUR M)</t>
  </si>
  <si>
    <t>Terminal Net Profit  [Year 5 x (1+g)]</t>
  </si>
  <si>
    <t>Terminal Value (EUR M)  [Gordon Growth]</t>
  </si>
  <si>
    <t>PV of Terminal Value (EUR M)</t>
  </si>
  <si>
    <t>Enterprise Value (EUR M)</t>
  </si>
  <si>
    <t>Less: Net Debt (EUR M)</t>
  </si>
  <si>
    <t>Equity Value (EUR M)</t>
  </si>
  <si>
    <t>INTRINSIC VALUE PER SHARE</t>
  </si>
  <si>
    <t>Upside / (Downside) to IV</t>
  </si>
  <si>
    <t>ENTRY PRICE ANALYSIS  (15% CAGR Target)</t>
  </si>
  <si>
    <t>Terminal Value per Share</t>
  </si>
  <si>
    <t>Entry Price for 15% CAGR  [TV / 1.15^5]</t>
  </si>
  <si>
    <t>Current Price vs Entry Price</t>
  </si>
  <si>
    <t>Note: At current price, premium/(discount) to 15% CAGR entry =</t>
  </si>
  <si>
    <t>SCENARIO COMPARISON</t>
  </si>
  <si>
    <t>Bear Case</t>
  </si>
  <si>
    <t>Base Case</t>
  </si>
  <si>
    <t>Bull Case</t>
  </si>
  <si>
    <t>Base Net Profit (EUR M)</t>
  </si>
  <si>
    <t>Year 1 Growth</t>
  </si>
  <si>
    <t>Terminal Growth</t>
  </si>
  <si>
    <t>Intrinsic Value per Share</t>
  </si>
  <si>
    <t>Upside / (Downside)</t>
  </si>
  <si>
    <t>Entry Price (15% CAGR)</t>
  </si>
  <si>
    <t>PROBABILITY-WEIGHTED INTRINSIC VALUE</t>
  </si>
  <si>
    <t>Weights: Bear 25% / Base 50% / Bull 25%</t>
  </si>
  <si>
    <t>Flow Traders — Sensitivity Analysis</t>
  </si>
  <si>
    <t>Base Case Intrinsic Value per Share (EUR) by WACC and Terminal Growth Rate</t>
  </si>
  <si>
    <t>Inputs: FY2025 Net Profit EUR 133.6m, growth rates 10/9/8/7/6%</t>
  </si>
  <si>
    <t>WACC \ Terminal G</t>
  </si>
  <si>
    <t>Color coding:</t>
  </si>
  <si>
    <t>Below current price</t>
  </si>
  <si>
    <t>Near current price (+/-EUR 3)</t>
  </si>
  <si>
    <t>&gt;50% above current price</t>
  </si>
  <si>
    <t>Note:</t>
  </si>
  <si>
    <t>Terminal value formula uses only Year 5 FCF for simplicity. Full PV of intermediate cash flows is in the DCF Model sheet.</t>
  </si>
  <si>
    <t>Terminal value formula uses only Year 5 FCF for simplicity. Full PV of intermediate cash flows is included in the DCF Model tab.</t>
  </si>
  <si>
    <t>Flow Traders — Historical Financial Data</t>
  </si>
  <si>
    <t>Source: FLOW.AS_Metrics.csv. Figures in EUR millions except per-share data. NTI = Net Trading Income.</t>
  </si>
  <si>
    <t>Period</t>
  </si>
  <si>
    <t>NTI</t>
  </si>
  <si>
    <t>EBITDA</t>
  </si>
  <si>
    <t>EBITDA %</t>
  </si>
  <si>
    <t>Net Profit</t>
  </si>
  <si>
    <t>EPS</t>
  </si>
  <si>
    <t>Equity</t>
  </si>
  <si>
    <t>Shares M</t>
  </si>
  <si>
    <t>ROE</t>
  </si>
  <si>
    <t>FY2015</t>
  </si>
  <si>
    <t>39.9%</t>
  </si>
  <si>
    <t>FY2016</t>
  </si>
  <si>
    <t>47.5%</t>
  </si>
  <si>
    <t>FY2017</t>
  </si>
  <si>
    <t>33.8%</t>
  </si>
  <si>
    <t>FY2018</t>
  </si>
  <si>
    <t>52.1%</t>
  </si>
  <si>
    <t>FY2019</t>
  </si>
  <si>
    <t>36.5%</t>
  </si>
  <si>
    <t>FY2020</t>
  </si>
  <si>
    <t>62.8%</t>
  </si>
  <si>
    <t>FY2021</t>
  </si>
  <si>
    <t>41.5%</t>
  </si>
  <si>
    <t>FY2022</t>
  </si>
  <si>
    <t>39.0%</t>
  </si>
  <si>
    <t>27%</t>
  </si>
  <si>
    <t>FY2023</t>
  </si>
  <si>
    <t>22.0%</t>
  </si>
  <si>
    <t>10%</t>
  </si>
  <si>
    <t>FY2024</t>
  </si>
  <si>
    <t>45.3%</t>
  </si>
  <si>
    <t>24%</t>
  </si>
  <si>
    <t>FY2025</t>
  </si>
  <si>
    <t>41.0%</t>
  </si>
  <si>
    <t>Historical Growth Rates</t>
  </si>
  <si>
    <t>Metric</t>
  </si>
  <si>
    <t>3-Year CAGR (FY22-FY25)</t>
  </si>
  <si>
    <t>5-Year CAGR (FY20-FY25)</t>
  </si>
  <si>
    <t>6-Year CAGR (FY19-FY25)</t>
  </si>
  <si>
    <t>NTI (Revenue)</t>
  </si>
  <si>
    <t>Shareholders Equity</t>
  </si>
  <si>
    <t>Selected Growth Rate (Base Case anchor):</t>
  </si>
  <si>
    <t>equity_3yr_cagr</t>
  </si>
  <si>
    <t>FY2020 figures are anomalous (COVID volatility boom). 5-year CAGRs are distorted by this base. 3-year equity CAGR used as primary anchor.</t>
  </si>
  <si>
    <t>FY2020 figures are anomalous (COVID volatility boom, NTI EUR 933m). 5-year CAGRs are distorted by this base. 3-year equity CAGR (FY2022-FY2025) used as primary anchor.</t>
  </si>
</sst>
</file>

<file path=xl/styles.xml><?xml version="1.0" encoding="utf-8"?>
<styleSheet xmlns="http://schemas.openxmlformats.org/spreadsheetml/2006/main">
  <numFmts count="4">
    <numFmt numFmtId="164" formatCode="€#,##0.00"/>
    <numFmt numFmtId="165" formatCode="#,##0.0"/>
    <numFmt numFmtId="166" formatCode="0.0%"/>
    <numFmt numFmtId="167" formatCode="0%"/>
  </numFmts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0"/>
      <color rgb="FF636E72"/>
      <name val="Calibri"/>
      <family val="2"/>
      <scheme val="minor"/>
    </font>
    <font>
      <i/>
      <sz val="9"/>
      <color rgb="FF636E7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2D3436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FAB1A0"/>
        <bgColor indexed="64"/>
      </patternFill>
    </fill>
    <fill>
      <patternFill patternType="solid">
        <fgColor rgb="FF55EFC4"/>
        <bgColor indexed="64"/>
      </patternFill>
    </fill>
    <fill>
      <patternFill patternType="solid">
        <fgColor rgb="FFFDCB6E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164" fontId="0" fillId="3" borderId="2" xfId="0" applyNumberFormat="1" applyFill="1" applyBorder="1"/>
    <xf numFmtId="165" fontId="0" fillId="3" borderId="2" xfId="0" applyNumberFormat="1" applyFill="1" applyBorder="1"/>
    <xf numFmtId="165" fontId="0" fillId="0" borderId="2" xfId="0" applyNumberFormat="1" applyBorder="1"/>
    <xf numFmtId="166" fontId="0" fillId="3" borderId="2" xfId="0" applyNumberFormat="1" applyFill="1" applyBorder="1"/>
    <xf numFmtId="0" fontId="5" fillId="4" borderId="2" xfId="0" applyFont="1" applyFill="1" applyBorder="1" applyAlignment="1">
      <alignment horizontal="center"/>
    </xf>
    <xf numFmtId="0" fontId="4" fillId="0" borderId="0" xfId="0" applyFont="1"/>
    <xf numFmtId="164" fontId="5" fillId="5" borderId="2" xfId="0" applyNumberFormat="1" applyFont="1" applyFill="1" applyBorder="1"/>
    <xf numFmtId="166" fontId="0" fillId="0" borderId="2" xfId="0" applyNumberFormat="1" applyBorder="1"/>
    <xf numFmtId="164" fontId="0" fillId="0" borderId="2" xfId="0" applyNumberFormat="1" applyBorder="1"/>
    <xf numFmtId="164" fontId="6" fillId="6" borderId="2" xfId="0" applyNumberFormat="1" applyFont="1" applyFill="1" applyBorder="1"/>
    <xf numFmtId="164" fontId="6" fillId="7" borderId="2" xfId="0" applyNumberFormat="1" applyFont="1" applyFill="1" applyBorder="1"/>
    <xf numFmtId="166" fontId="5" fillId="4" borderId="2" xfId="0" applyNumberFormat="1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164" fontId="0" fillId="7" borderId="2" xfId="0" applyNumberFormat="1" applyFill="1" applyBorder="1"/>
    <xf numFmtId="0" fontId="0" fillId="6" borderId="2" xfId="0" applyFill="1" applyBorder="1"/>
    <xf numFmtId="0" fontId="4" fillId="8" borderId="2" xfId="0" applyFont="1" applyFill="1" applyBorder="1"/>
    <xf numFmtId="0" fontId="0" fillId="7" borderId="2" xfId="0" applyFill="1" applyBorder="1"/>
    <xf numFmtId="0" fontId="7" fillId="0" borderId="2" xfId="0" applyFont="1" applyBorder="1"/>
    <xf numFmtId="165" fontId="7" fillId="0" borderId="2" xfId="0" applyNumberFormat="1" applyFont="1" applyBorder="1"/>
    <xf numFmtId="0" fontId="4" fillId="0" borderId="2" xfId="0" applyFont="1" applyBorder="1"/>
    <xf numFmtId="165" fontId="4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54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8" width="13.7109375" customWidth="1"/>
  </cols>
  <sheetData>
    <row r="1" spans="1:6">
      <c r="A1" s="1" t="s">
        <v>0</v>
      </c>
    </row>
    <row r="2" spans="1:6">
      <c r="A2" s="2" t="s">
        <v>1</v>
      </c>
    </row>
    <row r="3" spans="1:6">
      <c r="A3" s="3" t="s">
        <v>2</v>
      </c>
    </row>
    <row r="5" spans="1:6">
      <c r="A5" s="4" t="s">
        <v>3</v>
      </c>
      <c r="B5" s="4"/>
    </row>
    <row r="6" spans="1:6">
      <c r="A6" t="s">
        <v>4</v>
      </c>
      <c r="B6" s="5">
        <v>27.18</v>
      </c>
    </row>
    <row r="7" spans="1:6">
      <c r="A7" t="s">
        <v>5</v>
      </c>
      <c r="B7" s="6">
        <v>43.6</v>
      </c>
    </row>
    <row r="8" spans="1:6">
      <c r="A8" t="s">
        <v>6</v>
      </c>
      <c r="B8" s="6">
        <v>8.1</v>
      </c>
    </row>
    <row r="9" spans="1:6">
      <c r="A9" t="s">
        <v>7</v>
      </c>
      <c r="B9" s="6">
        <v>186</v>
      </c>
    </row>
    <row r="10" spans="1:6">
      <c r="A10" t="s">
        <v>8</v>
      </c>
      <c r="B10" s="7">
        <f>B9-B8</f>
        <v>0</v>
      </c>
    </row>
    <row r="11" spans="1:6">
      <c r="A11" t="s">
        <v>9</v>
      </c>
      <c r="B11" s="6">
        <v>133.6</v>
      </c>
    </row>
    <row r="13" spans="1:6">
      <c r="A13" t="s">
        <v>10</v>
      </c>
      <c r="B13" s="8">
        <v>0.11</v>
      </c>
    </row>
    <row r="14" spans="1:6">
      <c r="A14" t="s">
        <v>11</v>
      </c>
      <c r="B14" s="8">
        <v>0.03</v>
      </c>
    </row>
    <row r="16" spans="1:6">
      <c r="A16" s="4" t="s">
        <v>12</v>
      </c>
      <c r="B16" s="4"/>
      <c r="C16" s="4"/>
      <c r="D16" s="4"/>
      <c r="E16" s="4"/>
      <c r="F16" s="4"/>
    </row>
    <row r="17" spans="1:7">
      <c r="A17" s="9"/>
      <c r="B17" s="9" t="s">
        <v>13</v>
      </c>
      <c r="C17" s="9" t="s">
        <v>14</v>
      </c>
      <c r="D17" s="9" t="s">
        <v>15</v>
      </c>
      <c r="E17" s="9" t="s">
        <v>16</v>
      </c>
      <c r="F17" s="9" t="s">
        <v>17</v>
      </c>
    </row>
    <row r="18" spans="1:7">
      <c r="A18" t="s">
        <v>18</v>
      </c>
      <c r="B18" s="8">
        <v>0.1</v>
      </c>
      <c r="C18" s="8">
        <v>0.09</v>
      </c>
      <c r="D18" s="8">
        <v>0.08</v>
      </c>
      <c r="E18" s="8">
        <v>0.07000000000000001</v>
      </c>
      <c r="F18" s="8">
        <v>0.06</v>
      </c>
    </row>
    <row r="20" spans="1:7">
      <c r="A20" s="4" t="s">
        <v>19</v>
      </c>
      <c r="B20" s="4"/>
      <c r="C20" s="4"/>
      <c r="D20" s="4"/>
      <c r="E20" s="4"/>
      <c r="F20" s="4"/>
      <c r="G20" s="4"/>
    </row>
    <row r="21" spans="1:7">
      <c r="A21" s="9"/>
      <c r="B21" s="9" t="s">
        <v>20</v>
      </c>
      <c r="C21" s="9" t="s">
        <v>13</v>
      </c>
      <c r="D21" s="9" t="s">
        <v>14</v>
      </c>
      <c r="E21" s="9" t="s">
        <v>15</v>
      </c>
      <c r="F21" s="9" t="s">
        <v>16</v>
      </c>
      <c r="G21" s="9" t="s">
        <v>17</v>
      </c>
    </row>
    <row r="22" spans="1:7">
      <c r="A22" t="s">
        <v>21</v>
      </c>
      <c r="B22" s="7">
        <f>B11</f>
        <v>0</v>
      </c>
      <c r="C22" s="7">
        <f>B22*(1+B18)</f>
        <v>0</v>
      </c>
      <c r="D22" s="7">
        <f>C22*(1+C18)</f>
        <v>0</v>
      </c>
      <c r="E22" s="7">
        <f>D22*(1+D18)</f>
        <v>0</v>
      </c>
      <c r="F22" s="7">
        <f>E22*(1+E18)</f>
        <v>0</v>
      </c>
      <c r="G22" s="7">
        <f>F22*(1+F18)</f>
        <v>0</v>
      </c>
    </row>
    <row r="23" spans="1:7">
      <c r="A23" t="s">
        <v>22</v>
      </c>
      <c r="B23" s="7">
        <v>1</v>
      </c>
      <c r="C23" s="7">
        <f>1/(1+$B$13)^1</f>
        <v>0</v>
      </c>
      <c r="D23" s="7">
        <f>1/(1+$B$13)^2</f>
        <v>0</v>
      </c>
      <c r="E23" s="7">
        <f>1/(1+$B$13)^3</f>
        <v>0</v>
      </c>
      <c r="F23" s="7">
        <f>1/(1+$B$13)^4</f>
        <v>0</v>
      </c>
      <c r="G23" s="7">
        <f>1/(1+$B$13)^5</f>
        <v>0</v>
      </c>
    </row>
    <row r="24" spans="1:7">
      <c r="A24" t="s">
        <v>23</v>
      </c>
      <c r="C24" s="7">
        <f>C22*C23</f>
        <v>0</v>
      </c>
      <c r="D24" s="7">
        <f>D22*D23</f>
        <v>0</v>
      </c>
      <c r="E24" s="7">
        <f>E22*E23</f>
        <v>0</v>
      </c>
      <c r="F24" s="7">
        <f>F22*F23</f>
        <v>0</v>
      </c>
      <c r="G24" s="7">
        <f>G22*G23</f>
        <v>0</v>
      </c>
    </row>
    <row r="26" spans="1:7">
      <c r="A26" s="4" t="s">
        <v>24</v>
      </c>
      <c r="B26" s="4"/>
    </row>
    <row r="27" spans="1:7">
      <c r="A27" t="s">
        <v>25</v>
      </c>
      <c r="B27" s="7">
        <f>SUM(C24:G24)</f>
        <v>0</v>
      </c>
    </row>
    <row r="28" spans="1:7">
      <c r="A28" t="s">
        <v>26</v>
      </c>
      <c r="B28" s="7">
        <f>G22*(1+$B$14)</f>
        <v>0</v>
      </c>
    </row>
    <row r="29" spans="1:7">
      <c r="A29" t="s">
        <v>27</v>
      </c>
      <c r="B29" s="7">
        <f>B28/($B$13-$B$14)</f>
        <v>0</v>
      </c>
    </row>
    <row r="30" spans="1:7">
      <c r="A30" t="s">
        <v>28</v>
      </c>
      <c r="B30" s="7">
        <f>B29*G23</f>
        <v>0</v>
      </c>
    </row>
    <row r="31" spans="1:7">
      <c r="A31" t="s">
        <v>29</v>
      </c>
      <c r="B31" s="7">
        <f>B27+B30</f>
        <v>0</v>
      </c>
    </row>
    <row r="32" spans="1:7">
      <c r="A32" t="s">
        <v>30</v>
      </c>
      <c r="B32" s="7">
        <f>B10</f>
        <v>0</v>
      </c>
    </row>
    <row r="33" spans="1:4">
      <c r="A33" t="s">
        <v>31</v>
      </c>
      <c r="B33" s="7">
        <f>B31-B32</f>
        <v>0</v>
      </c>
    </row>
    <row r="34" spans="1:4">
      <c r="A34" s="10" t="s">
        <v>32</v>
      </c>
      <c r="B34" s="11">
        <f>B33/B7</f>
        <v>0</v>
      </c>
    </row>
    <row r="35" spans="1:4">
      <c r="A35" t="s">
        <v>33</v>
      </c>
      <c r="B35" s="12">
        <f>(B34-B6)/B6</f>
        <v>0</v>
      </c>
    </row>
    <row r="37" spans="1:4">
      <c r="A37" s="4" t="s">
        <v>34</v>
      </c>
      <c r="B37" s="4"/>
    </row>
    <row r="38" spans="1:4">
      <c r="A38" t="s">
        <v>35</v>
      </c>
      <c r="B38" s="13">
        <f>B29/B7</f>
        <v>0</v>
      </c>
    </row>
    <row r="39" spans="1:4">
      <c r="A39" t="s">
        <v>36</v>
      </c>
      <c r="B39" s="11">
        <f>B38/(1.15^5)</f>
        <v>0</v>
      </c>
    </row>
    <row r="40" spans="1:4">
      <c r="A40" t="s">
        <v>37</v>
      </c>
      <c r="B40" s="12">
        <f>(B6-B39)/B39</f>
        <v>0</v>
      </c>
    </row>
    <row r="42" spans="1:4">
      <c r="A42" s="3" t="s">
        <v>38</v>
      </c>
      <c r="B42" s="12">
        <f>(B6-B39)/B39</f>
        <v>0</v>
      </c>
    </row>
    <row r="44" spans="1:4">
      <c r="A44" s="4" t="s">
        <v>39</v>
      </c>
      <c r="B44" s="4"/>
      <c r="C44" s="4"/>
      <c r="D44" s="4"/>
    </row>
    <row r="45" spans="1:4">
      <c r="A45" s="9"/>
      <c r="B45" s="9" t="s">
        <v>40</v>
      </c>
      <c r="C45" s="9" t="s">
        <v>41</v>
      </c>
      <c r="D45" s="9" t="s">
        <v>42</v>
      </c>
    </row>
    <row r="46" spans="1:4">
      <c r="A46" t="s">
        <v>43</v>
      </c>
      <c r="B46" s="6">
        <v>100</v>
      </c>
      <c r="C46" s="6">
        <v>133.6</v>
      </c>
      <c r="D46" s="6">
        <v>140</v>
      </c>
    </row>
    <row r="47" spans="1:4">
      <c r="A47" t="s">
        <v>44</v>
      </c>
      <c r="B47" s="8">
        <v>0.02</v>
      </c>
      <c r="C47" s="8">
        <v>0.1</v>
      </c>
      <c r="D47" s="8">
        <v>0.2</v>
      </c>
    </row>
    <row r="48" spans="1:4">
      <c r="A48" t="s">
        <v>10</v>
      </c>
      <c r="B48" s="8">
        <v>0.13</v>
      </c>
      <c r="C48" s="8">
        <v>0.11</v>
      </c>
      <c r="D48" s="8">
        <v>0.1</v>
      </c>
    </row>
    <row r="49" spans="1:4">
      <c r="A49" t="s">
        <v>45</v>
      </c>
      <c r="B49" s="8">
        <v>0.02</v>
      </c>
      <c r="C49" s="8">
        <v>0.03</v>
      </c>
      <c r="D49" s="8">
        <v>0.035</v>
      </c>
    </row>
    <row r="50" spans="1:4">
      <c r="A50" t="s">
        <v>46</v>
      </c>
      <c r="B50" s="14">
        <v>16.83</v>
      </c>
      <c r="C50" s="11">
        <v>44.69</v>
      </c>
      <c r="D50" s="15">
        <v>78.8</v>
      </c>
    </row>
    <row r="51" spans="1:4">
      <c r="A51" t="s">
        <v>47</v>
      </c>
      <c r="B51" s="12">
        <v>-0.380794701986755</v>
      </c>
      <c r="C51" s="12">
        <v>0.644223693892568</v>
      </c>
      <c r="D51" s="12">
        <v>1.899190581309786</v>
      </c>
    </row>
    <row r="52" spans="1:4">
      <c r="A52" t="s">
        <v>48</v>
      </c>
      <c r="B52" s="13">
        <v>11.45</v>
      </c>
      <c r="C52" s="13">
        <v>28.81</v>
      </c>
      <c r="D52" s="13">
        <v>51</v>
      </c>
    </row>
    <row r="54" spans="1:4">
      <c r="A54" s="10" t="s">
        <v>49</v>
      </c>
      <c r="B54" s="11">
        <v>46.25</v>
      </c>
      <c r="C54" s="3" t="s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14"/>
  <sheetViews>
    <sheetView workbookViewId="0"/>
  </sheetViews>
  <sheetFormatPr defaultRowHeight="15"/>
  <cols>
    <col min="1" max="1" width="20.7109375" customWidth="1"/>
    <col min="2" max="7" width="13.7109375" customWidth="1"/>
  </cols>
  <sheetData>
    <row r="1" spans="1:7">
      <c r="A1" s="1" t="s">
        <v>51</v>
      </c>
    </row>
    <row r="2" spans="1:7">
      <c r="A2" s="2" t="s">
        <v>52</v>
      </c>
    </row>
    <row r="3" spans="1:7">
      <c r="A3" s="3" t="s">
        <v>53</v>
      </c>
    </row>
    <row r="5" spans="1:7">
      <c r="A5" s="9" t="s">
        <v>54</v>
      </c>
      <c r="B5" s="16">
        <v>0.02</v>
      </c>
      <c r="C5" s="16">
        <v>0.025</v>
      </c>
      <c r="D5" s="16">
        <v>0.03</v>
      </c>
      <c r="E5" s="16">
        <v>0.035</v>
      </c>
      <c r="F5" s="16">
        <v>0.04</v>
      </c>
    </row>
    <row r="6" spans="1:7">
      <c r="A6" s="17">
        <v>0.09</v>
      </c>
      <c r="B6" s="18">
        <f>('DCF Model'!$B$11*(1+'DCF Model'!$B$18)*(1+'DCF Model'!$C$18)*(1+'DCF Model'!$D$18)*(1+'DCF Model'!$E$18)*(1+'DCF Model'!$F$18)*(1+0.02)/(0.09-0.02))/(1+0.09)^5/'DCF Model'!$B$7</f>
        <v>0</v>
      </c>
      <c r="C6" s="18">
        <f>('DCF Model'!$B$11*(1+'DCF Model'!$B$18)*(1+'DCF Model'!$C$18)*(1+'DCF Model'!$D$18)*(1+'DCF Model'!$E$18)*(1+'DCF Model'!$F$18)*(1+0.025)/(0.09-0.025))/(1+0.09)^5/'DCF Model'!$B$7</f>
        <v>0</v>
      </c>
      <c r="D6" s="18">
        <f>('DCF Model'!$B$11*(1+'DCF Model'!$B$18)*(1+'DCF Model'!$C$18)*(1+'DCF Model'!$D$18)*(1+'DCF Model'!$E$18)*(1+'DCF Model'!$F$18)*(1+0.03)/(0.09-0.03))/(1+0.09)^5/'DCF Model'!$B$7</f>
        <v>0</v>
      </c>
      <c r="E6" s="18">
        <f>('DCF Model'!$B$11*(1+'DCF Model'!$B$18)*(1+'DCF Model'!$C$18)*(1+'DCF Model'!$D$18)*(1+'DCF Model'!$E$18)*(1+'DCF Model'!$F$18)*(1+0.035)/(0.09-0.035))/(1+0.09)^5/'DCF Model'!$B$7</f>
        <v>0</v>
      </c>
      <c r="F6" s="18">
        <f>('DCF Model'!$B$11*(1+'DCF Model'!$B$18)*(1+'DCF Model'!$C$18)*(1+'DCF Model'!$D$18)*(1+'DCF Model'!$E$18)*(1+'DCF Model'!$F$18)*(1+0.04)/(0.09-0.04))/(1+0.09)^5/'DCF Model'!$B$7</f>
        <v>0</v>
      </c>
    </row>
    <row r="7" spans="1:7">
      <c r="A7" s="17">
        <v>0.1</v>
      </c>
      <c r="B7" s="18">
        <f>('DCF Model'!$B$11*(1+'DCF Model'!$B$18)*(1+'DCF Model'!$C$18)*(1+'DCF Model'!$D$18)*(1+'DCF Model'!$E$18)*(1+'DCF Model'!$F$18)*(1+0.02)/(0.1-0.02))/(1+0.1)^5/'DCF Model'!$B$7</f>
        <v>0</v>
      </c>
      <c r="C7" s="18">
        <f>('DCF Model'!$B$11*(1+'DCF Model'!$B$18)*(1+'DCF Model'!$C$18)*(1+'DCF Model'!$D$18)*(1+'DCF Model'!$E$18)*(1+'DCF Model'!$F$18)*(1+0.025)/(0.1-0.025))/(1+0.1)^5/'DCF Model'!$B$7</f>
        <v>0</v>
      </c>
      <c r="D7" s="18">
        <f>('DCF Model'!$B$11*(1+'DCF Model'!$B$18)*(1+'DCF Model'!$C$18)*(1+'DCF Model'!$D$18)*(1+'DCF Model'!$E$18)*(1+'DCF Model'!$F$18)*(1+0.03)/(0.1-0.03))/(1+0.1)^5/'DCF Model'!$B$7</f>
        <v>0</v>
      </c>
      <c r="E7" s="18">
        <f>('DCF Model'!$B$11*(1+'DCF Model'!$B$18)*(1+'DCF Model'!$C$18)*(1+'DCF Model'!$D$18)*(1+'DCF Model'!$E$18)*(1+'DCF Model'!$F$18)*(1+0.035)/(0.1-0.035))/(1+0.1)^5/'DCF Model'!$B$7</f>
        <v>0</v>
      </c>
      <c r="F7" s="18">
        <f>('DCF Model'!$B$11*(1+'DCF Model'!$B$18)*(1+'DCF Model'!$C$18)*(1+'DCF Model'!$D$18)*(1+'DCF Model'!$E$18)*(1+'DCF Model'!$F$18)*(1+0.04)/(0.1-0.04))/(1+0.1)^5/'DCF Model'!$B$7</f>
        <v>0</v>
      </c>
    </row>
    <row r="8" spans="1:7">
      <c r="A8" s="17">
        <v>0.11</v>
      </c>
      <c r="B8" s="13">
        <f>('DCF Model'!$B$11*(1+'DCF Model'!$B$18)*(1+'DCF Model'!$C$18)*(1+'DCF Model'!$D$18)*(1+'DCF Model'!$E$18)*(1+'DCF Model'!$F$18)*(1+0.02)/(0.11-0.02))/(1+0.11)^5/'DCF Model'!$B$7</f>
        <v>0</v>
      </c>
      <c r="C8" s="18">
        <f>('DCF Model'!$B$11*(1+'DCF Model'!$B$18)*(1+'DCF Model'!$C$18)*(1+'DCF Model'!$D$18)*(1+'DCF Model'!$E$18)*(1+'DCF Model'!$F$18)*(1+0.025)/(0.11-0.025))/(1+0.11)^5/'DCF Model'!$B$7</f>
        <v>0</v>
      </c>
      <c r="D8" s="18">
        <f>('DCF Model'!$B$11*(1+'DCF Model'!$B$18)*(1+'DCF Model'!$C$18)*(1+'DCF Model'!$D$18)*(1+'DCF Model'!$E$18)*(1+'DCF Model'!$F$18)*(1+0.03)/(0.11-0.03))/(1+0.11)^5/'DCF Model'!$B$7</f>
        <v>0</v>
      </c>
      <c r="E8" s="18">
        <f>('DCF Model'!$B$11*(1+'DCF Model'!$B$18)*(1+'DCF Model'!$C$18)*(1+'DCF Model'!$D$18)*(1+'DCF Model'!$E$18)*(1+'DCF Model'!$F$18)*(1+0.035)/(0.11-0.035))/(1+0.11)^5/'DCF Model'!$B$7</f>
        <v>0</v>
      </c>
      <c r="F8" s="18">
        <f>('DCF Model'!$B$11*(1+'DCF Model'!$B$18)*(1+'DCF Model'!$C$18)*(1+'DCF Model'!$D$18)*(1+'DCF Model'!$E$18)*(1+'DCF Model'!$F$18)*(1+0.04)/(0.11-0.04))/(1+0.11)^5/'DCF Model'!$B$7</f>
        <v>0</v>
      </c>
    </row>
    <row r="9" spans="1:7">
      <c r="A9" s="17">
        <v>0.12</v>
      </c>
      <c r="B9" s="13">
        <f>('DCF Model'!$B$11*(1+'DCF Model'!$B$18)*(1+'DCF Model'!$C$18)*(1+'DCF Model'!$D$18)*(1+'DCF Model'!$E$18)*(1+'DCF Model'!$F$18)*(1+0.02)/(0.12-0.02))/(1+0.12)^5/'DCF Model'!$B$7</f>
        <v>0</v>
      </c>
      <c r="C9" s="13">
        <f>('DCF Model'!$B$11*(1+'DCF Model'!$B$18)*(1+'DCF Model'!$C$18)*(1+'DCF Model'!$D$18)*(1+'DCF Model'!$E$18)*(1+'DCF Model'!$F$18)*(1+0.025)/(0.12-0.025))/(1+0.12)^5/'DCF Model'!$B$7</f>
        <v>0</v>
      </c>
      <c r="D9" s="13">
        <f>('DCF Model'!$B$11*(1+'DCF Model'!$B$18)*(1+'DCF Model'!$C$18)*(1+'DCF Model'!$D$18)*(1+'DCF Model'!$E$18)*(1+'DCF Model'!$F$18)*(1+0.03)/(0.12-0.03))/(1+0.12)^5/'DCF Model'!$B$7</f>
        <v>0</v>
      </c>
      <c r="E9" s="18">
        <f>('DCF Model'!$B$11*(1+'DCF Model'!$B$18)*(1+'DCF Model'!$C$18)*(1+'DCF Model'!$D$18)*(1+'DCF Model'!$E$18)*(1+'DCF Model'!$F$18)*(1+0.035)/(0.12-0.035))/(1+0.12)^5/'DCF Model'!$B$7</f>
        <v>0</v>
      </c>
      <c r="F9" s="18">
        <f>('DCF Model'!$B$11*(1+'DCF Model'!$B$18)*(1+'DCF Model'!$C$18)*(1+'DCF Model'!$D$18)*(1+'DCF Model'!$E$18)*(1+'DCF Model'!$F$18)*(1+0.04)/(0.12-0.04))/(1+0.12)^5/'DCF Model'!$B$7</f>
        <v>0</v>
      </c>
    </row>
    <row r="10" spans="1:7">
      <c r="A10" s="17">
        <v>0.13</v>
      </c>
      <c r="B10" s="13">
        <f>('DCF Model'!$B$11*(1+'DCF Model'!$B$18)*(1+'DCF Model'!$C$18)*(1+'DCF Model'!$D$18)*(1+'DCF Model'!$E$18)*(1+'DCF Model'!$F$18)*(1+0.02)/(0.13-0.02))/(1+0.13)^5/'DCF Model'!$B$7</f>
        <v>0</v>
      </c>
      <c r="C10" s="13">
        <f>('DCF Model'!$B$11*(1+'DCF Model'!$B$18)*(1+'DCF Model'!$C$18)*(1+'DCF Model'!$D$18)*(1+'DCF Model'!$E$18)*(1+'DCF Model'!$F$18)*(1+0.025)/(0.13-0.025))/(1+0.13)^5/'DCF Model'!$B$7</f>
        <v>0</v>
      </c>
      <c r="D10" s="13">
        <f>('DCF Model'!$B$11*(1+'DCF Model'!$B$18)*(1+'DCF Model'!$C$18)*(1+'DCF Model'!$D$18)*(1+'DCF Model'!$E$18)*(1+'DCF Model'!$F$18)*(1+0.03)/(0.13-0.03))/(1+0.13)^5/'DCF Model'!$B$7</f>
        <v>0</v>
      </c>
      <c r="E10" s="13">
        <f>('DCF Model'!$B$11*(1+'DCF Model'!$B$18)*(1+'DCF Model'!$C$18)*(1+'DCF Model'!$D$18)*(1+'DCF Model'!$E$18)*(1+'DCF Model'!$F$18)*(1+0.035)/(0.13-0.035))/(1+0.13)^5/'DCF Model'!$B$7</f>
        <v>0</v>
      </c>
      <c r="F10" s="13">
        <f>('DCF Model'!$B$11*(1+'DCF Model'!$B$18)*(1+'DCF Model'!$C$18)*(1+'DCF Model'!$D$18)*(1+'DCF Model'!$E$18)*(1+'DCF Model'!$F$18)*(1+0.04)/(0.13-0.04))/(1+0.13)^5/'DCF Model'!$B$7</f>
        <v>0</v>
      </c>
    </row>
    <row r="12" spans="1:7">
      <c r="A12" s="10" t="s">
        <v>55</v>
      </c>
      <c r="B12" s="19" t="s">
        <v>56</v>
      </c>
      <c r="C12" s="20" t="s">
        <v>57</v>
      </c>
      <c r="D12" s="21" t="s">
        <v>58</v>
      </c>
    </row>
    <row r="14" spans="1:7">
      <c r="A14" s="10" t="s">
        <v>59</v>
      </c>
      <c r="B14" s="3" t="s">
        <v>61</v>
      </c>
      <c r="C14" s="3"/>
      <c r="D14" s="3"/>
      <c r="E14" s="3"/>
      <c r="F14" s="3"/>
      <c r="G14" s="3"/>
    </row>
  </sheetData>
  <mergeCells count="1">
    <mergeCell ref="B14:G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5"/>
  <sheetViews>
    <sheetView workbookViewId="0"/>
  </sheetViews>
  <sheetFormatPr defaultRowHeight="15"/>
  <cols>
    <col min="1" max="1" width="22.7109375" customWidth="1"/>
    <col min="2" max="10" width="11.7109375" customWidth="1"/>
  </cols>
  <sheetData>
    <row r="1" spans="1:9">
      <c r="A1" s="1" t="s">
        <v>62</v>
      </c>
    </row>
    <row r="2" spans="1:9">
      <c r="A2" s="3" t="s">
        <v>63</v>
      </c>
    </row>
    <row r="4" spans="1:9">
      <c r="A4" s="9" t="s">
        <v>64</v>
      </c>
      <c r="B4" s="9" t="s">
        <v>65</v>
      </c>
      <c r="C4" s="9" t="s">
        <v>66</v>
      </c>
      <c r="D4" s="9" t="s">
        <v>67</v>
      </c>
      <c r="E4" s="9" t="s">
        <v>68</v>
      </c>
      <c r="F4" s="9" t="s">
        <v>69</v>
      </c>
      <c r="G4" s="9" t="s">
        <v>70</v>
      </c>
      <c r="H4" s="9" t="s">
        <v>71</v>
      </c>
      <c r="I4" s="9" t="s">
        <v>72</v>
      </c>
    </row>
    <row r="5" spans="1:9">
      <c r="A5" s="22" t="s">
        <v>73</v>
      </c>
      <c r="B5" s="23">
        <v>304.7</v>
      </c>
      <c r="C5" s="23">
        <v>121.6</v>
      </c>
      <c r="D5" t="s">
        <v>74</v>
      </c>
      <c r="E5" s="23">
        <v>97.3</v>
      </c>
      <c r="F5" s="23">
        <v>2.09</v>
      </c>
      <c r="G5" s="23">
        <v>246.5</v>
      </c>
      <c r="H5" s="23">
        <v>46.5</v>
      </c>
    </row>
    <row r="6" spans="1:9">
      <c r="A6" s="22" t="s">
        <v>75</v>
      </c>
      <c r="B6" s="23">
        <v>250</v>
      </c>
      <c r="C6" s="23">
        <v>118.7</v>
      </c>
      <c r="D6" t="s">
        <v>76</v>
      </c>
      <c r="E6" s="23">
        <v>91.90000000000001</v>
      </c>
      <c r="F6" s="23">
        <v>1.98</v>
      </c>
      <c r="G6" s="23">
        <v>270.1</v>
      </c>
      <c r="H6" s="23">
        <v>46.5</v>
      </c>
    </row>
    <row r="7" spans="1:9">
      <c r="A7" s="22" t="s">
        <v>77</v>
      </c>
      <c r="B7" s="23">
        <v>166</v>
      </c>
      <c r="C7" s="23">
        <v>56</v>
      </c>
      <c r="D7" t="s">
        <v>78</v>
      </c>
      <c r="E7" s="23">
        <v>39.6</v>
      </c>
      <c r="F7" s="23">
        <v>0.85</v>
      </c>
      <c r="G7" s="23">
        <v>254.1</v>
      </c>
      <c r="H7" s="23">
        <v>46.5</v>
      </c>
    </row>
    <row r="8" spans="1:9">
      <c r="A8" s="22" t="s">
        <v>79</v>
      </c>
      <c r="B8" s="23">
        <v>383.4</v>
      </c>
      <c r="C8" s="23">
        <v>199.8</v>
      </c>
      <c r="D8" t="s">
        <v>80</v>
      </c>
      <c r="E8" s="23">
        <v>160.9</v>
      </c>
      <c r="F8" s="23">
        <v>3.46</v>
      </c>
      <c r="G8" s="23">
        <v>341.1</v>
      </c>
      <c r="H8" s="23">
        <v>46.5</v>
      </c>
    </row>
    <row r="9" spans="1:9">
      <c r="A9" s="22" t="s">
        <v>81</v>
      </c>
      <c r="B9" s="23">
        <v>216.4</v>
      </c>
      <c r="C9" s="23">
        <v>78.90000000000001</v>
      </c>
      <c r="D9" t="s">
        <v>82</v>
      </c>
      <c r="E9" s="23">
        <v>53.1</v>
      </c>
      <c r="F9" s="23">
        <v>1.15</v>
      </c>
      <c r="G9" s="23">
        <v>331.1</v>
      </c>
      <c r="H9" s="23">
        <v>46.5</v>
      </c>
    </row>
    <row r="10" spans="1:9">
      <c r="A10" s="24" t="s">
        <v>83</v>
      </c>
      <c r="B10" s="25">
        <v>933.4</v>
      </c>
      <c r="C10" s="25">
        <v>586.7</v>
      </c>
      <c r="D10" t="s">
        <v>84</v>
      </c>
      <c r="E10" s="25">
        <v>464.5</v>
      </c>
      <c r="F10" s="25">
        <v>10.26</v>
      </c>
      <c r="G10" s="25">
        <v>589.9</v>
      </c>
      <c r="H10" s="25">
        <v>44.7</v>
      </c>
    </row>
    <row r="11" spans="1:9">
      <c r="A11" s="22" t="s">
        <v>85</v>
      </c>
      <c r="B11" s="23">
        <v>384</v>
      </c>
      <c r="C11" s="23">
        <v>159.4</v>
      </c>
      <c r="D11" t="s">
        <v>86</v>
      </c>
      <c r="E11" s="23">
        <v>114.9</v>
      </c>
      <c r="F11" s="23">
        <v>2.63</v>
      </c>
      <c r="G11" s="23">
        <v>508.2</v>
      </c>
      <c r="H11" s="23">
        <v>46.5</v>
      </c>
    </row>
    <row r="12" spans="1:9">
      <c r="A12" s="22" t="s">
        <v>87</v>
      </c>
      <c r="B12" s="23">
        <v>460.2</v>
      </c>
      <c r="C12" s="23">
        <v>179.3</v>
      </c>
      <c r="D12" t="s">
        <v>88</v>
      </c>
      <c r="E12" s="23">
        <v>126.8</v>
      </c>
      <c r="F12" s="23">
        <v>2.92</v>
      </c>
      <c r="G12" s="23">
        <v>606.3</v>
      </c>
      <c r="H12" s="23">
        <v>42.8</v>
      </c>
      <c r="I12" t="s">
        <v>89</v>
      </c>
    </row>
    <row r="13" spans="1:9">
      <c r="A13" s="22" t="s">
        <v>90</v>
      </c>
      <c r="B13" s="23">
        <v>300.3</v>
      </c>
      <c r="C13" s="23">
        <v>67.5</v>
      </c>
      <c r="D13" t="s">
        <v>91</v>
      </c>
      <c r="E13" s="23">
        <v>36.2</v>
      </c>
      <c r="F13" s="23">
        <v>0.84</v>
      </c>
      <c r="G13" s="23">
        <v>585.8</v>
      </c>
      <c r="H13" s="23">
        <v>43.1</v>
      </c>
      <c r="I13" t="s">
        <v>92</v>
      </c>
    </row>
    <row r="14" spans="1:9">
      <c r="A14" s="22" t="s">
        <v>93</v>
      </c>
      <c r="B14" s="23">
        <v>467.8</v>
      </c>
      <c r="C14" s="23">
        <v>217.1</v>
      </c>
      <c r="D14" t="s">
        <v>94</v>
      </c>
      <c r="E14" s="23">
        <v>159.5</v>
      </c>
      <c r="F14" s="23">
        <v>3.69</v>
      </c>
      <c r="G14" s="23">
        <v>766.6</v>
      </c>
      <c r="H14" s="23">
        <v>43.1</v>
      </c>
      <c r="I14" t="s">
        <v>95</v>
      </c>
    </row>
    <row r="15" spans="1:9">
      <c r="A15" s="24" t="s">
        <v>96</v>
      </c>
      <c r="B15" s="25">
        <v>485.8</v>
      </c>
      <c r="C15" s="25">
        <v>198.9</v>
      </c>
      <c r="D15" t="s">
        <v>97</v>
      </c>
      <c r="E15" s="25">
        <v>133.6</v>
      </c>
      <c r="F15" s="25">
        <v>3.07</v>
      </c>
      <c r="G15" s="25">
        <v>868</v>
      </c>
      <c r="H15" s="25">
        <v>43.6</v>
      </c>
    </row>
    <row r="17" spans="1:4">
      <c r="A17" s="4" t="s">
        <v>98</v>
      </c>
      <c r="B17" s="4"/>
      <c r="C17" s="4"/>
      <c r="D17" s="4"/>
    </row>
    <row r="18" spans="1:4">
      <c r="A18" s="9" t="s">
        <v>99</v>
      </c>
      <c r="B18" s="9" t="s">
        <v>100</v>
      </c>
      <c r="C18" s="9" t="s">
        <v>101</v>
      </c>
      <c r="D18" s="9" t="s">
        <v>102</v>
      </c>
    </row>
    <row r="19" spans="1:4">
      <c r="A19" t="s">
        <v>103</v>
      </c>
      <c r="B19" s="12">
        <v>0.0182</v>
      </c>
      <c r="C19" s="12">
        <v>-0.1224</v>
      </c>
      <c r="D19" s="12">
        <v>0.1443</v>
      </c>
    </row>
    <row r="20" spans="1:4">
      <c r="A20" t="s">
        <v>68</v>
      </c>
      <c r="B20" s="12">
        <v>0.0176</v>
      </c>
      <c r="C20" s="12">
        <v>-0.2206</v>
      </c>
      <c r="D20" s="12">
        <v>0.1662</v>
      </c>
    </row>
    <row r="21" spans="1:4">
      <c r="A21" t="s">
        <v>69</v>
      </c>
      <c r="B21" s="12">
        <v>0.0168</v>
      </c>
      <c r="C21" s="12">
        <v>-0.2144</v>
      </c>
      <c r="D21" s="12">
        <v>0.1778</v>
      </c>
    </row>
    <row r="22" spans="1:4">
      <c r="A22" t="s">
        <v>104</v>
      </c>
      <c r="B22" s="12">
        <v>0.1271</v>
      </c>
      <c r="C22" s="12">
        <v>0.0803</v>
      </c>
      <c r="D22" s="12">
        <v>0.1742</v>
      </c>
    </row>
    <row r="24" spans="1:4">
      <c r="A24" s="10" t="s">
        <v>105</v>
      </c>
      <c r="B24" s="12">
        <v>0.1271</v>
      </c>
      <c r="C24" t="s">
        <v>106</v>
      </c>
    </row>
    <row r="25" spans="1:4">
      <c r="A25" s="10" t="s">
        <v>59</v>
      </c>
      <c r="B25" s="3" t="s">
        <v>108</v>
      </c>
      <c r="C25" s="3"/>
      <c r="D25" s="3"/>
    </row>
  </sheetData>
  <mergeCells count="1">
    <mergeCell ref="B25:D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DCF Model</vt:lpstr>
      <vt:lpstr>Sensitivity</vt:lpstr>
      <vt:lpstr>Historical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2026-03-11T20:00:19Z</dcterms:created>
  <dcterms:modified xsi:type="dcterms:W3CDTF">2026-03-11T20:00:19Z</dcterms:modified>
</cp:coreProperties>
</file>