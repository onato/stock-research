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cenarios" sheetId="2" r:id="rId2"/>
    <sheet name="Sensitivity" sheetId="3" r:id="rId3"/>
    <sheet name="Historical" sheetId="4" r:id="rId4"/>
  </sheets>
  <calcPr calcId="124519" fullCalcOnLoad="1"/>
</workbook>
</file>

<file path=xl/sharedStrings.xml><?xml version="1.0" encoding="utf-8"?>
<sst xmlns="http://schemas.openxmlformats.org/spreadsheetml/2006/main" count="221" uniqueCount="164">
  <si>
    <t>FLOW TRADERS (FLOW.AS) — DCF Valuation Model</t>
  </si>
  <si>
    <t>Valuation Date: 2026-06-29  |  EUR millions unless stated  |  Gray cells = INPUTS</t>
  </si>
  <si>
    <t>CYCLICALITY WARNING: Flow Traders earnings are driven by market volatility (VIX). Base case anchored to FY2025 mid-cycle net profit EUR 133.6m — NOT Q1-2026 annualised peak (~EUR 200m+). WACC 11% reflects earnings unpredictability. Bear case (EUR 16.72/share) is a plausible near-term outcome.</t>
  </si>
  <si>
    <t>KEY INPUTS</t>
  </si>
  <si>
    <t>(gray = adjustable)</t>
  </si>
  <si>
    <t>Current Stock Price (EUR)</t>
  </si>
  <si>
    <t>Shares Outstanding (m)</t>
  </si>
  <si>
    <t>Cash &amp; Equivalents (EUR m)</t>
  </si>
  <si>
    <t>Total Debt (EUR m)</t>
  </si>
  <si>
    <t>Net Debt (= Debt - Cash)</t>
  </si>
  <si>
    <t>Trading Capital (EUR m)</t>
  </si>
  <si>
    <t>Base Year Net Profit (EUR m)</t>
  </si>
  <si>
    <t>WACC (Base Scenario)</t>
  </si>
  <si>
    <t>Terminal Growth Rate (Base)</t>
  </si>
  <si>
    <t>Price fetched live Yahoo Finance (2026-06-29)</t>
  </si>
  <si>
    <t>BASE CASE — NET PROFIT GROWTH RATES (Y1-Y5)</t>
  </si>
  <si>
    <t>Y1</t>
  </si>
  <si>
    <t>Y2</t>
  </si>
  <si>
    <t>Y3</t>
  </si>
  <si>
    <t>Y4</t>
  </si>
  <si>
    <t>Y5</t>
  </si>
  <si>
    <t>Growth Rate</t>
  </si>
  <si>
    <t>Note: base growth rates are INPUTS — adjust cells C20:G20</t>
  </si>
  <si>
    <t>BASE CASE PROJECTIONS</t>
  </si>
  <si>
    <t>Y0 (Base)</t>
  </si>
  <si>
    <t>Net Profit (EUR m)</t>
  </si>
  <si>
    <t>Discount Factor (1/(1+WACC)^n)</t>
  </si>
  <si>
    <t>PV of Net Profit (EUR m)</t>
  </si>
  <si>
    <t>VALUATION SUMMARY</t>
  </si>
  <si>
    <t>Sum of PV of Net Profits</t>
  </si>
  <si>
    <t>Terminal NP (Y5 x (1 + terminal g))</t>
  </si>
  <si>
    <t>Terminal Value (Gordon Growth)</t>
  </si>
  <si>
    <t>PV of Terminal Value</t>
  </si>
  <si>
    <t>Enterprise Value</t>
  </si>
  <si>
    <t>Less: Net Debt (EUR m)</t>
  </si>
  <si>
    <t>Equity Value</t>
  </si>
  <si>
    <t>INTRINSIC VALUE / SHARE</t>
  </si>
  <si>
    <t>Upside to Intrinsic Value</t>
  </si>
  <si>
    <t>ENTRY PRICE (15% CAGR Target)</t>
  </si>
  <si>
    <t>Terminal Value per Share</t>
  </si>
  <si>
    <t>Entry Price to earn 15% CAGR over 5yr</t>
  </si>
  <si>
    <t>Entry Price vs Current (negative = buy)</t>
  </si>
  <si>
    <t>SCENARIO SUMMARY</t>
  </si>
  <si>
    <t>Scenario</t>
  </si>
  <si>
    <t>Intrinsic Value</t>
  </si>
  <si>
    <t>Upside</t>
  </si>
  <si>
    <t>Bull Case</t>
  </si>
  <si>
    <t>Base Case</t>
  </si>
  <si>
    <t>Bear Case</t>
  </si>
  <si>
    <t>Probability-Weighted IV</t>
  </si>
  <si>
    <t>Bull 25% / Base 50% / Bear 25%</t>
  </si>
  <si>
    <t>CURRENT MARKET CONTEXT</t>
  </si>
  <si>
    <t>Current Price</t>
  </si>
  <si>
    <t>EUR 25.58</t>
  </si>
  <si>
    <t>Market Cap</t>
  </si>
  <si>
    <t>EUR 1123m</t>
  </si>
  <si>
    <t>EV at Current</t>
  </si>
  <si>
    <t>EUR 1301m</t>
  </si>
  <si>
    <t>P/E FY2025</t>
  </si>
  <si>
    <t>8.3x</t>
  </si>
  <si>
    <t>P/E Q1-26 ann.</t>
  </si>
  <si>
    <t>5.6x</t>
  </si>
  <si>
    <t>EV/NTI FY2025</t>
  </si>
  <si>
    <t>2.68x</t>
  </si>
  <si>
    <t>Price/Book (Q1-26)</t>
  </si>
  <si>
    <t>1.22x</t>
  </si>
  <si>
    <t>Book Value/Share</t>
  </si>
  <si>
    <t>EUR 20.92</t>
  </si>
  <si>
    <t>Net Debt</t>
  </si>
  <si>
    <t>EUR 178m</t>
  </si>
  <si>
    <t>CYCLICALITY NOTE
NTI history:
  FY2019: EUR 216m
  FY2020: EUR 933m (COVID - exclude)
  FY2021: EUR 384m
  FY2022: EUR 460m
  FY2023: EUR 300m (low vol)
  FY2024: EUR 468m
  FY2025: EUR 486m &lt;- DCF anchor
  Q1-26: EUR 156m (1 quarter)
Q2-2026: muted (VIX -29% YoY)</t>
  </si>
  <si>
    <t>WACC RATIONALE
Base (11%):
  RFR 3.5% (German Bund)
  ERP 5.5%
  Beta ~1.3 (cyclical)
  Small-cap prem 0.5%
Bull (10%): tailwinds reduce
  cyclical risk perception
Bear (13%): materialized
  cyclical &amp; leverage risk</t>
  </si>
  <si>
    <t>FLOW TRADERS — Bull &amp; Bear Scenario Projections</t>
  </si>
  <si>
    <t>Reference data — not formula-linked to DCF Model inputs. Current Price EUR 25.58</t>
  </si>
  <si>
    <t>BULL CASE</t>
  </si>
  <si>
    <t>—</t>
  </si>
  <si>
    <t>Discount Factor</t>
  </si>
  <si>
    <t>Sum PV of Net Profits</t>
  </si>
  <si>
    <t>Terminal Value (EUR m)</t>
  </si>
  <si>
    <t>Equity Value (EUR m)</t>
  </si>
  <si>
    <t>Upside from EUR 25.58</t>
  </si>
  <si>
    <t>Entry Price (15% CAGR)</t>
  </si>
  <si>
    <t>WACC 10% | TG 3.5% | Base NP EUR 140.0m</t>
  </si>
  <si>
    <t>BEAR CASE</t>
  </si>
  <si>
    <t>WACC 13% | TG 2% | Base NP EUR 100.0m</t>
  </si>
  <si>
    <t>ENTRY PRICE COMPARISON</t>
  </si>
  <si>
    <t>Entry Price (15%)</t>
  </si>
  <si>
    <t>vs Entry</t>
  </si>
  <si>
    <t>Negative "vs Entry" = current price is BELOW entry price = favorable entry for 15% CAGR target</t>
  </si>
  <si>
    <t>FLOW TRADERS — Sensitivity Analysis</t>
  </si>
  <si>
    <t>Base: NP EUR 133.6m, Growth 10/9/8/7/6%, Net Debt EUR 178m, Shares 43.9m</t>
  </si>
  <si>
    <t>Intrinsic Value per Share (EUR). Current Price EUR 25.58. GREEN &gt; 20% above current, YELLOW 0-20% above, RED below current.</t>
  </si>
  <si>
    <t>INTRINSIC VALUE — WACC vs Terminal Growth</t>
  </si>
  <si>
    <t>WACC \ Term G</t>
  </si>
  <si>
    <t>Color guide:</t>
  </si>
  <si>
    <t>GREEN</t>
  </si>
  <si>
    <t>&gt; 20% above current price</t>
  </si>
  <si>
    <t>YELLOW</t>
  </si>
  <si>
    <t>0-20% above current price</t>
  </si>
  <si>
    <t>RED</t>
  </si>
  <si>
    <t>Below current price (downside)</t>
  </si>
  <si>
    <t>The market (EUR 25.58) implies WACC ~12-13% — i.e., the market prices in very high risk or very low terminal growth for Flow Traders. Base case WACC of 11% would imply ~EUR 44/share on these assumptions.</t>
  </si>
  <si>
    <t>ENTRY PRICE — WACC vs Terminal Growth (15% CAGR Target)</t>
  </si>
  <si>
    <t>Entry price to earn 15% annualised CAGR to terminal value over 5 years.</t>
  </si>
  <si>
    <t>GREEN = entry price &gt; 10% above current EUR 25.58 — already priced below 15%-CAGR threshold.</t>
  </si>
  <si>
    <t>FLOW TRADERS — Historical Data &amp; Valuation Sanity Check</t>
  </si>
  <si>
    <t>Basis for growth rate selection and anchor earnings. FY2020 COVID spike excluded from trend analysis.</t>
  </si>
  <si>
    <t>NTI &amp; NET PROFIT HISTORY</t>
  </si>
  <si>
    <t>Year</t>
  </si>
  <si>
    <t>NTI (EUR m)</t>
  </si>
  <si>
    <t>Notes</t>
  </si>
  <si>
    <t>FY2019</t>
  </si>
  <si>
    <t>Pre-COVID normal year</t>
  </si>
  <si>
    <t>FY2020</t>
  </si>
  <si>
    <t>COVID VOLATILITY PEAK — extreme outlier, exclude from trends</t>
  </si>
  <si>
    <t>FY2021</t>
  </si>
  <si>
    <t>Post-COVID normalization</t>
  </si>
  <si>
    <t>FY2022</t>
  </si>
  <si>
    <t>Elevated volatility (Ukraine war, rate hikes)</t>
  </si>
  <si>
    <t>FY2023</t>
  </si>
  <si>
    <t>Low-vol trough — this is the bear case reference</t>
  </si>
  <si>
    <t>FY2024</t>
  </si>
  <si>
    <t>Recovery; above mid-cycle</t>
  </si>
  <si>
    <t>FY2025</t>
  </si>
  <si>
    <t>Mid-cycle anchor — used as DCF base earnings</t>
  </si>
  <si>
    <t>Q1-2026</t>
  </si>
  <si>
    <t>Strong quarter (VIX elevated); annualised ~EUR 624m NTI — NOT used as DCF anchor</t>
  </si>
  <si>
    <t>HISTORICAL GROWTH RATES</t>
  </si>
  <si>
    <t>Metric</t>
  </si>
  <si>
    <t>3-Year CAGR</t>
  </si>
  <si>
    <t>5-Year CAGR</t>
  </si>
  <si>
    <t>Comment</t>
  </si>
  <si>
    <t>NTI (Revenue)</t>
  </si>
  <si>
    <t>FY22-&gt;FY25; FY20-&gt;FY25 (COVID base)</t>
  </si>
  <si>
    <t>EPS</t>
  </si>
  <si>
    <t>Shareholders Equity</t>
  </si>
  <si>
    <t>FY22-&gt;FY25 — PRIMARY ANCHOR</t>
  </si>
  <si>
    <t>Net Profit</t>
  </si>
  <si>
    <t>NTI 6yr ex-COVID (FY19-&gt;FY25)</t>
  </si>
  <si>
    <t>Structural growth ex-COVID anomaly</t>
  </si>
  <si>
    <t>Equity 3yr incl Q1-2026 (3.25yr)</t>
  </si>
  <si>
    <t>Confirms equity compounding trend intact</t>
  </si>
  <si>
    <t>Mid-Cycle NP Avg (FY21-FY25)</t>
  </si>
  <si>
    <t>EUR 114m — below FY2025 DCF anchor (EUR 133.6m); confirms anchor is mid-cycle</t>
  </si>
  <si>
    <t>SANITY CHECK — IMPLIED MULTIPLES</t>
  </si>
  <si>
    <t>At Current Price</t>
  </si>
  <si>
    <t>At Base IV (EUR 44.38)</t>
  </si>
  <si>
    <t>Historical Range / Benchmark</t>
  </si>
  <si>
    <t>P/E (vs FY2025 EPS EUR 3.07)</t>
  </si>
  <si>
    <t>14.5x</t>
  </si>
  <si>
    <t>5-12x (ex-COVID) | Virtu 12-14x</t>
  </si>
  <si>
    <t>EV/NTI (vs FY2025 NTI EUR 486m)</t>
  </si>
  <si>
    <t>4.38x</t>
  </si>
  <si>
    <t>Typical 1.5-3.0x</t>
  </si>
  <si>
    <t>Price/Book (Q1-2026 equity)</t>
  </si>
  <si>
    <t>2.12x</t>
  </si>
  <si>
    <t>Historical 0.8-2.5x</t>
  </si>
  <si>
    <t>Terminal-Year P/E (base IV)</t>
  </si>
  <si>
    <t>9.9x</t>
  </si>
  <si>
    <t>Conservative; 9-10x reasonable</t>
  </si>
  <si>
    <t>Auto-Fix Applied:</t>
  </si>
  <si>
    <t>No — assumptions already conservative</t>
  </si>
  <si>
    <t>The base IV of EUR 44.38 implies 14.5x FY2025 EPS at the implied price — at the upper end of the historical 5-12x range. However, this is applied to FY2025 (a mid-cycle year) and the terminal-year implied P/E is only 9.9x — a reasonable and conservative exit multiple for a sustained business. The EV/NTI of 4.38x at base IV is elevated versus Flow Traders' typical 1.5-3.0x historical EV/NTI; this reflects the terminal-value-heavy nature of DCF on a business with rising retained equity. No auto-fix applied: the growth rates (10/9/8/7/6%) are anchored to mid-cycle FY2025 NP of EUR 133.6m, NOT to Q1-2026 annualised run-rate of EUR 201m+, and the WACC of 11% is already elevated vs peers to reflect cyclicality. The bear case IV of EUR 16.72 and bear P/B of 0.80x provides a credible downside anchor. EV/NTI would be unrealistic IF applied to peak-Q1-2026-annualised earnings — but it is not.</t>
  </si>
  <si>
    <t>Flow Traders is a market-making firm with NO recurring revenue, NO client AuM, and earnings that can swing 30-50% within a single quarter based purely on market volatility. Standard DCF methodology is applied but with the following disciplined constraints: (1) Earnings anchor is FY2025 net profit of EUR 133.6m — a mid-cycle year that is above the EUR 114m FY2021-FY2025 average but well below both the FY2020 COVID peak (EUR 465m) and the Q1-2026 annualised run-rate (EUR ~200m+); (2) WACC is set at 11-13% across scenarios, materially above the 8-10% used for stable businesses, to compensate for earnings unpredictability; (3) Terminal growth of 2-3.5% reflects the structural ETP industry tailwind but not a perpetuation of peak-vol conditions; (4) The bear case (EUR 16.72, -34.6% from current) is explicitly modelled on FY2023-like NTI conditions with a rising fixed cost base — this is a fully plausible near-term outcome if VIX remains suppressed. Investors should treat the base IV of EUR 44.38 as a mid-cycle fair value, not a near-term price target, and must be comfortable owning through periods where the stock may trade at or below the bear-case IV.</t>
  </si>
</sst>
</file>

<file path=xl/styles.xml><?xml version="1.0" encoding="utf-8"?>
<styleSheet xmlns="http://schemas.openxmlformats.org/spreadsheetml/2006/main">
  <numFmts count="4">
    <numFmt numFmtId="164" formatCode="&quot;EUR &quot;#,##0.00"/>
    <numFmt numFmtId="165" formatCode="#,##0.0"/>
    <numFmt numFmtId="166" formatCode="0.0%"/>
    <numFmt numFmtId="167" formatCode="&quot;EUR &quot;#,##0.0"/>
  </numFmts>
  <fonts count="14">
    <font>
      <sz val="11"/>
      <color theme="1"/>
      <name val="Calibri"/>
      <family val="2"/>
      <scheme val="minor"/>
    </font>
    <font>
      <b/>
      <sz val="16"/>
      <color rgb="FF2D3436"/>
      <name val="Calibri"/>
      <family val="2"/>
      <scheme val="minor"/>
    </font>
    <font>
      <i/>
      <sz val="10"/>
      <color rgb="FF636E72"/>
      <name val="Calibri"/>
      <family val="2"/>
      <scheme val="minor"/>
    </font>
    <font>
      <b/>
      <sz val="9"/>
      <color rgb="FF2D343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rgb="FF636E72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i/>
      <sz val="9"/>
      <color rgb="FF0984E3"/>
      <name val="Calibri"/>
      <family val="2"/>
      <scheme val="minor"/>
    </font>
    <font>
      <sz val="11"/>
      <color rgb="FF2D3436"/>
      <name val="Calibri"/>
      <family val="2"/>
      <scheme val="minor"/>
    </font>
    <font>
      <i/>
      <sz val="8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DCB6E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0984E3"/>
        <bgColor indexed="64"/>
      </patternFill>
    </fill>
    <fill>
      <patternFill patternType="solid">
        <fgColor rgb="FFD63031"/>
        <bgColor indexed="64"/>
      </patternFill>
    </fill>
    <fill>
      <patternFill patternType="solid">
        <fgColor rgb="FF6C5CE7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F7675"/>
        <bgColor indexed="64"/>
      </patternFill>
    </fill>
    <fill>
      <patternFill patternType="solid">
        <fgColor rgb="FF636E72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E8F4F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4" fillId="3" borderId="2" xfId="0" applyFont="1" applyFill="1" applyBorder="1"/>
    <xf numFmtId="0" fontId="5" fillId="3" borderId="2" xfId="0" applyFont="1" applyFill="1" applyBorder="1"/>
    <xf numFmtId="164" fontId="0" fillId="4" borderId="1" xfId="0" applyNumberFormat="1" applyFill="1" applyBorder="1" applyAlignment="1">
      <alignment horizontal="right"/>
    </xf>
    <xf numFmtId="0" fontId="6" fillId="5" borderId="1" xfId="0" applyFont="1" applyFill="1" applyBorder="1" applyAlignment="1">
      <alignment horizontal="center"/>
    </xf>
    <xf numFmtId="165" fontId="0" fillId="4" borderId="1" xfId="0" applyNumberFormat="1" applyFill="1" applyBorder="1" applyAlignment="1">
      <alignment horizontal="right"/>
    </xf>
    <xf numFmtId="0" fontId="6" fillId="6" borderId="1" xfId="0" applyFont="1" applyFill="1" applyBorder="1" applyAlignment="1">
      <alignment horizontal="center"/>
    </xf>
    <xf numFmtId="164" fontId="6" fillId="6" borderId="1" xfId="0" applyNumberFormat="1" applyFont="1" applyFill="1" applyBorder="1" applyAlignment="1">
      <alignment horizontal="right"/>
    </xf>
    <xf numFmtId="166" fontId="6" fillId="6" borderId="1" xfId="0" applyNumberFormat="1" applyFont="1" applyFill="1" applyBorder="1" applyAlignment="1">
      <alignment horizontal="right"/>
    </xf>
    <xf numFmtId="0" fontId="6" fillId="7" borderId="1" xfId="0" applyFont="1" applyFill="1" applyBorder="1" applyAlignment="1">
      <alignment horizontal="center"/>
    </xf>
    <xf numFmtId="164" fontId="6" fillId="7" borderId="1" xfId="0" applyNumberFormat="1" applyFont="1" applyFill="1" applyBorder="1" applyAlignment="1">
      <alignment horizontal="right"/>
    </xf>
    <xf numFmtId="0" fontId="6" fillId="8" borderId="1" xfId="0" applyFont="1" applyFill="1" applyBorder="1" applyAlignment="1">
      <alignment horizontal="center"/>
    </xf>
    <xf numFmtId="164" fontId="6" fillId="8" borderId="1" xfId="0" applyNumberFormat="1" applyFont="1" applyFill="1" applyBorder="1" applyAlignment="1">
      <alignment horizontal="right"/>
    </xf>
    <xf numFmtId="166" fontId="6" fillId="8" borderId="1" xfId="0" applyNumberFormat="1" applyFont="1" applyFill="1" applyBorder="1" applyAlignment="1">
      <alignment horizontal="right"/>
    </xf>
    <xf numFmtId="165" fontId="7" fillId="0" borderId="1" xfId="0" applyNumberFormat="1" applyFont="1" applyBorder="1" applyAlignment="1">
      <alignment horizontal="right"/>
    </xf>
    <xf numFmtId="0" fontId="7" fillId="0" borderId="0" xfId="0" applyFont="1" applyAlignment="1">
      <alignment horizontal="left"/>
    </xf>
    <xf numFmtId="164" fontId="6" fillId="9" borderId="3" xfId="0" applyNumberFormat="1" applyFont="1" applyFill="1" applyBorder="1" applyAlignment="1">
      <alignment horizontal="right"/>
    </xf>
    <xf numFmtId="166" fontId="6" fillId="9" borderId="3" xfId="0" applyNumberFormat="1" applyFont="1" applyFill="1" applyBorder="1" applyAlignment="1">
      <alignment horizontal="right"/>
    </xf>
    <xf numFmtId="0" fontId="8" fillId="0" borderId="0" xfId="0" applyFont="1"/>
    <xf numFmtId="166" fontId="0" fillId="4" borderId="1" xfId="0" applyNumberFormat="1" applyFill="1" applyBorder="1" applyAlignment="1">
      <alignment horizontal="right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right"/>
    </xf>
    <xf numFmtId="0" fontId="9" fillId="10" borderId="1" xfId="0" applyFont="1" applyFill="1" applyBorder="1" applyAlignment="1">
      <alignment vertical="top" wrapText="1"/>
    </xf>
    <xf numFmtId="0" fontId="0" fillId="0" borderId="1" xfId="0" applyBorder="1"/>
    <xf numFmtId="0" fontId="9" fillId="3" borderId="1" xfId="0" applyFont="1" applyFill="1" applyBorder="1" applyAlignment="1">
      <alignment vertical="top" wrapText="1"/>
    </xf>
    <xf numFmtId="166" fontId="6" fillId="9" borderId="1" xfId="0" applyNumberFormat="1" applyFont="1" applyFill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  <xf numFmtId="166" fontId="0" fillId="0" borderId="1" xfId="0" applyNumberFormat="1" applyBorder="1" applyAlignment="1">
      <alignment horizontal="right"/>
    </xf>
    <xf numFmtId="166" fontId="10" fillId="6" borderId="1" xfId="0" applyNumberFormat="1" applyFont="1" applyFill="1" applyBorder="1" applyAlignment="1">
      <alignment horizontal="right"/>
    </xf>
    <xf numFmtId="166" fontId="10" fillId="11" borderId="1" xfId="0" applyNumberFormat="1" applyFont="1" applyFill="1" applyBorder="1" applyAlignment="1">
      <alignment horizontal="right"/>
    </xf>
    <xf numFmtId="166" fontId="6" fillId="5" borderId="1" xfId="0" applyNumberFormat="1" applyFont="1" applyFill="1" applyBorder="1" applyAlignment="1">
      <alignment horizontal="center"/>
    </xf>
    <xf numFmtId="166" fontId="6" fillId="12" borderId="1" xfId="0" applyNumberFormat="1" applyFont="1" applyFill="1" applyBorder="1" applyAlignment="1">
      <alignment horizontal="center"/>
    </xf>
    <xf numFmtId="167" fontId="10" fillId="6" borderId="1" xfId="0" applyNumberFormat="1" applyFont="1" applyFill="1" applyBorder="1" applyAlignment="1">
      <alignment horizontal="center"/>
    </xf>
    <xf numFmtId="0" fontId="6" fillId="6" borderId="1" xfId="0" applyFont="1" applyFill="1" applyBorder="1"/>
    <xf numFmtId="0" fontId="4" fillId="2" borderId="1" xfId="0" applyFont="1" applyFill="1" applyBorder="1"/>
    <xf numFmtId="0" fontId="6" fillId="11" borderId="1" xfId="0" applyFont="1" applyFill="1" applyBorder="1"/>
    <xf numFmtId="0" fontId="11" fillId="0" borderId="0" xfId="0" applyFont="1" applyAlignment="1">
      <alignment wrapText="1"/>
    </xf>
    <xf numFmtId="167" fontId="12" fillId="2" borderId="1" xfId="0" applyNumberFormat="1" applyFont="1" applyFill="1" applyBorder="1" applyAlignment="1">
      <alignment horizontal="center"/>
    </xf>
    <xf numFmtId="167" fontId="10" fillId="11" borderId="1" xfId="0" applyNumberFormat="1" applyFont="1" applyFill="1" applyBorder="1" applyAlignment="1">
      <alignment horizontal="center"/>
    </xf>
    <xf numFmtId="0" fontId="13" fillId="0" borderId="1" xfId="0" applyFont="1" applyBorder="1"/>
    <xf numFmtId="0" fontId="0" fillId="10" borderId="1" xfId="0" applyFill="1" applyBorder="1"/>
    <xf numFmtId="165" fontId="0" fillId="10" borderId="1" xfId="0" applyNumberFormat="1" applyFill="1" applyBorder="1" applyAlignment="1">
      <alignment horizontal="right"/>
    </xf>
    <xf numFmtId="0" fontId="13" fillId="10" borderId="1" xfId="0" applyFont="1" applyFill="1" applyBorder="1"/>
    <xf numFmtId="0" fontId="0" fillId="13" borderId="1" xfId="0" applyFill="1" applyBorder="1"/>
    <xf numFmtId="165" fontId="0" fillId="13" borderId="1" xfId="0" applyNumberFormat="1" applyFill="1" applyBorder="1" applyAlignment="1">
      <alignment horizontal="right"/>
    </xf>
    <xf numFmtId="0" fontId="13" fillId="13" borderId="1" xfId="0" applyFont="1" applyFill="1" applyBorder="1"/>
    <xf numFmtId="0" fontId="0" fillId="14" borderId="1" xfId="0" applyFill="1" applyBorder="1"/>
    <xf numFmtId="165" fontId="0" fillId="14" borderId="1" xfId="0" applyNumberFormat="1" applyFill="1" applyBorder="1" applyAlignment="1">
      <alignment horizontal="right"/>
    </xf>
    <xf numFmtId="0" fontId="13" fillId="14" borderId="1" xfId="0" applyFont="1" applyFill="1" applyBorder="1"/>
    <xf numFmtId="0" fontId="5" fillId="1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"/>
  <sheetViews>
    <sheetView tabSelected="1" zoomScale="90" zoomScaleNormal="90" workbookViewId="0"/>
  </sheetViews>
  <sheetFormatPr defaultRowHeight="15"/>
  <cols>
    <col min="1" max="1" width="30.7109375" customWidth="1"/>
    <col min="2" max="2" width="16.7109375" customWidth="1"/>
    <col min="3" max="7" width="13.7109375" customWidth="1"/>
    <col min="8" max="8" width="2.7109375" customWidth="1"/>
    <col min="9" max="9" width="26.7109375" customWidth="1"/>
    <col min="10" max="11" width="14.7109375" customWidth="1"/>
  </cols>
  <sheetData>
    <row r="1" spans="1:11">
      <c r="A1" s="1" t="s">
        <v>0</v>
      </c>
    </row>
    <row r="2" spans="1:11">
      <c r="A2" s="2" t="s">
        <v>1</v>
      </c>
    </row>
    <row r="3" spans="1:11" ht="36" customHeight="1">
      <c r="A3" s="3" t="s">
        <v>2</v>
      </c>
      <c r="B3" s="3"/>
      <c r="C3" s="3"/>
      <c r="D3" s="3"/>
      <c r="E3" s="3"/>
      <c r="F3" s="3"/>
      <c r="G3" s="3"/>
    </row>
    <row r="5" spans="1:11">
      <c r="A5" s="4" t="s">
        <v>3</v>
      </c>
      <c r="B5" s="5" t="s">
        <v>4</v>
      </c>
      <c r="I5" s="4" t="s">
        <v>42</v>
      </c>
      <c r="J5" s="4"/>
      <c r="K5" s="4"/>
    </row>
    <row r="6" spans="1:11">
      <c r="A6" t="s">
        <v>5</v>
      </c>
      <c r="B6" s="6">
        <v>25.58</v>
      </c>
      <c r="I6" s="7" t="s">
        <v>43</v>
      </c>
      <c r="J6" s="7" t="s">
        <v>44</v>
      </c>
      <c r="K6" s="7" t="s">
        <v>45</v>
      </c>
    </row>
    <row r="7" spans="1:11">
      <c r="A7" t="s">
        <v>6</v>
      </c>
      <c r="B7" s="8">
        <v>43.9</v>
      </c>
      <c r="I7" s="9" t="s">
        <v>46</v>
      </c>
      <c r="J7" s="10">
        <v>78.26000000000001</v>
      </c>
      <c r="K7" s="11">
        <v>2.059</v>
      </c>
    </row>
    <row r="8" spans="1:11">
      <c r="A8" t="s">
        <v>7</v>
      </c>
      <c r="B8" s="8">
        <v>8</v>
      </c>
      <c r="I8" s="12" t="s">
        <v>47</v>
      </c>
      <c r="J8" s="13">
        <v>44.38</v>
      </c>
      <c r="K8" s="11">
        <v>0.735</v>
      </c>
    </row>
    <row r="9" spans="1:11">
      <c r="A9" t="s">
        <v>8</v>
      </c>
      <c r="B9" s="8">
        <v>186</v>
      </c>
      <c r="I9" s="14" t="s">
        <v>48</v>
      </c>
      <c r="J9" s="15">
        <v>16.72</v>
      </c>
      <c r="K9" s="16">
        <v>-0.346</v>
      </c>
    </row>
    <row r="10" spans="1:11">
      <c r="A10" t="s">
        <v>9</v>
      </c>
      <c r="B10" s="17">
        <f>B9-B8</f>
        <v>0</v>
      </c>
    </row>
    <row r="11" spans="1:11">
      <c r="A11" t="s">
        <v>10</v>
      </c>
      <c r="B11" s="8">
        <v>1092</v>
      </c>
      <c r="I11" s="18" t="s">
        <v>49</v>
      </c>
      <c r="J11" s="19">
        <v>45.94</v>
      </c>
      <c r="K11" s="20">
        <v>0.7959999999999999</v>
      </c>
    </row>
    <row r="12" spans="1:11">
      <c r="A12" t="s">
        <v>11</v>
      </c>
      <c r="B12" s="8">
        <v>133.6</v>
      </c>
      <c r="I12" s="21" t="s">
        <v>50</v>
      </c>
    </row>
    <row r="14" spans="1:11">
      <c r="A14" t="s">
        <v>12</v>
      </c>
      <c r="B14" s="22">
        <v>0.11</v>
      </c>
      <c r="I14" s="4" t="s">
        <v>51</v>
      </c>
      <c r="J14" s="4"/>
      <c r="K14" s="4"/>
    </row>
    <row r="15" spans="1:11">
      <c r="A15" t="s">
        <v>13</v>
      </c>
      <c r="B15" s="22">
        <v>0.03</v>
      </c>
      <c r="I15" t="s">
        <v>52</v>
      </c>
      <c r="J15" s="23" t="s">
        <v>53</v>
      </c>
    </row>
    <row r="16" spans="1:11">
      <c r="A16" s="21" t="s">
        <v>14</v>
      </c>
      <c r="I16" t="s">
        <v>54</v>
      </c>
      <c r="J16" s="23" t="s">
        <v>55</v>
      </c>
    </row>
    <row r="17" spans="1:11">
      <c r="I17" t="s">
        <v>56</v>
      </c>
      <c r="J17" s="23" t="s">
        <v>57</v>
      </c>
    </row>
    <row r="18" spans="1:11">
      <c r="A18" s="4" t="s">
        <v>15</v>
      </c>
      <c r="B18" s="4"/>
      <c r="C18" s="4"/>
      <c r="D18" s="4"/>
      <c r="E18" s="4"/>
      <c r="F18" s="4"/>
      <c r="I18" t="s">
        <v>58</v>
      </c>
      <c r="J18" s="23" t="s">
        <v>59</v>
      </c>
    </row>
    <row r="19" spans="1:11">
      <c r="A19" s="7"/>
      <c r="B19" s="7" t="s">
        <v>16</v>
      </c>
      <c r="C19" s="7" t="s">
        <v>17</v>
      </c>
      <c r="D19" s="7" t="s">
        <v>18</v>
      </c>
      <c r="E19" s="7" t="s">
        <v>19</v>
      </c>
      <c r="F19" s="7" t="s">
        <v>20</v>
      </c>
      <c r="I19" t="s">
        <v>60</v>
      </c>
      <c r="J19" s="23" t="s">
        <v>61</v>
      </c>
    </row>
    <row r="20" spans="1:11">
      <c r="A20" t="s">
        <v>21</v>
      </c>
      <c r="B20" s="22">
        <v>0.1</v>
      </c>
      <c r="C20" s="22">
        <v>0.09</v>
      </c>
      <c r="D20" s="22">
        <v>0.08</v>
      </c>
      <c r="E20" s="22">
        <v>0.07000000000000001</v>
      </c>
      <c r="F20" s="22">
        <v>0.06</v>
      </c>
      <c r="I20" t="s">
        <v>62</v>
      </c>
      <c r="J20" s="23" t="s">
        <v>63</v>
      </c>
    </row>
    <row r="21" spans="1:11">
      <c r="A21" s="21" t="s">
        <v>22</v>
      </c>
      <c r="I21" t="s">
        <v>64</v>
      </c>
      <c r="J21" s="23" t="s">
        <v>65</v>
      </c>
    </row>
    <row r="22" spans="1:11">
      <c r="I22" t="s">
        <v>66</v>
      </c>
      <c r="J22" s="23" t="s">
        <v>67</v>
      </c>
    </row>
    <row r="23" spans="1:11">
      <c r="A23" s="4" t="s">
        <v>23</v>
      </c>
      <c r="B23" s="4"/>
      <c r="C23" s="4"/>
      <c r="D23" s="4"/>
      <c r="E23" s="4"/>
      <c r="F23" s="4"/>
      <c r="G23" s="4"/>
      <c r="I23" t="s">
        <v>68</v>
      </c>
      <c r="J23" s="23" t="s">
        <v>69</v>
      </c>
    </row>
    <row r="24" spans="1:11">
      <c r="A24" s="7"/>
      <c r="B24" s="7" t="s">
        <v>24</v>
      </c>
      <c r="C24" s="7" t="s">
        <v>16</v>
      </c>
      <c r="D24" s="7" t="s">
        <v>17</v>
      </c>
      <c r="E24" s="7" t="s">
        <v>18</v>
      </c>
      <c r="F24" s="7" t="s">
        <v>19</v>
      </c>
      <c r="G24" s="7" t="s">
        <v>20</v>
      </c>
    </row>
    <row r="25" spans="1:11">
      <c r="A25" t="s">
        <v>25</v>
      </c>
      <c r="B25" s="24">
        <f>B12</f>
        <v>0</v>
      </c>
      <c r="C25" s="24">
        <f>C25*(1+C20)</f>
        <v>0</v>
      </c>
      <c r="D25" s="24">
        <f>D25*(1+D20)</f>
        <v>0</v>
      </c>
      <c r="E25" s="24">
        <f>E25*(1+E20)</f>
        <v>0</v>
      </c>
      <c r="F25" s="24">
        <f>F25*(1+F20)</f>
        <v>0</v>
      </c>
      <c r="G25" s="24">
        <f>G25*(1+G20)</f>
        <v>0</v>
      </c>
      <c r="I25" s="25" t="s">
        <v>70</v>
      </c>
      <c r="J25" s="25"/>
      <c r="K25" s="25"/>
    </row>
    <row r="26" spans="1:11">
      <c r="A26" t="s">
        <v>26</v>
      </c>
      <c r="B26" s="26"/>
      <c r="C26" s="24">
        <f>1/(1+$B$14)^1</f>
        <v>0</v>
      </c>
      <c r="D26" s="24">
        <f>1/(1+$B$14)^2</f>
        <v>0</v>
      </c>
      <c r="E26" s="24">
        <f>1/(1+$B$14)^3</f>
        <v>0</v>
      </c>
      <c r="F26" s="24">
        <f>1/(1+$B$14)^4</f>
        <v>0</v>
      </c>
      <c r="G26" s="24">
        <f>1/(1+$B$14)^5</f>
        <v>0</v>
      </c>
      <c r="I26" s="25"/>
      <c r="J26" s="25"/>
      <c r="K26" s="25"/>
    </row>
    <row r="27" spans="1:11">
      <c r="A27" t="s">
        <v>27</v>
      </c>
      <c r="B27" s="26"/>
      <c r="C27" s="24">
        <f>D25*D26</f>
        <v>0</v>
      </c>
      <c r="D27" s="24">
        <f>E25*E26</f>
        <v>0</v>
      </c>
      <c r="E27" s="24">
        <f>F25*F26</f>
        <v>0</v>
      </c>
      <c r="F27" s="24">
        <f>G25*G26</f>
        <v>0</v>
      </c>
      <c r="G27" s="24">
        <f>H25*H26</f>
        <v>0</v>
      </c>
      <c r="I27" s="25"/>
      <c r="J27" s="25"/>
      <c r="K27" s="25"/>
    </row>
    <row r="28" spans="1:11">
      <c r="I28" s="25"/>
      <c r="J28" s="25"/>
      <c r="K28" s="25"/>
    </row>
    <row r="29" spans="1:11">
      <c r="A29" s="4" t="s">
        <v>28</v>
      </c>
      <c r="B29" s="4"/>
      <c r="I29" s="25"/>
      <c r="J29" s="25"/>
      <c r="K29" s="25"/>
    </row>
    <row r="30" spans="1:11">
      <c r="A30" t="s">
        <v>29</v>
      </c>
      <c r="B30" s="17">
        <f>SUM(D27:H27)</f>
        <v>0</v>
      </c>
      <c r="I30" s="25"/>
      <c r="J30" s="25"/>
      <c r="K30" s="25"/>
    </row>
    <row r="31" spans="1:11">
      <c r="A31" t="s">
        <v>30</v>
      </c>
      <c r="B31" s="24">
        <f>H25*(1+$B$15)</f>
        <v>0</v>
      </c>
      <c r="I31" s="25"/>
      <c r="J31" s="25"/>
      <c r="K31" s="25"/>
    </row>
    <row r="32" spans="1:11">
      <c r="A32" t="s">
        <v>31</v>
      </c>
      <c r="B32" s="24">
        <f>B31/($B$14-$B$15)</f>
        <v>0</v>
      </c>
      <c r="I32" s="25"/>
      <c r="J32" s="25"/>
      <c r="K32" s="25"/>
    </row>
    <row r="33" spans="1:11">
      <c r="A33" t="s">
        <v>32</v>
      </c>
      <c r="B33" s="17">
        <f>B32*H26</f>
        <v>0</v>
      </c>
    </row>
    <row r="34" spans="1:11">
      <c r="A34" t="s">
        <v>33</v>
      </c>
      <c r="B34" s="17">
        <f>B30+B33</f>
        <v>0</v>
      </c>
      <c r="I34" s="27" t="s">
        <v>71</v>
      </c>
      <c r="J34" s="27"/>
      <c r="K34" s="27"/>
    </row>
    <row r="35" spans="1:11">
      <c r="A35" t="s">
        <v>34</v>
      </c>
      <c r="B35" s="24">
        <f>B10</f>
        <v>0</v>
      </c>
      <c r="I35" s="27"/>
      <c r="J35" s="27"/>
      <c r="K35" s="27"/>
    </row>
    <row r="36" spans="1:11">
      <c r="A36" t="s">
        <v>35</v>
      </c>
      <c r="B36" s="17">
        <f>B34-B35</f>
        <v>0</v>
      </c>
      <c r="I36" s="27"/>
      <c r="J36" s="27"/>
      <c r="K36" s="27"/>
    </row>
    <row r="37" spans="1:11">
      <c r="A37" s="18" t="s">
        <v>36</v>
      </c>
      <c r="B37" s="10">
        <f>B36/B7</f>
        <v>0</v>
      </c>
      <c r="I37" s="27"/>
      <c r="J37" s="27"/>
      <c r="K37" s="27"/>
    </row>
    <row r="38" spans="1:11">
      <c r="A38" t="s">
        <v>37</v>
      </c>
      <c r="B38" s="28">
        <f>(B37-B6)/B6</f>
        <v>0</v>
      </c>
      <c r="I38" s="27"/>
      <c r="J38" s="27"/>
      <c r="K38" s="27"/>
    </row>
    <row r="39" spans="1:11">
      <c r="I39" s="27"/>
      <c r="J39" s="27"/>
      <c r="K39" s="27"/>
    </row>
    <row r="40" spans="1:11">
      <c r="A40" s="4" t="s">
        <v>38</v>
      </c>
      <c r="B40" s="4"/>
      <c r="I40" s="27"/>
      <c r="J40" s="27"/>
      <c r="K40" s="27"/>
    </row>
    <row r="41" spans="1:11">
      <c r="A41" t="s">
        <v>39</v>
      </c>
      <c r="B41" s="29">
        <f>B32/B7</f>
        <v>0</v>
      </c>
      <c r="I41" s="27"/>
      <c r="J41" s="27"/>
      <c r="K41" s="27"/>
    </row>
    <row r="42" spans="1:11">
      <c r="A42" t="s">
        <v>40</v>
      </c>
      <c r="B42" s="13">
        <f>B41/(1.15^5)</f>
        <v>0</v>
      </c>
      <c r="I42" s="27"/>
      <c r="J42" s="27"/>
      <c r="K42" s="27"/>
    </row>
    <row r="43" spans="1:11">
      <c r="A43" t="s">
        <v>41</v>
      </c>
      <c r="B43" s="28">
        <f>(B6-B42)/B42</f>
        <v>0</v>
      </c>
      <c r="I43" s="27"/>
      <c r="J43" s="27"/>
      <c r="K43" s="27"/>
    </row>
  </sheetData>
  <mergeCells count="3">
    <mergeCell ref="A3:G3"/>
    <mergeCell ref="I25:K32"/>
    <mergeCell ref="I34:K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5"/>
  <sheetViews>
    <sheetView zoomScale="90" zoomScaleNormal="90" workbookViewId="0"/>
  </sheetViews>
  <sheetFormatPr defaultRowHeight="15"/>
  <cols>
    <col min="1" max="1" width="28.7109375" customWidth="1"/>
    <col min="2" max="7" width="13.7109375" customWidth="1"/>
  </cols>
  <sheetData>
    <row r="1" spans="1:7">
      <c r="A1" s="1" t="s">
        <v>72</v>
      </c>
    </row>
    <row r="2" spans="1:7">
      <c r="A2" s="2" t="s">
        <v>73</v>
      </c>
    </row>
    <row r="4" spans="1:7">
      <c r="A4" s="9" t="s">
        <v>74</v>
      </c>
      <c r="B4" s="9"/>
      <c r="C4" s="9"/>
      <c r="D4" s="9"/>
      <c r="E4" s="9"/>
      <c r="F4" s="9"/>
      <c r="G4" s="9"/>
    </row>
    <row r="5" spans="1:7">
      <c r="A5" s="7"/>
      <c r="B5" s="7" t="s">
        <v>24</v>
      </c>
      <c r="C5" s="7" t="s">
        <v>16</v>
      </c>
      <c r="D5" s="7" t="s">
        <v>17</v>
      </c>
      <c r="E5" s="7" t="s">
        <v>18</v>
      </c>
      <c r="F5" s="7" t="s">
        <v>19</v>
      </c>
      <c r="G5" s="7" t="s">
        <v>20</v>
      </c>
    </row>
    <row r="6" spans="1:7">
      <c r="A6" t="s">
        <v>21</v>
      </c>
      <c r="B6" s="30" t="s">
        <v>75</v>
      </c>
      <c r="C6" s="31">
        <v>0.2</v>
      </c>
      <c r="D6" s="31">
        <v>0.18</v>
      </c>
      <c r="E6" s="31">
        <v>0.15</v>
      </c>
      <c r="F6" s="31">
        <v>0.12</v>
      </c>
      <c r="G6" s="31">
        <v>0.1</v>
      </c>
    </row>
    <row r="7" spans="1:7">
      <c r="A7" t="s">
        <v>25</v>
      </c>
      <c r="B7" s="24">
        <v>140</v>
      </c>
      <c r="C7" s="24">
        <v>168</v>
      </c>
      <c r="D7" s="24">
        <v>198.2</v>
      </c>
      <c r="E7" s="24">
        <v>228</v>
      </c>
      <c r="F7" s="24">
        <v>255.3</v>
      </c>
      <c r="G7" s="24">
        <v>280.9</v>
      </c>
    </row>
    <row r="8" spans="1:7">
      <c r="A8" t="s">
        <v>76</v>
      </c>
      <c r="B8" s="30" t="s">
        <v>75</v>
      </c>
      <c r="C8" s="24">
        <v>0.9091</v>
      </c>
      <c r="D8" s="24">
        <v>0.8264</v>
      </c>
      <c r="E8" s="24">
        <v>0.7513</v>
      </c>
      <c r="F8" s="24">
        <v>0.6830000000000001</v>
      </c>
      <c r="G8" s="24">
        <v>0.6209</v>
      </c>
    </row>
    <row r="9" spans="1:7">
      <c r="A9" t="s">
        <v>27</v>
      </c>
      <c r="B9" s="30" t="s">
        <v>75</v>
      </c>
      <c r="C9" s="24">
        <v>152.7</v>
      </c>
      <c r="D9" s="24">
        <v>163.8</v>
      </c>
      <c r="E9" s="24">
        <v>171.3</v>
      </c>
      <c r="F9" s="24">
        <v>174.4</v>
      </c>
      <c r="G9" s="24">
        <v>174.4</v>
      </c>
    </row>
    <row r="11" spans="1:7">
      <c r="A11" s="18" t="s">
        <v>77</v>
      </c>
      <c r="B11" s="17">
        <v>836.6</v>
      </c>
    </row>
    <row r="12" spans="1:7">
      <c r="A12" s="18" t="s">
        <v>78</v>
      </c>
      <c r="B12" s="24">
        <v>4472.8</v>
      </c>
    </row>
    <row r="13" spans="1:7">
      <c r="A13" s="18" t="s">
        <v>32</v>
      </c>
      <c r="B13" s="17">
        <v>2777.2</v>
      </c>
    </row>
    <row r="14" spans="1:7">
      <c r="A14" s="18" t="s">
        <v>33</v>
      </c>
      <c r="B14" s="17">
        <v>3613.8</v>
      </c>
    </row>
    <row r="15" spans="1:7">
      <c r="A15" s="18" t="s">
        <v>34</v>
      </c>
      <c r="B15" s="24">
        <v>178</v>
      </c>
    </row>
    <row r="16" spans="1:7">
      <c r="A16" s="18" t="s">
        <v>79</v>
      </c>
      <c r="B16" s="17">
        <v>3435.8</v>
      </c>
    </row>
    <row r="17" spans="1:7">
      <c r="A17" s="18" t="s">
        <v>36</v>
      </c>
      <c r="B17" s="10">
        <v>78.26000000000001</v>
      </c>
    </row>
    <row r="18" spans="1:7">
      <c r="A18" s="18" t="s">
        <v>80</v>
      </c>
      <c r="B18" s="11">
        <v>2.059</v>
      </c>
    </row>
    <row r="19" spans="1:7">
      <c r="A19" s="18" t="s">
        <v>81</v>
      </c>
      <c r="B19" s="10">
        <v>50.66</v>
      </c>
    </row>
    <row r="20" spans="1:7">
      <c r="A20" s="21" t="s">
        <v>82</v>
      </c>
    </row>
    <row r="23" spans="1:7">
      <c r="A23" s="14" t="s">
        <v>83</v>
      </c>
      <c r="B23" s="14"/>
      <c r="C23" s="14"/>
      <c r="D23" s="14"/>
      <c r="E23" s="14"/>
      <c r="F23" s="14"/>
      <c r="G23" s="14"/>
    </row>
    <row r="24" spans="1:7">
      <c r="A24" s="7"/>
      <c r="B24" s="7" t="s">
        <v>24</v>
      </c>
      <c r="C24" s="7" t="s">
        <v>16</v>
      </c>
      <c r="D24" s="7" t="s">
        <v>17</v>
      </c>
      <c r="E24" s="7" t="s">
        <v>18</v>
      </c>
      <c r="F24" s="7" t="s">
        <v>19</v>
      </c>
      <c r="G24" s="7" t="s">
        <v>20</v>
      </c>
    </row>
    <row r="25" spans="1:7">
      <c r="A25" t="s">
        <v>21</v>
      </c>
      <c r="B25" s="30" t="s">
        <v>75</v>
      </c>
      <c r="C25" s="31">
        <v>0.02</v>
      </c>
      <c r="D25" s="31">
        <v>0.01</v>
      </c>
      <c r="E25" s="31">
        <v>0.01</v>
      </c>
      <c r="F25" s="31">
        <v>0.02</v>
      </c>
      <c r="G25" s="31">
        <v>0.02</v>
      </c>
    </row>
    <row r="26" spans="1:7">
      <c r="A26" t="s">
        <v>25</v>
      </c>
      <c r="B26" s="24">
        <v>100</v>
      </c>
      <c r="C26" s="24">
        <v>102</v>
      </c>
      <c r="D26" s="24">
        <v>103</v>
      </c>
      <c r="E26" s="24">
        <v>104.1</v>
      </c>
      <c r="F26" s="24">
        <v>106.1</v>
      </c>
      <c r="G26" s="24">
        <v>108.3</v>
      </c>
    </row>
    <row r="27" spans="1:7">
      <c r="A27" t="s">
        <v>76</v>
      </c>
      <c r="B27" s="30" t="s">
        <v>75</v>
      </c>
      <c r="C27" s="24">
        <v>0.885</v>
      </c>
      <c r="D27" s="24">
        <v>0.7831</v>
      </c>
      <c r="E27" s="24">
        <v>0.6931</v>
      </c>
      <c r="F27" s="24">
        <v>0.6133</v>
      </c>
      <c r="G27" s="24">
        <v>0.5427999999999999</v>
      </c>
    </row>
    <row r="28" spans="1:7">
      <c r="A28" t="s">
        <v>27</v>
      </c>
      <c r="B28" s="30" t="s">
        <v>75</v>
      </c>
      <c r="C28" s="24">
        <v>90.3</v>
      </c>
      <c r="D28" s="24">
        <v>80.7</v>
      </c>
      <c r="E28" s="24">
        <v>72.2</v>
      </c>
      <c r="F28" s="24">
        <v>65.09999999999999</v>
      </c>
      <c r="G28" s="24">
        <v>58.8</v>
      </c>
    </row>
    <row r="30" spans="1:7">
      <c r="A30" s="18" t="s">
        <v>77</v>
      </c>
      <c r="B30" s="17">
        <v>367.1</v>
      </c>
    </row>
    <row r="31" spans="1:7">
      <c r="A31" s="18" t="s">
        <v>78</v>
      </c>
      <c r="B31" s="24">
        <v>1004.2</v>
      </c>
    </row>
    <row r="32" spans="1:7">
      <c r="A32" s="18" t="s">
        <v>32</v>
      </c>
      <c r="B32" s="17">
        <v>545.1</v>
      </c>
    </row>
    <row r="33" spans="1:5">
      <c r="A33" s="18" t="s">
        <v>33</v>
      </c>
      <c r="B33" s="17">
        <v>912.2</v>
      </c>
    </row>
    <row r="34" spans="1:5">
      <c r="A34" s="18" t="s">
        <v>34</v>
      </c>
      <c r="B34" s="24">
        <v>178</v>
      </c>
    </row>
    <row r="35" spans="1:5">
      <c r="A35" s="18" t="s">
        <v>79</v>
      </c>
      <c r="B35" s="17">
        <v>734.2</v>
      </c>
    </row>
    <row r="36" spans="1:5">
      <c r="A36" s="18" t="s">
        <v>36</v>
      </c>
      <c r="B36" s="15">
        <v>16.72</v>
      </c>
    </row>
    <row r="37" spans="1:5">
      <c r="A37" s="18" t="s">
        <v>80</v>
      </c>
      <c r="B37" s="16">
        <v>-0.346</v>
      </c>
    </row>
    <row r="38" spans="1:5">
      <c r="A38" s="18" t="s">
        <v>81</v>
      </c>
      <c r="B38" s="15">
        <v>11.37</v>
      </c>
    </row>
    <row r="39" spans="1:5">
      <c r="A39" s="21" t="s">
        <v>84</v>
      </c>
    </row>
    <row r="40" spans="1:5">
      <c r="A40" s="4" t="s">
        <v>85</v>
      </c>
    </row>
    <row r="41" spans="1:5">
      <c r="A41" s="7" t="s">
        <v>43</v>
      </c>
      <c r="B41" s="7" t="s">
        <v>44</v>
      </c>
      <c r="C41" s="7" t="s">
        <v>86</v>
      </c>
      <c r="D41" s="7" t="s">
        <v>52</v>
      </c>
      <c r="E41" s="7" t="s">
        <v>87</v>
      </c>
    </row>
    <row r="42" spans="1:5">
      <c r="A42" t="s">
        <v>46</v>
      </c>
      <c r="B42" s="29">
        <v>78.26000000000001</v>
      </c>
      <c r="C42" s="29">
        <v>50.66</v>
      </c>
      <c r="D42" s="29">
        <v>25.58</v>
      </c>
      <c r="E42" s="32">
        <v>-0.495</v>
      </c>
    </row>
    <row r="43" spans="1:5">
      <c r="A43" t="s">
        <v>47</v>
      </c>
      <c r="B43" s="29">
        <v>44.38</v>
      </c>
      <c r="C43" s="29">
        <v>28.61</v>
      </c>
      <c r="D43" s="29">
        <v>25.58</v>
      </c>
      <c r="E43" s="32">
        <v>-0.106</v>
      </c>
    </row>
    <row r="44" spans="1:5">
      <c r="A44" t="s">
        <v>48</v>
      </c>
      <c r="B44" s="29">
        <v>16.72</v>
      </c>
      <c r="C44" s="29">
        <v>11.37</v>
      </c>
      <c r="D44" s="29">
        <v>25.58</v>
      </c>
      <c r="E44" s="33">
        <v>1.25</v>
      </c>
    </row>
    <row r="45" spans="1:5">
      <c r="A45" s="21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zoomScale="90" zoomScaleNormal="90" workbookViewId="0"/>
  </sheetViews>
  <sheetFormatPr defaultRowHeight="15"/>
  <cols>
    <col min="1" max="1" width="18.7109375" customWidth="1"/>
    <col min="2" max="6" width="14.7109375" customWidth="1"/>
  </cols>
  <sheetData>
    <row r="1" spans="1:6">
      <c r="A1" s="1" t="s">
        <v>89</v>
      </c>
    </row>
    <row r="2" spans="1:6">
      <c r="A2" s="2" t="s">
        <v>90</v>
      </c>
    </row>
    <row r="3" spans="1:6">
      <c r="A3" s="21" t="s">
        <v>91</v>
      </c>
    </row>
    <row r="5" spans="1:6">
      <c r="A5" s="4" t="s">
        <v>92</v>
      </c>
      <c r="B5" s="4"/>
      <c r="C5" s="4"/>
      <c r="D5" s="4"/>
      <c r="E5" s="4"/>
      <c r="F5" s="4"/>
    </row>
    <row r="6" spans="1:6">
      <c r="A6" s="7" t="s">
        <v>93</v>
      </c>
      <c r="B6" s="34">
        <v>0.02</v>
      </c>
      <c r="C6" s="34">
        <v>0.025</v>
      </c>
      <c r="D6" s="34">
        <v>0.03</v>
      </c>
      <c r="E6" s="34">
        <v>0.035</v>
      </c>
      <c r="F6" s="34">
        <v>0.04</v>
      </c>
    </row>
    <row r="7" spans="1:6">
      <c r="A7" s="35">
        <v>0.09</v>
      </c>
      <c r="B7" s="36">
        <v>53.35</v>
      </c>
      <c r="C7" s="36">
        <v>56.83</v>
      </c>
      <c r="D7" s="36">
        <v>60.89</v>
      </c>
      <c r="E7" s="36">
        <v>65.69</v>
      </c>
      <c r="F7" s="36">
        <v>71.45</v>
      </c>
    </row>
    <row r="8" spans="1:6">
      <c r="A8" s="35">
        <v>0.1</v>
      </c>
      <c r="B8" s="36">
        <v>46.01</v>
      </c>
      <c r="C8" s="36">
        <v>48.55</v>
      </c>
      <c r="D8" s="36">
        <v>51.46</v>
      </c>
      <c r="E8" s="36">
        <v>54.81</v>
      </c>
      <c r="F8" s="36">
        <v>58.73</v>
      </c>
    </row>
    <row r="9" spans="1:6">
      <c r="A9" s="35">
        <v>0.11</v>
      </c>
      <c r="B9" s="36">
        <v>40.3</v>
      </c>
      <c r="C9" s="36">
        <v>42.22</v>
      </c>
      <c r="D9" s="36">
        <v>44.39</v>
      </c>
      <c r="E9" s="36">
        <v>46.84</v>
      </c>
      <c r="F9" s="36">
        <v>49.64</v>
      </c>
    </row>
    <row r="10" spans="1:6">
      <c r="A10" s="35">
        <v>0.12</v>
      </c>
      <c r="B10" s="36">
        <v>35.73</v>
      </c>
      <c r="C10" s="36">
        <v>37.23</v>
      </c>
      <c r="D10" s="36">
        <v>38.89</v>
      </c>
      <c r="E10" s="36">
        <v>40.75</v>
      </c>
      <c r="F10" s="36">
        <v>42.83</v>
      </c>
    </row>
    <row r="11" spans="1:6">
      <c r="A11" s="35">
        <v>0.13</v>
      </c>
      <c r="B11" s="36">
        <v>32</v>
      </c>
      <c r="C11" s="36">
        <v>33.19</v>
      </c>
      <c r="D11" s="36">
        <v>34.5</v>
      </c>
      <c r="E11" s="36">
        <v>35.94</v>
      </c>
      <c r="F11" s="36">
        <v>37.54</v>
      </c>
    </row>
    <row r="13" spans="1:6">
      <c r="A13" s="18" t="s">
        <v>94</v>
      </c>
      <c r="B13" s="37" t="s">
        <v>95</v>
      </c>
      <c r="C13" s="21" t="s">
        <v>96</v>
      </c>
    </row>
    <row r="14" spans="1:6">
      <c r="B14" s="38" t="s">
        <v>97</v>
      </c>
      <c r="C14" s="21" t="s">
        <v>98</v>
      </c>
    </row>
    <row r="15" spans="1:6">
      <c r="B15" s="39" t="s">
        <v>99</v>
      </c>
      <c r="C15" s="21" t="s">
        <v>100</v>
      </c>
    </row>
    <row r="17" spans="1:6" ht="30" customHeight="1">
      <c r="A17" s="40" t="s">
        <v>101</v>
      </c>
    </row>
    <row r="19" spans="1:6">
      <c r="A19" s="4" t="s">
        <v>102</v>
      </c>
      <c r="B19" s="4"/>
      <c r="C19" s="4"/>
      <c r="D19" s="4"/>
      <c r="E19" s="4"/>
      <c r="F19" s="4"/>
    </row>
    <row r="20" spans="1:6">
      <c r="A20" s="21" t="s">
        <v>103</v>
      </c>
    </row>
    <row r="21" spans="1:6">
      <c r="A21" s="7" t="s">
        <v>93</v>
      </c>
      <c r="B21" s="34">
        <v>0.02</v>
      </c>
      <c r="C21" s="34">
        <v>0.025</v>
      </c>
      <c r="D21" s="34">
        <v>0.03</v>
      </c>
      <c r="E21" s="34">
        <v>0.035</v>
      </c>
      <c r="F21" s="34">
        <v>0.04</v>
      </c>
    </row>
    <row r="22" spans="1:6">
      <c r="A22" s="35">
        <v>0.09</v>
      </c>
      <c r="B22" s="36">
        <v>32.38</v>
      </c>
      <c r="C22" s="36">
        <v>35.04</v>
      </c>
      <c r="D22" s="36">
        <v>38.15</v>
      </c>
      <c r="E22" s="36">
        <v>41.82</v>
      </c>
      <c r="F22" s="36">
        <v>46.22</v>
      </c>
    </row>
    <row r="23" spans="1:6">
      <c r="A23" s="35">
        <v>0.1</v>
      </c>
      <c r="B23" s="36">
        <v>28.33</v>
      </c>
      <c r="C23" s="36">
        <v>30.37</v>
      </c>
      <c r="D23" s="36">
        <v>32.7</v>
      </c>
      <c r="E23" s="36">
        <v>35.38</v>
      </c>
      <c r="F23" s="36">
        <v>38.52</v>
      </c>
    </row>
    <row r="24" spans="1:6">
      <c r="A24" s="35">
        <v>0.11</v>
      </c>
      <c r="B24" s="41">
        <v>25.19</v>
      </c>
      <c r="C24" s="41">
        <v>26.8</v>
      </c>
      <c r="D24" s="36">
        <v>28.61</v>
      </c>
      <c r="E24" s="36">
        <v>30.67</v>
      </c>
      <c r="F24" s="36">
        <v>33.02</v>
      </c>
    </row>
    <row r="25" spans="1:6">
      <c r="A25" s="35">
        <v>0.12</v>
      </c>
      <c r="B25" s="42">
        <v>22.67</v>
      </c>
      <c r="C25" s="41">
        <v>23.98</v>
      </c>
      <c r="D25" s="41">
        <v>25.43</v>
      </c>
      <c r="E25" s="41">
        <v>27.06</v>
      </c>
      <c r="F25" s="36">
        <v>28.89</v>
      </c>
    </row>
    <row r="26" spans="1:6">
      <c r="A26" s="35">
        <v>0.13</v>
      </c>
      <c r="B26" s="42">
        <v>20.61</v>
      </c>
      <c r="C26" s="42">
        <v>21.69</v>
      </c>
      <c r="D26" s="42">
        <v>22.89</v>
      </c>
      <c r="E26" s="41">
        <v>24.21</v>
      </c>
      <c r="F26" s="41">
        <v>25.68</v>
      </c>
    </row>
    <row r="28" spans="1:6">
      <c r="A28" s="21" t="s">
        <v>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3"/>
  <sheetViews>
    <sheetView zoomScale="90" zoomScaleNormal="90" workbookViewId="0"/>
  </sheetViews>
  <sheetFormatPr defaultRowHeight="15"/>
  <cols>
    <col min="1" max="1" width="24.7109375" customWidth="1"/>
    <col min="2" max="4" width="15.7109375" customWidth="1"/>
  </cols>
  <sheetData>
    <row r="1" spans="1:4">
      <c r="A1" s="1" t="s">
        <v>105</v>
      </c>
    </row>
    <row r="2" spans="1:4">
      <c r="A2" s="2" t="s">
        <v>106</v>
      </c>
    </row>
    <row r="4" spans="1:4">
      <c r="A4" s="4" t="s">
        <v>107</v>
      </c>
      <c r="B4" s="4"/>
      <c r="C4" s="4"/>
      <c r="D4" s="4"/>
    </row>
    <row r="5" spans="1:4">
      <c r="A5" s="7" t="s">
        <v>108</v>
      </c>
      <c r="B5" s="7" t="s">
        <v>109</v>
      </c>
      <c r="C5" s="7" t="s">
        <v>25</v>
      </c>
      <c r="D5" s="7" t="s">
        <v>110</v>
      </c>
    </row>
    <row r="6" spans="1:4">
      <c r="A6" s="26" t="s">
        <v>111</v>
      </c>
      <c r="B6" s="24">
        <v>216.4</v>
      </c>
      <c r="C6" s="24">
        <v>53.1</v>
      </c>
      <c r="D6" s="43" t="s">
        <v>112</v>
      </c>
    </row>
    <row r="7" spans="1:4">
      <c r="A7" s="44" t="s">
        <v>113</v>
      </c>
      <c r="B7" s="45">
        <v>933.4</v>
      </c>
      <c r="C7" s="45">
        <v>464.5</v>
      </c>
      <c r="D7" s="46" t="s">
        <v>114</v>
      </c>
    </row>
    <row r="8" spans="1:4">
      <c r="A8" s="26" t="s">
        <v>115</v>
      </c>
      <c r="B8" s="24">
        <v>384</v>
      </c>
      <c r="C8" s="24">
        <v>114.9</v>
      </c>
      <c r="D8" s="43" t="s">
        <v>116</v>
      </c>
    </row>
    <row r="9" spans="1:4">
      <c r="A9" s="26" t="s">
        <v>117</v>
      </c>
      <c r="B9" s="24">
        <v>460.2</v>
      </c>
      <c r="C9" s="24">
        <v>126.8</v>
      </c>
      <c r="D9" s="43" t="s">
        <v>118</v>
      </c>
    </row>
    <row r="10" spans="1:4">
      <c r="A10" s="26" t="s">
        <v>119</v>
      </c>
      <c r="B10" s="24">
        <v>300.3</v>
      </c>
      <c r="C10" s="24">
        <v>36.2</v>
      </c>
      <c r="D10" s="43" t="s">
        <v>120</v>
      </c>
    </row>
    <row r="11" spans="1:4">
      <c r="A11" s="26" t="s">
        <v>121</v>
      </c>
      <c r="B11" s="24">
        <v>467.8</v>
      </c>
      <c r="C11" s="24">
        <v>159.5</v>
      </c>
      <c r="D11" s="43" t="s">
        <v>122</v>
      </c>
    </row>
    <row r="12" spans="1:4">
      <c r="A12" s="47" t="s">
        <v>123</v>
      </c>
      <c r="B12" s="48">
        <v>485.8</v>
      </c>
      <c r="C12" s="48">
        <v>133.6</v>
      </c>
      <c r="D12" s="49" t="s">
        <v>124</v>
      </c>
    </row>
    <row r="13" spans="1:4">
      <c r="A13" s="50" t="s">
        <v>125</v>
      </c>
      <c r="B13" s="51">
        <v>155.9</v>
      </c>
      <c r="C13" s="51">
        <v>50.4</v>
      </c>
      <c r="D13" s="52" t="s">
        <v>126</v>
      </c>
    </row>
    <row r="16" spans="1:4">
      <c r="A16" s="4" t="s">
        <v>127</v>
      </c>
      <c r="B16" s="4"/>
      <c r="C16" s="4"/>
      <c r="D16" s="4"/>
    </row>
    <row r="17" spans="1:4">
      <c r="A17" s="7" t="s">
        <v>128</v>
      </c>
      <c r="B17" s="7" t="s">
        <v>129</v>
      </c>
      <c r="C17" s="7" t="s">
        <v>130</v>
      </c>
      <c r="D17" s="7" t="s">
        <v>131</v>
      </c>
    </row>
    <row r="18" spans="1:4">
      <c r="A18" t="s">
        <v>132</v>
      </c>
      <c r="B18" s="31">
        <v>0.0182</v>
      </c>
      <c r="C18" s="33">
        <v>-0.1224</v>
      </c>
      <c r="D18" s="43" t="s">
        <v>133</v>
      </c>
    </row>
    <row r="19" spans="1:4">
      <c r="A19" t="s">
        <v>134</v>
      </c>
      <c r="B19" s="31">
        <v>0.0168</v>
      </c>
      <c r="C19" s="33">
        <v>-0.2144</v>
      </c>
      <c r="D19" s="43" t="s">
        <v>133</v>
      </c>
    </row>
    <row r="20" spans="1:4">
      <c r="A20" t="s">
        <v>135</v>
      </c>
      <c r="B20" s="31">
        <v>0.1271</v>
      </c>
      <c r="C20" s="31">
        <v>0.0803</v>
      </c>
      <c r="D20" s="43" t="s">
        <v>136</v>
      </c>
    </row>
    <row r="21" spans="1:4">
      <c r="A21" t="s">
        <v>137</v>
      </c>
      <c r="B21" s="31">
        <v>0.0176</v>
      </c>
      <c r="C21" s="33">
        <v>-0.2206</v>
      </c>
      <c r="D21" s="43" t="s">
        <v>133</v>
      </c>
    </row>
    <row r="22" spans="1:4">
      <c r="A22" s="18" t="s">
        <v>138</v>
      </c>
      <c r="B22" s="31">
        <v>0.1443</v>
      </c>
      <c r="D22" s="21" t="s">
        <v>139</v>
      </c>
    </row>
    <row r="23" spans="1:4">
      <c r="A23" s="18" t="s">
        <v>140</v>
      </c>
      <c r="B23" s="31">
        <v>0.1363</v>
      </c>
      <c r="D23" s="21" t="s">
        <v>141</v>
      </c>
    </row>
    <row r="24" spans="1:4">
      <c r="A24" s="18" t="s">
        <v>142</v>
      </c>
      <c r="B24" s="24">
        <v>114.2</v>
      </c>
      <c r="D24" s="21" t="s">
        <v>143</v>
      </c>
    </row>
    <row r="26" spans="1:4">
      <c r="A26" s="4" t="s">
        <v>144</v>
      </c>
      <c r="B26" s="4"/>
      <c r="C26" s="4"/>
      <c r="D26" s="4"/>
    </row>
    <row r="27" spans="1:4">
      <c r="A27" s="7" t="s">
        <v>128</v>
      </c>
      <c r="B27" s="7" t="s">
        <v>145</v>
      </c>
      <c r="C27" s="7" t="s">
        <v>146</v>
      </c>
      <c r="D27" s="7" t="s">
        <v>147</v>
      </c>
    </row>
    <row r="28" spans="1:4">
      <c r="A28" t="s">
        <v>148</v>
      </c>
      <c r="B28" s="23" t="s">
        <v>59</v>
      </c>
      <c r="C28" s="23" t="s">
        <v>149</v>
      </c>
      <c r="D28" s="43" t="s">
        <v>150</v>
      </c>
    </row>
    <row r="29" spans="1:4">
      <c r="A29" t="s">
        <v>151</v>
      </c>
      <c r="B29" s="23" t="s">
        <v>63</v>
      </c>
      <c r="C29" s="23" t="s">
        <v>152</v>
      </c>
      <c r="D29" s="43" t="s">
        <v>153</v>
      </c>
    </row>
    <row r="30" spans="1:4">
      <c r="A30" t="s">
        <v>154</v>
      </c>
      <c r="B30" s="23" t="s">
        <v>65</v>
      </c>
      <c r="C30" s="23" t="s">
        <v>155</v>
      </c>
      <c r="D30" s="43" t="s">
        <v>156</v>
      </c>
    </row>
    <row r="31" spans="1:4">
      <c r="A31" t="s">
        <v>157</v>
      </c>
      <c r="B31" s="23" t="s">
        <v>75</v>
      </c>
      <c r="C31" s="23" t="s">
        <v>158</v>
      </c>
      <c r="D31" s="43" t="s">
        <v>159</v>
      </c>
    </row>
    <row r="33" spans="1:4">
      <c r="A33" s="18" t="s">
        <v>160</v>
      </c>
      <c r="B33" s="9" t="s">
        <v>161</v>
      </c>
    </row>
    <row r="34" spans="1:4" ht="90" customHeight="1">
      <c r="A34" s="27" t="s">
        <v>162</v>
      </c>
      <c r="B34" s="27"/>
      <c r="C34" s="27"/>
      <c r="D34" s="27"/>
    </row>
    <row r="35" spans="1:4">
      <c r="A35" s="27"/>
      <c r="B35" s="27"/>
      <c r="C35" s="27"/>
      <c r="D35" s="27"/>
    </row>
    <row r="36" spans="1:4">
      <c r="A36" s="27"/>
      <c r="B36" s="27"/>
      <c r="C36" s="27"/>
      <c r="D36" s="27"/>
    </row>
    <row r="37" spans="1:4">
      <c r="A37" s="27"/>
      <c r="B37" s="27"/>
      <c r="C37" s="27"/>
      <c r="D37" s="27"/>
    </row>
    <row r="38" spans="1:4">
      <c r="A38" s="27"/>
      <c r="B38" s="27"/>
      <c r="C38" s="27"/>
      <c r="D38" s="27"/>
    </row>
    <row r="40" spans="1:4" ht="90" customHeight="1">
      <c r="A40" s="53" t="s">
        <v>163</v>
      </c>
      <c r="B40" s="53"/>
      <c r="C40" s="53"/>
      <c r="D40" s="53"/>
    </row>
    <row r="41" spans="1:4">
      <c r="A41" s="53"/>
      <c r="B41" s="53"/>
      <c r="C41" s="53"/>
      <c r="D41" s="53"/>
    </row>
    <row r="42" spans="1:4">
      <c r="A42" s="53"/>
      <c r="B42" s="53"/>
      <c r="C42" s="53"/>
      <c r="D42" s="53"/>
    </row>
    <row r="43" spans="1:4">
      <c r="A43" s="53"/>
      <c r="B43" s="53"/>
      <c r="C43" s="53"/>
      <c r="D43" s="53"/>
    </row>
  </sheetData>
  <mergeCells count="2">
    <mergeCell ref="A34:D38"/>
    <mergeCell ref="A40:D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DCF Model</vt:lpstr>
      <vt:lpstr>Scenarios</vt:lpstr>
      <vt:lpstr>Sensitivity</vt:lpstr>
      <vt:lpstr>Historical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2026-06-29T05:29:29Z</dcterms:created>
  <dcterms:modified xsi:type="dcterms:W3CDTF">2026-06-29T05:29:29Z</dcterms:modified>
</cp:coreProperties>
</file>