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Historical Financials" sheetId="2" state="visible" r:id="rId4"/>
    <sheet name="DCF Assumptions" sheetId="3" state="visible" r:id="rId5"/>
    <sheet name="Equity Growth Model" sheetId="4" state="visible" r:id="rId6"/>
    <sheet name="DCF Valuation" sheetId="5" state="visible" r:id="rId7"/>
    <sheet name="Sensitivity Analysis" sheetId="6" state="visible" r:id="rId8"/>
    <sheet name="Comparable Analysis" sheetId="7" state="visible" r:id="rId9"/>
    <sheet name="Risks &amp; Cataly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<sst xmlns="http://schemas.openxmlformats.org/spreadsheetml/2006/main" count="350" uniqueCount="314">
  <si>
    <t xml:space="preserve">FLOW TRADERS LTD (FLOW.AS)</t>
  </si>
  <si>
    <t xml:space="preserve">DCF Valuation Model</t>
  </si>
  <si>
    <t xml:space="preserve">January 2026</t>
  </si>
  <si>
    <t xml:space="preserve">Currency: EUR (€)</t>
  </si>
  <si>
    <t xml:space="preserve">COMPANY PROFILE</t>
  </si>
  <si>
    <t xml:space="preserve">Ticker:</t>
  </si>
  <si>
    <t xml:space="preserve">FLOW.AS (Euronext Amsterdam)</t>
  </si>
  <si>
    <t xml:space="preserve">Industry:</t>
  </si>
  <si>
    <t xml:space="preserve">Capital Markets / Market Making</t>
  </si>
  <si>
    <t xml:space="preserve">Business Description:</t>
  </si>
  <si>
    <t xml:space="preserve">Financial technology-enabled multi-asset class liquidity provider</t>
  </si>
  <si>
    <t xml:space="preserve">Headquarters:</t>
  </si>
  <si>
    <t xml:space="preserve">Amsterdam, Netherlands</t>
  </si>
  <si>
    <t xml:space="preserve">Founded:</t>
  </si>
  <si>
    <t xml:space="preserve">Employees:</t>
  </si>
  <si>
    <t xml:space="preserve">MARKET DATA (As of Jan 2026)</t>
  </si>
  <si>
    <t xml:space="preserve">Current Stock Price (€):</t>
  </si>
  <si>
    <t xml:space="preserve">Shares Outstanding (M):</t>
  </si>
  <si>
    <t xml:space="preserve">Market Cap (€M):</t>
  </si>
  <si>
    <t xml:space="preserve">52-Week Range (€):</t>
  </si>
  <si>
    <t xml:space="preserve">21.80 - 31.04</t>
  </si>
  <si>
    <t xml:space="preserve">Beta (5Y Monthly):</t>
  </si>
  <si>
    <t xml:space="preserve">P/E Ratio (TTM):</t>
  </si>
  <si>
    <t xml:space="preserve">EPS (TTM) €:</t>
  </si>
  <si>
    <t xml:space="preserve">KEY INVESTMENT HIGHLIGHTS</t>
  </si>
  <si>
    <t xml:space="preserve">• Leading global ETP market maker (Europe's largest)</t>
  </si>
  <si>
    <t xml:space="preserve">• Benefits from market volatility (counter-cyclical)</t>
  </si>
  <si>
    <t xml:space="preserve">• Expanding into digital assets, fixed income, and FX</t>
  </si>
  <si>
    <t xml:space="preserve">• Strong technology platform with high barriers to entry</t>
  </si>
  <si>
    <t xml:space="preserve">• 2024 was second-best year in company history</t>
  </si>
  <si>
    <t xml:space="preserve">• Capital expansion plan increasing trading capacity</t>
  </si>
  <si>
    <t xml:space="preserve">HISTORICAL FINANCIAL DATA</t>
  </si>
  <si>
    <t xml:space="preserve">All amounts in EUR millions unless otherwise stated</t>
  </si>
  <si>
    <t xml:space="preserve">FY 2021</t>
  </si>
  <si>
    <t xml:space="preserve">FY 2022</t>
  </si>
  <si>
    <t xml:space="preserve">FY 2023</t>
  </si>
  <si>
    <t xml:space="preserve">FY 2024</t>
  </si>
  <si>
    <t xml:space="preserve">H1 2025</t>
  </si>
  <si>
    <t xml:space="preserve">LTM</t>
  </si>
  <si>
    <t xml:space="preserve">INCOME STATEMENT</t>
  </si>
  <si>
    <t xml:space="preserve">Total Income (NTI + Other)</t>
  </si>
  <si>
    <t xml:space="preserve">Net Trading Income</t>
  </si>
  <si>
    <t xml:space="preserve">Fixed Operating Expenses</t>
  </si>
  <si>
    <t xml:space="preserve">Variable Operating Expenses</t>
  </si>
  <si>
    <t xml:space="preserve">Total Operating Expenses</t>
  </si>
  <si>
    <t xml:space="preserve">EBITDA</t>
  </si>
  <si>
    <t xml:space="preserve">EBITDA Margin %</t>
  </si>
  <si>
    <t xml:space="preserve">Net Profit</t>
  </si>
  <si>
    <t xml:space="preserve">Net Margin %</t>
  </si>
  <si>
    <t xml:space="preserve">Diluted EPS (€)</t>
  </si>
  <si>
    <t xml:space="preserve">BALANCE SHEET DATA</t>
  </si>
  <si>
    <t xml:space="preserve">Trading Capital</t>
  </si>
  <si>
    <t xml:space="preserve">Shareholders' Equity</t>
  </si>
  <si>
    <t xml:space="preserve">Return on Equity %</t>
  </si>
  <si>
    <t xml:space="preserve">TRADING METRICS</t>
  </si>
  <si>
    <t xml:space="preserve">ETP Value Traded (€B)</t>
  </si>
  <si>
    <t xml:space="preserve">Avg. VIX</t>
  </si>
  <si>
    <t xml:space="preserve">Return on Trading Capital %</t>
  </si>
  <si>
    <t xml:space="preserve">DCF MODEL ASSUMPTIONS</t>
  </si>
  <si>
    <t xml:space="preserve">REVENUE GROWTH ASSUMPTIONS</t>
  </si>
  <si>
    <t xml:space="preserve">Base Year Total Income (€M) - FY 2024:</t>
  </si>
  <si>
    <t xml:space="preserve">Year 1 Growth Rate (2025):</t>
  </si>
  <si>
    <t xml:space="preserve">Revenue more volatile than equity - use conservative rates</t>
  </si>
  <si>
    <t xml:space="preserve">Year 2 Growth Rate (2026):</t>
  </si>
  <si>
    <t xml:space="preserve">Slightly below historical</t>
  </si>
  <si>
    <t xml:space="preserve">Year 3 Growth Rate (2027):</t>
  </si>
  <si>
    <t xml:space="preserve">Tapering toward steady state</t>
  </si>
  <si>
    <t xml:space="preserve">Year 4 Growth Rate (2028):</t>
  </si>
  <si>
    <t xml:space="preserve">Mature growth</t>
  </si>
  <si>
    <t xml:space="preserve">Year 5 Growth Rate (2029):</t>
  </si>
  <si>
    <t xml:space="preserve">Terminal approach</t>
  </si>
  <si>
    <t xml:space="preserve">MARGIN ASSUMPTIONS</t>
  </si>
  <si>
    <t xml:space="preserve">Target EBITDA Margin:</t>
  </si>
  <si>
    <t xml:space="preserve">Cycle-average (range 22%-45%)</t>
  </si>
  <si>
    <t xml:space="preserve">D&amp;A as % of Revenue:</t>
  </si>
  <si>
    <t xml:space="preserve">Tax Rate:</t>
  </si>
  <si>
    <t xml:space="preserve">Netherlands corporate tax</t>
  </si>
  <si>
    <t xml:space="preserve">CapEx as % of Revenue:</t>
  </si>
  <si>
    <t xml:space="preserve">Low capital intensity</t>
  </si>
  <si>
    <t xml:space="preserve">Change in NWC as % of Revenue Change:</t>
  </si>
  <si>
    <t xml:space="preserve">WACC ASSUMPTIONS</t>
  </si>
  <si>
    <t xml:space="preserve">Risk-Free Rate:</t>
  </si>
  <si>
    <t xml:space="preserve">10Y German Bund</t>
  </si>
  <si>
    <t xml:space="preserve">Equity Risk Premium:</t>
  </si>
  <si>
    <t xml:space="preserve">European market premium</t>
  </si>
  <si>
    <t xml:space="preserve">Beta (Levered):</t>
  </si>
  <si>
    <t xml:space="preserve">Adjusted for earnings volatility</t>
  </si>
  <si>
    <t xml:space="preserve">Cost of Equity (CAPM):</t>
  </si>
  <si>
    <t xml:space="preserve">Rf + Beta × ERP</t>
  </si>
  <si>
    <t xml:space="preserve">Cost of Debt (Pre-tax):</t>
  </si>
  <si>
    <t xml:space="preserve">Cost of Debt (After-tax):</t>
  </si>
  <si>
    <t xml:space="preserve">Debt Weight:</t>
  </si>
  <si>
    <t xml:space="preserve">Target capital structure</t>
  </si>
  <si>
    <t xml:space="preserve">Equity Weight:</t>
  </si>
  <si>
    <t xml:space="preserve">WACC:</t>
  </si>
  <si>
    <t xml:space="preserve">TERMINAL VALUE ASSUMPTIONS</t>
  </si>
  <si>
    <t xml:space="preserve">Terminal Growth Rate:</t>
  </si>
  <si>
    <t xml:space="preserve">Conservative long-term growth</t>
  </si>
  <si>
    <t xml:space="preserve">NOTES ON BETA</t>
  </si>
  <si>
    <t xml:space="preserve">Flow Traders has an unusually low beta (0.19) because:</t>
  </si>
  <si>
    <t xml:space="preserve">• Market makers benefit from volatility</t>
  </si>
  <si>
    <t xml:space="preserve">• When markets decline, volatility increases, boosting trading profits</t>
  </si>
  <si>
    <t xml:space="preserve">• This counter-cyclical nature provides portfolio diversification</t>
  </si>
  <si>
    <t xml:space="preserve">• However, this may understate true systematic risk</t>
  </si>
  <si>
    <t xml:space="preserve">• Consider using industry beta (0.8-1.2) for sensitivity analysis</t>
  </si>
  <si>
    <t xml:space="preserve">NOTE: Using industry beta (0.90) instead of reported (0.19) for more realistic valuation</t>
  </si>
  <si>
    <t xml:space="preserve">GROWTH RATE RATIONALE</t>
  </si>
  <si>
    <t xml:space="preserve">• 10-year equity CAGR: ~18% (remarkably consistent)</t>
  </si>
  <si>
    <t xml:space="preserve">• Equity growth driven by retained earnings across volatility cycles</t>
  </si>
  <si>
    <t xml:space="preserve">• Revenue/NTI volatile YoY but compounds with equity over time</t>
  </si>
  <si>
    <t xml:space="preserve">• Using 18% Y1 declining to 8% Y5 = conservative vs. history</t>
  </si>
  <si>
    <t xml:space="preserve">• Key insight: Focus on equity compounding, not annual profit swings</t>
  </si>
  <si>
    <t xml:space="preserve">EQUITY GROWTH VALUATION MODEL</t>
  </si>
  <si>
    <t xml:space="preserve">Based on 10-year historical equity CAGR of ~18%</t>
  </si>
  <si>
    <t xml:space="preserve">HISTORICAL SHAREHOLDERS' EQUITY</t>
  </si>
  <si>
    <t xml:space="preserve">Year</t>
  </si>
  <si>
    <t xml:space="preserve">Equity (€M)</t>
  </si>
  <si>
    <t xml:space="preserve">YoY Growth</t>
  </si>
  <si>
    <t xml:space="preserve">2015 (IPO)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</si>
  <si>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</si>
  <si>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</si>
  <si>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</si>
  <si>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</si>
  <si>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</si>
  <si>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</si>
  <si>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</si>
  <si>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</si>
  <si>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</si>
  <si>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10-Year CAGR (2015-2025):</t>
  </si>
  <si>
    <t xml:space="preserve">PROJECTION ASSUMPTIONS</t>
  </si>
  <si>
    <t xml:space="preserve">Current Equity (H1 2025, €M):</t>
  </si>
  <si>
    <t xml:space="preserve">Assumed Equity Growth Rate:</t>
  </si>
  <si>
    <t xml:space="preserve">Conservative vs. 18% historical</t>
  </si>
  <si>
    <t xml:space="preserve">Cost of Equity:</t>
  </si>
  <si>
    <t xml:space="preserve">EQUITY PROJECTIONS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</si>
  <si>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</si>
  <si>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</si>
  <si>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</si>
  <si>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</si>
  <si>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</si>
  <si>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</si>
  <si>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</si>
  <si>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</si>
  <si>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</si>
  <si>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</si>
  <si>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</si>
  <si>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</si>
  <si>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</si>
  <si>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TV</t>
  </si>
  <si>
    <t xml:space="preserve">EXCESS RETURNS VALUATION</t>
  </si>
  <si>
    <t xml:space="preserve">(Value = Book + PV of Future Excess Returns)</t>
  </si>
  <si>
    <t xml:space="preserve">ROE (Equity Growth Rate):</t>
  </si>
  <si>
    <t xml:space="preserve">Excess ROE Spread:</t>
  </si>
  <si>
    <t xml:space="preserve">Excess Earnings (€M)</t>
  </si>
  <si>
    <t xml:space="preserve">Terminal Value of Excess Returns</t>
  </si>
  <si>
    <t xml:space="preserve">Discount Factor</t>
  </si>
  <si>
    <t xml:space="preserve">PV of Excess Earnings</t>
  </si>
  <si>
    <t xml:space="preserve">PV of Terminal Excess Returns</t>
  </si>
  <si>
    <t xml:space="preserve">VALUATION SUMMARY</t>
  </si>
  <si>
    <t xml:space="preserve">Current Book Value (€M):</t>
  </si>
  <si>
    <t xml:space="preserve">PV of Excess Returns (Years 1-5):</t>
  </si>
  <si>
    <t xml:space="preserve">PV of Terminal Excess Returns:</t>
  </si>
  <si>
    <t xml:space="preserve">Total Equity Value (€M):</t>
  </si>
  <si>
    <t xml:space="preserve">Implied Share Price (€):</t>
  </si>
  <si>
    <t xml:space="preserve">Current Share Price (€):</t>
  </si>
  <si>
    <t xml:space="preserve">Upside / (Downside):</t>
  </si>
  <si>
    <t xml:space="preserve">ALTERNATIVE: PRICE-TO-BOOK APPROACH</t>
  </si>
  <si>
    <t xml:space="preserve">Current Book Value per Share (€):</t>
  </si>
  <si>
    <t xml:space="preserve">Justified P/B = (ROE - g) / (CoE - g):</t>
  </si>
  <si>
    <t xml:space="preserve">P/B Implied Price (€):</t>
  </si>
  <si>
    <t xml:space="preserve">Current P/B Multiple:</t>
  </si>
  <si>
    <t xml:space="preserve">NOTES</t>
  </si>
  <si>
    <t xml:space="preserve">• This model values Flow Traders based on sustainable equity compounding</t>
  </si>
  <si>
    <t xml:space="preserve">• Key insight: Revenue/profits are volatile, but equity growth is stable (~18% CAGR)</t>
  </si>
  <si>
    <t xml:space="preserve">• The excess returns model captures value creation above cost of capital</t>
  </si>
  <si>
    <t xml:space="preserve">• Current P/B of ~1.4x vs. justified P/B suggests potential undervaluation</t>
  </si>
  <si>
    <t xml:space="preserve">• Using 15% growth (conservative) vs. 18% historical to build in margin of safety</t>
  </si>
  <si>
    <t xml:space="preserve">DISCOUNTED CASH FLOW VALUATION</t>
  </si>
  <si>
    <t xml:space="preserve">Base</t>
  </si>
  <si>
    <t xml:space="preserve">FY 2025E</t>
  </si>
  <si>
    <t xml:space="preserve">FY 2026E</t>
  </si>
  <si>
    <t xml:space="preserve">FY 2027E</t>
  </si>
  <si>
    <t xml:space="preserve">FY 2028E</t>
  </si>
  <si>
    <t xml:space="preserve">FY 2029E</t>
  </si>
  <si>
    <t xml:space="preserve">REVENUE PROJECTIONS</t>
  </si>
  <si>
    <t xml:space="preserve">Total Income (€M)</t>
  </si>
  <si>
    <t xml:space="preserve">Growth Rate</t>
  </si>
  <si>
    <t xml:space="preserve">-</t>
  </si>
  <si>
    <t xml:space="preserve">EBITDA CALCULATION</t>
  </si>
  <si>
    <t xml:space="preserve">EBITDA Margin</t>
  </si>
  <si>
    <t xml:space="preserve">FREE CASH FLOW CALCULATION</t>
  </si>
  <si>
    <t xml:space="preserve">Less: D&amp;A</t>
  </si>
  <si>
    <t xml:space="preserve">EBIT</t>
  </si>
  <si>
    <t xml:space="preserve">Less: Taxes</t>
  </si>
  <si>
    <t xml:space="preserve">NOPAT (EBIAT)</t>
  </si>
  <si>
    <t xml:space="preserve">Add: D&amp;A</t>
  </si>
  <si>
    <t xml:space="preserve">Less: CapEx</t>
  </si>
  <si>
    <t xml:space="preserve">Less: Change in NWC</t>
  </si>
  <si>
    <t xml:space="preserve">Unlevered Free Cash Flow</t>
  </si>
  <si>
    <t xml:space="preserve">TERMINAL VALUE</t>
  </si>
  <si>
    <t xml:space="preserve">Terminal FCF (Year 5 * (1+g))</t>
  </si>
  <si>
    <t xml:space="preserve">Terminal Value (Gordon Growth)</t>
  </si>
  <si>
    <t xml:space="preserve">PRESENT VALUE CALCULATION</t>
  </si>
  <si>
    <t xml:space="preserve">WACC</t>
  </si>
  <si>
    <t xml:space="preserve">PV of FCF</t>
  </si>
  <si>
    <t xml:space="preserve">PV of Terminal Value</t>
  </si>
  <si>
    <t xml:space="preserve">Sum of PV of FCFs</t>
  </si>
  <si>
    <t xml:space="preserve">Enterprise Value</t>
  </si>
  <si>
    <t xml:space="preserve">EQUITY VALUE</t>
  </si>
  <si>
    <t xml:space="preserve">Less: Net Debt (estimated)</t>
  </si>
  <si>
    <t xml:space="preserve">Flow Traders has net cash position</t>
  </si>
  <si>
    <t xml:space="preserve">Equity Value</t>
  </si>
  <si>
    <t xml:space="preserve">Shares Outstanding (M)</t>
  </si>
  <si>
    <t xml:space="preserve">Implied Share Price (€)</t>
  </si>
  <si>
    <t xml:space="preserve">Current Share Price (€)</t>
  </si>
  <si>
    <t xml:space="preserve">Upside / (Downside) %</t>
  </si>
  <si>
    <t xml:space="preserve">SENSITIVITY ANALYSIS</t>
  </si>
  <si>
    <t xml:space="preserve">IMPLIED SHARE PRICE SENSITIVITY</t>
  </si>
  <si>
    <t xml:space="preserve">WACC vs. Terminal Growth Rate</t>
  </si>
  <si>
    <t xml:space="preserve">Terminal Growth Rate</t>
  </si>
  <si>
    <t xml:space="preserve">REVENUE GROWTH SENSITIVITY</t>
  </si>
  <si>
    <t xml:space="preserve">Impact of Year 1 Growth Rate on Implied Share Price</t>
  </si>
  <si>
    <t xml:space="preserve">Y1 Growth</t>
  </si>
  <si>
    <t xml:space="preserve">Implied Price</t>
  </si>
  <si>
    <t xml:space="preserve">% Diff</t>
  </si>
  <si>
    <t xml:space="preserve">-20%</t>
  </si>
  <si>
    <t xml:space="preserve">-12%</t>
  </si>
  <si>
    <t xml:space="preserve">10%</t>
  </si>
  <si>
    <t xml:space="preserve">25%</t>
  </si>
  <si>
    <t xml:space="preserve">BETA SENSITIVITY</t>
  </si>
  <si>
    <t xml:space="preserve">Impact of Beta on WACC and Implied Price</t>
  </si>
  <si>
    <t xml:space="preserve">Beta</t>
  </si>
  <si>
    <t xml:space="preserve">Cost of Equity</t>
  </si>
  <si>
    <t xml:space="preserve">NOTE: The reported beta of 0.19 may understate risk. Industry beta typically 0.8-1.2.</t>
  </si>
  <si>
    <t xml:space="preserve">COMPARABLE COMPANY ANALYSIS</t>
  </si>
  <si>
    <t xml:space="preserve">SELECTED COMPARABLES</t>
  </si>
  <si>
    <t xml:space="preserve">Company</t>
  </si>
  <si>
    <t xml:space="preserve">Ticker</t>
  </si>
  <si>
    <t xml:space="preserve">Market Cap (€M)</t>
  </si>
  <si>
    <t xml:space="preserve">P/E</t>
  </si>
  <si>
    <t xml:space="preserve">EV/EBITDA</t>
  </si>
  <si>
    <t xml:space="preserve">EV/Revenue</t>
  </si>
  <si>
    <t xml:space="preserve">ROE %</t>
  </si>
  <si>
    <t xml:space="preserve">Flow Traders</t>
  </si>
  <si>
    <t xml:space="preserve">FLOW.AS</t>
  </si>
  <si>
    <t xml:space="preserve">Virtu Financial</t>
  </si>
  <si>
    <t xml:space="preserve">VIRT</t>
  </si>
  <si>
    <t xml:space="preserve">Citadel Securities*</t>
  </si>
  <si>
    <t xml:space="preserve">Private</t>
  </si>
  <si>
    <t xml:space="preserve">N/A</t>
  </si>
  <si>
    <t xml:space="preserve">Jane Street*</t>
  </si>
  <si>
    <t xml:space="preserve">* Private companies - limited public data available</t>
  </si>
  <si>
    <t xml:space="preserve">DCF Implied Value (€/share):</t>
  </si>
  <si>
    <t xml:space="preserve">Current Price (€):</t>
  </si>
  <si>
    <t xml:space="preserve">Upside/(Downside):</t>
  </si>
  <si>
    <t xml:space="preserve">MULTIPLE-BASED VALUATION</t>
  </si>
  <si>
    <t xml:space="preserve">LTM EPS (€):</t>
  </si>
  <si>
    <t xml:space="preserve">Industry Average P/E:</t>
  </si>
  <si>
    <t xml:space="preserve">P/E Implied Value (€):</t>
  </si>
  <si>
    <t xml:space="preserve">LTM EBITDA (€M):</t>
  </si>
  <si>
    <t xml:space="preserve">Industry Average EV/EBITDA:</t>
  </si>
  <si>
    <t xml:space="preserve">Implied EV (€M):</t>
  </si>
  <si>
    <t xml:space="preserve">Less: Net Debt (€M):</t>
  </si>
  <si>
    <t xml:space="preserve">Implied Equity Value (€M):</t>
  </si>
  <si>
    <t xml:space="preserve">EV/EBITDA Implied Price (€):</t>
  </si>
  <si>
    <t xml:space="preserve">VALUATION RANGE SUMMARY</t>
  </si>
  <si>
    <t xml:space="preserve">Methodology</t>
  </si>
  <si>
    <t xml:space="preserve">Low</t>
  </si>
  <si>
    <t xml:space="preserve">High</t>
  </si>
  <si>
    <t xml:space="preserve">DCF Valuation</t>
  </si>
  <si>
    <t xml:space="preserve">P/E Multiple</t>
  </si>
  <si>
    <t xml:space="preserve">EV/EBITDA Multiple</t>
  </si>
  <si>
    <t xml:space="preserve">52-Week Range</t>
  </si>
  <si>
    <t xml:space="preserve">Current Price</t>
  </si>
  <si>
    <t xml:space="preserve">INVESTMENT RISKS AND CATALYSTS</t>
  </si>
  <si>
    <t xml:space="preserve">KEY RISKS</t>
  </si>
  <si>
    <t xml:space="preserve">1. Market Volatility Dependency</t>
  </si>
  <si>
    <t xml:space="preserve">   - Profits highly correlated with market volatility (VIX)</t>
  </si>
  <si>
    <t xml:space="preserve">   - Extended low-volatility periods compress margins significantly</t>
  </si>
  <si>
    <t xml:space="preserve">   - 2023 showed impact: Net profit dropped 71% YoY in low-vol environment</t>
  </si>
  <si>
    <t xml:space="preserve">2. Competitive Pressure</t>
  </si>
  <si>
    <t xml:space="preserve">   - Facing competition from larger players (Citadel, Jane Street)</t>
  </si>
  <si>
    <t xml:space="preserve">   - Technology arms race requires continued investment</t>
  </si>
  <si>
    <t xml:space="preserve">   - Spread compression in key markets</t>
  </si>
  <si>
    <t xml:space="preserve">3. Regulatory Risk</t>
  </si>
  <si>
    <t xml:space="preserve">   - Increasing scrutiny of market makers and HFT firms</t>
  </si>
  <si>
    <t xml:space="preserve">   - Potential transaction taxes in Europe</t>
  </si>
  <si>
    <t xml:space="preserve">   - Crypto regulation uncertainty</t>
  </si>
  <si>
    <t xml:space="preserve">4. Technology/Operational Risk</t>
  </si>
  <si>
    <t xml:space="preserve">   - System failures could result in significant losses</t>
  </si>
  <si>
    <t xml:space="preserve">   - Cybersecurity threats</t>
  </si>
  <si>
    <t xml:space="preserve">   - Key person dependency on trading talent</t>
  </si>
  <si>
    <t xml:space="preserve">5. Capital Intensity</t>
  </si>
  <si>
    <t xml:space="preserve">   - Growth requires substantial trading capital</t>
  </si>
  <si>
    <t xml:space="preserve">   - High debt/equity ratio (3.78x) increases financial risk</t>
  </si>
  <si>
    <t xml:space="preserve">KEY CATALYSTS</t>
  </si>
  <si>
    <t xml:space="preserve">1. Market Volatility Increases</t>
  </si>
  <si>
    <t xml:space="preserve">   - Geopolitical tensions, economic uncertainty drive volatility</t>
  </si>
  <si>
    <t xml:space="preserve">   - Election years typically see elevated volatility</t>
  </si>
  <si>
    <t xml:space="preserve">2. Digital Assets Expansion</t>
  </si>
  <si>
    <t xml:space="preserve">   - Growing crypto ETP market (spot Bitcoin ETFs)</t>
  </si>
  <si>
    <t xml:space="preserve">   - AllUnity stablecoin joint venture with DWS and Galaxy</t>
  </si>
  <si>
    <t xml:space="preserve">   - Increasing institutional adoption</t>
  </si>
  <si>
    <t xml:space="preserve">3. Geographic Expansion</t>
  </si>
  <si>
    <t xml:space="preserve">   - Asia Pacific growth (China, Japan ETF markets)</t>
  </si>
  <si>
    <t xml:space="preserve">   - US market share gains</t>
  </si>
  <si>
    <t xml:space="preserve">4. New Product Areas</t>
  </si>
  <si>
    <t xml:space="preserve">   - Fixed income ETPs growth</t>
  </si>
  <si>
    <t xml:space="preserve">   - FX market making expansion</t>
  </si>
  <si>
    <t xml:space="preserve">   - Options and derivatives</t>
  </si>
  <si>
    <t xml:space="preserve">5. Trading Capital Expansion</t>
  </si>
  <si>
    <t xml:space="preserve">   - $200M private credit facility secured</t>
  </si>
  <si>
    <t xml:space="preserve">   - Increased capital enables larger positions</t>
  </si>
  <si>
    <t xml:space="preserve">   - Target 69%+ return on trading capital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</si>
</sst>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1%"/>
    <numFmt numFmtId="167" formatCode="0.000"/>
    <numFmt numFmtId="168" formatCode="General"/>
    <numFmt numFmtId="169" formatCode="0.00\x"/>
    <numFmt numFmtId="170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u val="singl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u val="single"/>
      <sz val="11"/>
      <color rgb="FFFF0000"/>
      <name val="Cambria"/>
      <family val="0"/>
      <charset val="1"/>
    </font>
    <font>
      <b val="true"/>
      <u val="single"/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  <fill>
      <patternFill patternType="solid">
        <fgColor rgb="FFE6F3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5"/>
  </cols>
  <sheetData>
    <row r="1" customFormat="false" ht="19.5" hidden="false" customHeight="true" outlineLevel="0" collapsed="false">
      <c r="A1" s="2" t="s">
        <v>0</v>
      </c>
    </row>
    <row r="2" customFormat="false" ht="17.2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1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1" t="s">
        <v>5</v>
      </c>
      <c r="B7" s="1" t="s">
        <v>6</v>
      </c>
    </row>
    <row r="8" customFormat="false" ht="15" hidden="false" customHeight="true" outlineLevel="0" collapsed="false">
      <c r="A8" s="1" t="s">
        <v>7</v>
      </c>
      <c r="B8" s="1" t="s">
        <v>8</v>
      </c>
    </row>
    <row r="9" customFormat="false" ht="15" hidden="false" customHeight="true" outlineLevel="0" collapsed="false">
      <c r="A9" s="1" t="s">
        <v>9</v>
      </c>
      <c r="B9" s="1" t="s">
        <v>10</v>
      </c>
    </row>
    <row r="10" customFormat="false" ht="15" hidden="false" customHeight="true" outlineLevel="0" collapsed="false">
      <c r="A10" s="1" t="s">
        <v>11</v>
      </c>
      <c r="B10" s="1" t="s">
        <v>12</v>
      </c>
    </row>
    <row r="11" customFormat="false" ht="15" hidden="false" customHeight="true" outlineLevel="0" collapsed="false">
      <c r="A11" s="1" t="s">
        <v>13</v>
      </c>
      <c r="B11" s="1" t="n">
        <v>2004</v>
      </c>
    </row>
    <row r="12" customFormat="false" ht="15" hidden="false" customHeight="true" outlineLevel="0" collapsed="false">
      <c r="A12" s="1" t="s">
        <v>14</v>
      </c>
      <c r="B12" s="1" t="n">
        <v>607</v>
      </c>
    </row>
    <row r="14" customFormat="false" ht="15" hidden="false" customHeight="true" outlineLevel="0" collapsed="false">
      <c r="A14" s="4" t="s">
        <v>15</v>
      </c>
    </row>
    <row r="15" customFormat="false" ht="15" hidden="false" customHeight="true" outlineLevel="0" collapsed="false">
      <c r="A15" s="1" t="s">
        <v>16</v>
      </c>
      <c r="B15" s="5" t="n">
        <v>26.12</v>
      </c>
    </row>
    <row r="16" customFormat="false" ht="15" hidden="false" customHeight="true" outlineLevel="0" collapsed="false">
      <c r="A16" s="1" t="s">
        <v>17</v>
      </c>
      <c r="B16" s="5" t="n">
        <v>43.56</v>
      </c>
    </row>
    <row r="17" customFormat="false" ht="15" hidden="false" customHeight="true" outlineLevel="0" collapsed="false">
      <c r="A17" s="1" t="s">
        <v>18</v>
      </c>
      <c r="B17" s="1" t="n">
        <f aca="false">B15*B16</f>
        <v>1137.7872</v>
      </c>
    </row>
    <row r="18" customFormat="false" ht="15" hidden="false" customHeight="true" outlineLevel="0" collapsed="false">
      <c r="A18" s="1" t="s">
        <v>19</v>
      </c>
      <c r="B18" s="1" t="s">
        <v>20</v>
      </c>
    </row>
    <row r="19" customFormat="false" ht="15" hidden="false" customHeight="true" outlineLevel="0" collapsed="false">
      <c r="A19" s="1" t="s">
        <v>21</v>
      </c>
      <c r="B19" s="5" t="n">
        <v>0.19</v>
      </c>
    </row>
    <row r="20" customFormat="false" ht="15" hidden="false" customHeight="true" outlineLevel="0" collapsed="false">
      <c r="A20" s="1" t="s">
        <v>22</v>
      </c>
      <c r="B20" s="1" t="n">
        <v>6.2</v>
      </c>
    </row>
    <row r="21" customFormat="false" ht="15" hidden="false" customHeight="true" outlineLevel="0" collapsed="false">
      <c r="A21" s="1" t="s">
        <v>23</v>
      </c>
      <c r="B21" s="1" t="n">
        <v>4.21</v>
      </c>
    </row>
    <row r="23" customFormat="false" ht="15" hidden="false" customHeight="true" outlineLevel="0" collapsed="false">
      <c r="A23" s="4" t="s">
        <v>24</v>
      </c>
    </row>
    <row r="24" customFormat="false" ht="15" hidden="false" customHeight="true" outlineLevel="0" collapsed="false">
      <c r="A24" s="1" t="s">
        <v>25</v>
      </c>
    </row>
    <row r="25" customFormat="false" ht="15" hidden="false" customHeight="true" outlineLevel="0" collapsed="false">
      <c r="A25" s="1" t="s">
        <v>26</v>
      </c>
    </row>
    <row r="26" customFormat="false" ht="15" hidden="false" customHeight="true" outlineLevel="0" collapsed="false">
      <c r="A26" s="1" t="s">
        <v>27</v>
      </c>
    </row>
    <row r="27" customFormat="false" ht="15" hidden="false" customHeight="true" outlineLevel="0" collapsed="false">
      <c r="A27" s="1" t="s">
        <v>28</v>
      </c>
    </row>
    <row r="28" customFormat="false" ht="15" hidden="false" customHeight="true" outlineLevel="0" collapsed="false">
      <c r="A28" s="1" t="s">
        <v>29</v>
      </c>
    </row>
    <row r="29" customFormat="false" ht="15" hidden="false" customHeight="true" outlineLevel="0" collapsed="false">
      <c r="A29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3" t="s">
        <v>31</v>
      </c>
    </row>
    <row r="2" customFormat="false" ht="15" hidden="false" customHeight="true" outlineLevel="0" collapsed="false">
      <c r="A2" s="1" t="s">
        <v>32</v>
      </c>
    </row>
    <row r="4" customFormat="false" ht="15" hidden="false" customHeight="true" outlineLevel="0" collapsed="false">
      <c r="A4" s="6"/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</row>
    <row r="5" customFormat="false" ht="15" hidden="false" customHeight="true" outlineLevel="0" collapsed="false">
      <c r="A5" s="4" t="s">
        <v>39</v>
      </c>
    </row>
    <row r="6" customFormat="false" ht="15" hidden="false" customHeight="true" outlineLevel="0" collapsed="false">
      <c r="A6" s="1" t="s">
        <v>40</v>
      </c>
      <c r="B6" s="5" t="n">
        <v>557</v>
      </c>
      <c r="C6" s="5" t="n">
        <v>672</v>
      </c>
      <c r="D6" s="5" t="n">
        <v>303.9</v>
      </c>
      <c r="E6" s="5" t="n">
        <v>479.3</v>
      </c>
      <c r="F6" s="5" t="n">
        <v>314.3</v>
      </c>
      <c r="G6" s="1" t="n">
        <f aca="false">E6-F6+314.3+143.9</f>
        <v>623.2</v>
      </c>
    </row>
    <row r="7" customFormat="false" ht="15" hidden="false" customHeight="true" outlineLevel="0" collapsed="false">
      <c r="A7" s="1" t="s">
        <v>41</v>
      </c>
      <c r="B7" s="5" t="n">
        <v>545</v>
      </c>
      <c r="C7" s="5" t="n">
        <v>659</v>
      </c>
      <c r="D7" s="5" t="n">
        <v>300.3</v>
      </c>
      <c r="E7" s="5" t="n">
        <v>467.8</v>
      </c>
      <c r="F7" s="5" t="n">
        <v>313.8</v>
      </c>
      <c r="G7" s="1" t="n">
        <f aca="false">E7-F7+313.8+143.4</f>
        <v>611.2</v>
      </c>
    </row>
    <row r="8" customFormat="false" ht="15" hidden="false" customHeight="true" outlineLevel="0" collapsed="false">
      <c r="A8" s="1" t="s">
        <v>42</v>
      </c>
      <c r="B8" s="5" t="n">
        <v>160</v>
      </c>
      <c r="C8" s="5" t="n">
        <v>170</v>
      </c>
      <c r="D8" s="5" t="n">
        <v>174.1</v>
      </c>
      <c r="E8" s="5" t="n">
        <v>179.1</v>
      </c>
      <c r="F8" s="5" t="n">
        <v>97</v>
      </c>
      <c r="G8" s="1" t="n">
        <f aca="false">E8-F8+97+49.8</f>
        <v>228.9</v>
      </c>
    </row>
    <row r="9" customFormat="false" ht="15" hidden="false" customHeight="true" outlineLevel="0" collapsed="false">
      <c r="A9" s="1" t="s">
        <v>43</v>
      </c>
      <c r="B9" s="5" t="n">
        <v>108</v>
      </c>
      <c r="C9" s="5" t="n">
        <v>115</v>
      </c>
      <c r="D9" s="5" t="n">
        <v>62.2</v>
      </c>
      <c r="E9" s="5" t="n">
        <v>85.3</v>
      </c>
      <c r="F9" s="5" t="n">
        <v>52.6</v>
      </c>
      <c r="G9" s="1" t="n">
        <f aca="false">E9-F9+52.6+26.2</f>
        <v>111.5</v>
      </c>
    </row>
    <row r="10" customFormat="false" ht="15" hidden="false" customHeight="true" outlineLevel="0" collapsed="false">
      <c r="A10" s="1" t="s">
        <v>44</v>
      </c>
      <c r="B10" s="1" t="n">
        <f aca="false">B8+B9</f>
        <v>268</v>
      </c>
      <c r="C10" s="1" t="n">
        <f aca="false">C8+C9</f>
        <v>285</v>
      </c>
      <c r="D10" s="1" t="n">
        <f aca="false">D8+D9</f>
        <v>236.3</v>
      </c>
      <c r="E10" s="1" t="n">
        <f aca="false">E8+E9</f>
        <v>264.4</v>
      </c>
      <c r="F10" s="1" t="n">
        <f aca="false">F8+F9</f>
        <v>149.6</v>
      </c>
      <c r="G10" s="1" t="n">
        <f aca="false">G8+G9</f>
        <v>340.4</v>
      </c>
    </row>
    <row r="11" customFormat="false" ht="15" hidden="false" customHeight="true" outlineLevel="0" collapsed="false">
      <c r="A11" s="1" t="s">
        <v>45</v>
      </c>
      <c r="B11" s="5" t="n">
        <v>290</v>
      </c>
      <c r="C11" s="5" t="n">
        <v>387</v>
      </c>
      <c r="D11" s="5" t="n">
        <v>67.5</v>
      </c>
      <c r="E11" s="5" t="n">
        <v>214.9</v>
      </c>
      <c r="F11" s="5" t="n">
        <v>119.3</v>
      </c>
      <c r="G11" s="1" t="n">
        <f aca="false">E11-F11+119.3+68</f>
        <v>282.9</v>
      </c>
    </row>
    <row r="12" customFormat="false" ht="15" hidden="false" customHeight="true" outlineLevel="0" collapsed="false">
      <c r="A12" s="1" t="s">
        <v>46</v>
      </c>
      <c r="B12" s="8" t="n">
        <f aca="false">B11/B6</f>
        <v>0.52064631956912</v>
      </c>
      <c r="C12" s="8" t="n">
        <f aca="false">C11/C6</f>
        <v>0.575892857142857</v>
      </c>
      <c r="D12" s="8" t="n">
        <f aca="false">D11/D6</f>
        <v>0.222112537018756</v>
      </c>
      <c r="E12" s="8" t="n">
        <f aca="false">E11/E6</f>
        <v>0.448362194867515</v>
      </c>
      <c r="F12" s="8" t="n">
        <f aca="false">F11/F6</f>
        <v>0.379573655742921</v>
      </c>
      <c r="G12" s="8" t="n">
        <f aca="false">G11/G6</f>
        <v>0.453947368421053</v>
      </c>
    </row>
    <row r="13" customFormat="false" ht="15" hidden="false" customHeight="true" outlineLevel="0" collapsed="false">
      <c r="A13" s="1" t="s">
        <v>47</v>
      </c>
      <c r="B13" s="5" t="n">
        <v>181.9</v>
      </c>
      <c r="C13" s="5" t="n">
        <v>126.1</v>
      </c>
      <c r="D13" s="5" t="n">
        <v>36.2</v>
      </c>
      <c r="E13" s="5" t="n">
        <v>159.5</v>
      </c>
      <c r="F13" s="5" t="n">
        <v>85.5</v>
      </c>
      <c r="G13" s="1" t="n">
        <f aca="false">E13-F13+85.5+51.3</f>
        <v>210.8</v>
      </c>
    </row>
    <row r="14" customFormat="false" ht="15" hidden="false" customHeight="true" outlineLevel="0" collapsed="false">
      <c r="A14" s="1" t="s">
        <v>48</v>
      </c>
      <c r="B14" s="8" t="n">
        <f aca="false">B13/B6</f>
        <v>0.32657091561939</v>
      </c>
      <c r="C14" s="8" t="n">
        <f aca="false">C13/C6</f>
        <v>0.18764880952381</v>
      </c>
      <c r="D14" s="8" t="n">
        <f aca="false">D13/D6</f>
        <v>0.119118130964133</v>
      </c>
      <c r="E14" s="8" t="n">
        <f aca="false">E13/E6</f>
        <v>0.332776966409347</v>
      </c>
      <c r="F14" s="8" t="n">
        <f aca="false">F13/F6</f>
        <v>0.272033089405027</v>
      </c>
      <c r="G14" s="8" t="n">
        <f aca="false">G13/G6</f>
        <v>0.338254172015404</v>
      </c>
    </row>
    <row r="15" customFormat="false" ht="15" hidden="false" customHeight="true" outlineLevel="0" collapsed="false">
      <c r="A15" s="1" t="s">
        <v>49</v>
      </c>
      <c r="B15" s="5" t="n">
        <v>4.17</v>
      </c>
      <c r="C15" s="5" t="n">
        <v>2.92</v>
      </c>
      <c r="D15" s="5" t="n">
        <v>0.81</v>
      </c>
      <c r="E15" s="5" t="n">
        <v>3.56</v>
      </c>
      <c r="F15" s="5" t="n">
        <v>1.97</v>
      </c>
      <c r="G15" s="1" t="n">
        <f aca="false">G13/43.56</f>
        <v>4.83930211202939</v>
      </c>
    </row>
    <row r="17" customFormat="false" ht="15" hidden="false" customHeight="true" outlineLevel="0" collapsed="false">
      <c r="A17" s="4" t="s">
        <v>50</v>
      </c>
    </row>
    <row r="18" customFormat="false" ht="15" hidden="false" customHeight="true" outlineLevel="0" collapsed="false">
      <c r="A18" s="1" t="s">
        <v>51</v>
      </c>
      <c r="B18" s="5" t="n">
        <v>550</v>
      </c>
      <c r="C18" s="5" t="n">
        <v>545</v>
      </c>
      <c r="D18" s="5" t="n">
        <v>584</v>
      </c>
      <c r="E18" s="5" t="n">
        <v>775</v>
      </c>
      <c r="F18" s="5" t="n">
        <v>831</v>
      </c>
    </row>
    <row r="19" customFormat="false" ht="15" hidden="false" customHeight="true" outlineLevel="0" collapsed="false">
      <c r="A19" s="1" t="s">
        <v>52</v>
      </c>
      <c r="B19" s="5" t="n">
        <v>520</v>
      </c>
      <c r="C19" s="5" t="n">
        <v>590</v>
      </c>
      <c r="D19" s="5" t="n">
        <v>586</v>
      </c>
      <c r="E19" s="5" t="n">
        <v>766</v>
      </c>
      <c r="F19" s="5" t="n">
        <v>817</v>
      </c>
    </row>
    <row r="20" customFormat="false" ht="15" hidden="false" customHeight="true" outlineLevel="0" collapsed="false">
      <c r="A20" s="1" t="s">
        <v>53</v>
      </c>
      <c r="B20" s="8" t="n">
        <f aca="false">B13/B19</f>
        <v>0.349807692307692</v>
      </c>
      <c r="C20" s="8" t="n">
        <f aca="false">C13/C19</f>
        <v>0.213728813559322</v>
      </c>
      <c r="D20" s="8" t="n">
        <f aca="false">D13/D19</f>
        <v>0.0617747440273038</v>
      </c>
      <c r="E20" s="8" t="n">
        <f aca="false">E13/E19</f>
        <v>0.20822454308094</v>
      </c>
      <c r="F20" s="8" t="n">
        <f aca="false">(F13*2)/F19</f>
        <v>0.209302325581395</v>
      </c>
    </row>
    <row r="22" customFormat="false" ht="15" hidden="false" customHeight="true" outlineLevel="0" collapsed="false">
      <c r="A22" s="4" t="s">
        <v>54</v>
      </c>
    </row>
    <row r="23" customFormat="false" ht="15" hidden="false" customHeight="true" outlineLevel="0" collapsed="false">
      <c r="A23" s="1" t="s">
        <v>55</v>
      </c>
      <c r="B23" s="5" t="n">
        <v>1650</v>
      </c>
      <c r="C23" s="5" t="n">
        <v>1580</v>
      </c>
      <c r="D23" s="5" t="n">
        <v>1465</v>
      </c>
      <c r="E23" s="5" t="n">
        <v>1545</v>
      </c>
      <c r="F23" s="5" t="n">
        <v>943</v>
      </c>
    </row>
    <row r="24" customFormat="false" ht="15" hidden="false" customHeight="true" outlineLevel="0" collapsed="false">
      <c r="A24" s="1" t="s">
        <v>56</v>
      </c>
      <c r="B24" s="5" t="n">
        <v>19.7</v>
      </c>
      <c r="C24" s="5" t="n">
        <v>25.6</v>
      </c>
      <c r="D24" s="5" t="n">
        <v>13.9</v>
      </c>
      <c r="E24" s="5" t="n">
        <v>15.5</v>
      </c>
      <c r="F24" s="5" t="n">
        <v>18.2</v>
      </c>
    </row>
    <row r="25" customFormat="false" ht="15" hidden="false" customHeight="true" outlineLevel="0" collapsed="false">
      <c r="A25" s="1" t="s">
        <v>57</v>
      </c>
      <c r="B25" s="8" t="n">
        <f aca="false">B7/B18</f>
        <v>0.990909090909091</v>
      </c>
      <c r="C25" s="8" t="n">
        <f aca="false">C7/C18</f>
        <v>1.20917431192661</v>
      </c>
      <c r="D25" s="8" t="n">
        <f aca="false">D7/D18</f>
        <v>0.514212328767123</v>
      </c>
      <c r="E25" s="8" t="n">
        <f aca="false">E7/E18</f>
        <v>0.603612903225807</v>
      </c>
      <c r="F25" s="8" t="n">
        <f aca="false">(F7*2)/F18</f>
        <v>0.755234657039711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3" t="s">
        <v>58</v>
      </c>
    </row>
    <row r="3" customFormat="false" ht="15" hidden="false" customHeight="true" outlineLevel="0" collapsed="false">
      <c r="A3" s="4" t="s">
        <v>59</v>
      </c>
    </row>
    <row r="4" customFormat="false" ht="15" hidden="false" customHeight="true" outlineLevel="0" collapsed="false">
      <c r="A4" s="1" t="s">
        <v>60</v>
      </c>
      <c r="B4" s="9" t="n">
        <v>479.3</v>
      </c>
    </row>
    <row r="5" customFormat="false" ht="15" hidden="false" customHeight="true" outlineLevel="0" collapsed="false">
      <c r="A5" s="1" t="s">
        <v>61</v>
      </c>
      <c r="B5" s="10" t="n">
        <v>0.12</v>
      </c>
      <c r="C5" s="1" t="s">
        <v>62</v>
      </c>
    </row>
    <row r="6" customFormat="false" ht="15" hidden="false" customHeight="true" outlineLevel="0" collapsed="false">
      <c r="A6" s="1" t="s">
        <v>63</v>
      </c>
      <c r="B6" s="10" t="n">
        <v>0.08</v>
      </c>
      <c r="C6" s="1" t="s">
        <v>64</v>
      </c>
    </row>
    <row r="7" customFormat="false" ht="15" hidden="false" customHeight="true" outlineLevel="0" collapsed="false">
      <c r="A7" s="1" t="s">
        <v>65</v>
      </c>
      <c r="B7" s="10" t="n">
        <v>0.06</v>
      </c>
      <c r="C7" s="1" t="s">
        <v>66</v>
      </c>
    </row>
    <row r="8" customFormat="false" ht="15" hidden="false" customHeight="true" outlineLevel="0" collapsed="false">
      <c r="A8" s="1" t="s">
        <v>67</v>
      </c>
      <c r="B8" s="10" t="n">
        <v>0.05</v>
      </c>
      <c r="C8" s="1" t="s">
        <v>68</v>
      </c>
    </row>
    <row r="9" customFormat="false" ht="15" hidden="false" customHeight="true" outlineLevel="0" collapsed="false">
      <c r="A9" s="1" t="s">
        <v>69</v>
      </c>
      <c r="B9" s="10" t="n">
        <v>0.04</v>
      </c>
      <c r="C9" s="1" t="s">
        <v>70</v>
      </c>
    </row>
    <row r="11" customFormat="false" ht="15" hidden="false" customHeight="true" outlineLevel="0" collapsed="false">
      <c r="A11" s="4" t="s">
        <v>71</v>
      </c>
    </row>
    <row r="12" customFormat="false" ht="15" hidden="false" customHeight="true" outlineLevel="0" collapsed="false">
      <c r="A12" s="1" t="s">
        <v>72</v>
      </c>
      <c r="B12" s="10" t="n">
        <v>0.32</v>
      </c>
      <c r="C12" s="1" t="s">
        <v>73</v>
      </c>
    </row>
    <row r="13" customFormat="false" ht="15" hidden="false" customHeight="true" outlineLevel="0" collapsed="false">
      <c r="A13" s="1" t="s">
        <v>74</v>
      </c>
      <c r="B13" s="10" t="n">
        <v>0.02</v>
      </c>
    </row>
    <row r="14" customFormat="false" ht="15" hidden="false" customHeight="true" outlineLevel="0" collapsed="false">
      <c r="A14" s="1" t="s">
        <v>75</v>
      </c>
      <c r="B14" s="10" t="n">
        <v>0.25</v>
      </c>
      <c r="C14" s="1" t="s">
        <v>76</v>
      </c>
    </row>
    <row r="15" customFormat="false" ht="15" hidden="false" customHeight="true" outlineLevel="0" collapsed="false">
      <c r="A15" s="1" t="s">
        <v>77</v>
      </c>
      <c r="B15" s="10" t="n">
        <v>0.015</v>
      </c>
      <c r="C15" s="1" t="s">
        <v>78</v>
      </c>
    </row>
    <row r="16" customFormat="false" ht="15" hidden="false" customHeight="true" outlineLevel="0" collapsed="false">
      <c r="A16" s="1" t="s">
        <v>79</v>
      </c>
      <c r="B16" s="10" t="n">
        <v>0.05</v>
      </c>
    </row>
    <row r="18" customFormat="false" ht="15" hidden="false" customHeight="true" outlineLevel="0" collapsed="false">
      <c r="A18" s="4" t="s">
        <v>80</v>
      </c>
    </row>
    <row r="19" customFormat="false" ht="15" hidden="false" customHeight="true" outlineLevel="0" collapsed="false">
      <c r="A19" s="1" t="s">
        <v>81</v>
      </c>
      <c r="B19" s="10" t="n">
        <v>0.035</v>
      </c>
      <c r="C19" s="1" t="s">
        <v>82</v>
      </c>
    </row>
    <row r="20" customFormat="false" ht="15" hidden="false" customHeight="true" outlineLevel="0" collapsed="false">
      <c r="A20" s="1" t="s">
        <v>83</v>
      </c>
      <c r="B20" s="10" t="n">
        <v>0.065</v>
      </c>
      <c r="C20" s="1" t="s">
        <v>84</v>
      </c>
    </row>
    <row r="21" customFormat="false" ht="15" hidden="false" customHeight="true" outlineLevel="0" collapsed="false">
      <c r="A21" s="1" t="s">
        <v>85</v>
      </c>
      <c r="B21" s="9" t="n">
        <v>1.2</v>
      </c>
      <c r="C21" s="1" t="s">
        <v>86</v>
      </c>
    </row>
    <row r="22" customFormat="false" ht="15" hidden="false" customHeight="true" outlineLevel="0" collapsed="false">
      <c r="A22" s="1" t="s">
        <v>87</v>
      </c>
      <c r="B22" s="8" t="n">
        <f aca="false">B19+B21*B20</f>
        <v>0.113</v>
      </c>
      <c r="C22" s="1" t="s">
        <v>88</v>
      </c>
    </row>
    <row r="23" customFormat="false" ht="15" hidden="false" customHeight="true" outlineLevel="0" collapsed="false">
      <c r="A23" s="1" t="s">
        <v>89</v>
      </c>
      <c r="B23" s="10" t="n">
        <v>0.055</v>
      </c>
    </row>
    <row r="24" customFormat="false" ht="15" hidden="false" customHeight="true" outlineLevel="0" collapsed="false">
      <c r="A24" s="1" t="s">
        <v>90</v>
      </c>
      <c r="B24" s="8" t="n">
        <f aca="false">B23*(1-B14)</f>
        <v>0.04125</v>
      </c>
    </row>
    <row r="25" customFormat="false" ht="15" hidden="false" customHeight="true" outlineLevel="0" collapsed="false">
      <c r="A25" s="1" t="s">
        <v>91</v>
      </c>
      <c r="B25" s="10" t="n">
        <v>0.3</v>
      </c>
      <c r="C25" s="1" t="s">
        <v>92</v>
      </c>
    </row>
    <row r="26" customFormat="false" ht="15" hidden="false" customHeight="true" outlineLevel="0" collapsed="false">
      <c r="A26" s="1" t="s">
        <v>93</v>
      </c>
      <c r="B26" s="8" t="n">
        <f aca="false">1-B25</f>
        <v>0.7</v>
      </c>
    </row>
    <row r="27" customFormat="false" ht="15" hidden="false" customHeight="true" outlineLevel="0" collapsed="false">
      <c r="A27" s="1" t="s">
        <v>94</v>
      </c>
      <c r="B27" s="11" t="n">
        <f aca="false">B22*B26+B24*B25</f>
        <v>0.091475</v>
      </c>
    </row>
    <row r="29" customFormat="false" ht="15" hidden="false" customHeight="true" outlineLevel="0" collapsed="false">
      <c r="A29" s="4" t="s">
        <v>95</v>
      </c>
    </row>
    <row r="30" customFormat="false" ht="15" hidden="false" customHeight="true" outlineLevel="0" collapsed="false">
      <c r="A30" s="1" t="s">
        <v>96</v>
      </c>
      <c r="B30" s="10" t="n">
        <v>0.03</v>
      </c>
      <c r="C30" s="1" t="s">
        <v>97</v>
      </c>
    </row>
    <row r="32" customFormat="false" ht="15" hidden="false" customHeight="true" outlineLevel="0" collapsed="false">
      <c r="A32" s="4" t="s">
        <v>98</v>
      </c>
    </row>
    <row r="33" customFormat="false" ht="15" hidden="false" customHeight="true" outlineLevel="0" collapsed="false">
      <c r="A33" s="1" t="s">
        <v>99</v>
      </c>
    </row>
    <row r="34" customFormat="false" ht="15" hidden="false" customHeight="true" outlineLevel="0" collapsed="false">
      <c r="A34" s="1" t="s">
        <v>100</v>
      </c>
    </row>
    <row r="35" customFormat="false" ht="15" hidden="false" customHeight="true" outlineLevel="0" collapsed="false">
      <c r="A35" s="1" t="s">
        <v>101</v>
      </c>
    </row>
    <row r="36" customFormat="false" ht="15" hidden="false" customHeight="true" outlineLevel="0" collapsed="false">
      <c r="A36" s="1" t="s">
        <v>102</v>
      </c>
    </row>
    <row r="37" customFormat="false" ht="15" hidden="false" customHeight="true" outlineLevel="0" collapsed="false">
      <c r="A37" s="1" t="s">
        <v>103</v>
      </c>
    </row>
    <row r="38" customFormat="false" ht="15" hidden="false" customHeight="true" outlineLevel="0" collapsed="false">
      <c r="A38" s="1" t="s">
        <v>104</v>
      </c>
    </row>
    <row r="39" customFormat="false" ht="15" hidden="false" customHeight="true" outlineLevel="0" collapsed="false">
      <c r="A39" s="1" t="s">
        <v>105</v>
      </c>
    </row>
    <row r="40" customFormat="false" ht="15" hidden="false" customHeight="true" outlineLevel="0" collapsed="false">
      <c r="A40" s="4" t="s">
        <v>106</v>
      </c>
    </row>
    <row r="41" customFormat="false" ht="15" hidden="false" customHeight="true" outlineLevel="0" collapsed="false">
      <c r="A41" s="1" t="s">
        <v>107</v>
      </c>
    </row>
    <row r="42" customFormat="false" ht="15" hidden="false" customHeight="true" outlineLevel="0" collapsed="false">
      <c r="A42" s="1" t="s">
        <v>108</v>
      </c>
    </row>
    <row r="43" customFormat="false" ht="15" hidden="false" customHeight="true" outlineLevel="0" collapsed="false">
      <c r="A43" s="1" t="s">
        <v>109</v>
      </c>
    </row>
    <row r="44" customFormat="false" ht="15" hidden="false" customHeight="true" outlineLevel="0" collapsed="false">
      <c r="A44" s="1" t="s">
        <v>110</v>
      </c>
    </row>
    <row r="45" customFormat="false" ht="15" hidden="false" customHeight="true" outlineLevel="0" collapsed="false">
      <c r="A45" s="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3" t="s">
        <v>112</v>
      </c>
    </row>
    <row r="2" customFormat="false" ht="15" hidden="false" customHeight="true" outlineLevel="0" collapsed="false">
      <c r="A2" s="1" t="s">
        <v>113</v>
      </c>
    </row>
    <row r="4" customFormat="false" ht="15" hidden="false" customHeight="true" outlineLevel="0" collapsed="false">
      <c r="A4" s="4" t="s">
        <v>114</v>
      </c>
    </row>
    <row r="5" customFormat="false" ht="15" hidden="false" customHeight="true" outlineLevel="0" collapsed="false">
      <c r="A5" s="6" t="s">
        <v>115</v>
      </c>
      <c r="B5" s="6" t="s">
        <v>116</v>
      </c>
      <c r="C5" s="6" t="s">
        <v>117</v>
      </c>
    </row>
    <row r="6" customFormat="false" ht="15" hidden="false" customHeight="true" outlineLevel="0" collapsed="false">
      <c r="A6" s="1" t="s">
        <v>118</v>
      </c>
      <c r="B6" s="5" t="n">
        <v>156</v>
      </c>
    </row>
    <row r="7" customFormat="false" ht="15" hidden="false" customHeight="true" outlineLevel="0" collapsed="false">
      <c r="A7" s="1" t="s">
        <v>119</v>
      </c>
      <c r="B7" s="5" t="n">
        <v>184</v>
      </c>
      <c r="C7" s="8" t="n">
        <v>0.18</v>
      </c>
    </row>
    <row r="8" customFormat="false" ht="15" hidden="false" customHeight="true" outlineLevel="0" collapsed="false">
      <c r="A8" s="1" t="s">
        <v>120</v>
      </c>
      <c r="B8" s="5" t="n">
        <v>217</v>
      </c>
      <c r="C8" s="8" t="n">
        <v>0.18</v>
      </c>
    </row>
    <row r="9" customFormat="false" ht="15" hidden="false" customHeight="true" outlineLevel="0" collapsed="false">
      <c r="A9" s="1" t="s">
        <v>121</v>
      </c>
      <c r="B9" s="5" t="n">
        <v>256</v>
      </c>
      <c r="C9" s="8" t="n">
        <v>0.18</v>
      </c>
    </row>
    <row r="10" customFormat="false" ht="15" hidden="false" customHeight="true" outlineLevel="0" collapsed="false">
      <c r="A10" s="1" t="s">
        <v>122</v>
      </c>
      <c r="B10" s="5" t="n">
        <v>302</v>
      </c>
      <c r="C10" s="8" t="n">
        <v>0.18</v>
      </c>
    </row>
    <row r="11" customFormat="false" ht="15" hidden="false" customHeight="true" outlineLevel="0" collapsed="false">
      <c r="A11" s="1" t="s">
        <v>123</v>
      </c>
      <c r="B11" s="5" t="n">
        <v>425</v>
      </c>
      <c r="C11" s="8" t="n">
        <v>0.41</v>
      </c>
    </row>
    <row r="12" customFormat="false" ht="15" hidden="false" customHeight="true" outlineLevel="0" collapsed="false">
      <c r="A12" s="1" t="s">
        <v>124</v>
      </c>
      <c r="B12" s="5" t="n">
        <v>520</v>
      </c>
      <c r="C12" s="8" t="n">
        <v>0.22</v>
      </c>
    </row>
    <row r="13" customFormat="false" ht="15" hidden="false" customHeight="true" outlineLevel="0" collapsed="false">
      <c r="A13" s="1" t="s">
        <v>125</v>
      </c>
      <c r="B13" s="5" t="n">
        <v>590</v>
      </c>
      <c r="C13" s="8" t="n">
        <v>0.13</v>
      </c>
    </row>
    <row r="14" customFormat="false" ht="15" hidden="false" customHeight="true" outlineLevel="0" collapsed="false">
      <c r="A14" s="1" t="s">
        <v>126</v>
      </c>
      <c r="B14" s="5" t="n">
        <v>586</v>
      </c>
      <c r="C14" s="8" t="n">
        <v>-0.01</v>
      </c>
    </row>
    <row r="15" customFormat="false" ht="15" hidden="false" customHeight="true" outlineLevel="0" collapsed="false">
      <c r="A15" s="1" t="s">
        <v>127</v>
      </c>
      <c r="B15" s="5" t="n">
        <v>766</v>
      </c>
      <c r="C15" s="8" t="n">
        <v>0.31</v>
      </c>
    </row>
    <row r="16" customFormat="false" ht="15" hidden="false" customHeight="true" outlineLevel="0" collapsed="false">
      <c r="A16" s="1" t="s">
        <v>37</v>
      </c>
      <c r="B16" s="5" t="n">
        <v>817</v>
      </c>
    </row>
    <row r="18" customFormat="false" ht="15" hidden="false" customHeight="true" outlineLevel="0" collapsed="false">
      <c r="A18" s="6" t="s">
        <v>128</v>
      </c>
      <c r="B18" s="12" t="n">
        <f aca="false">(B16/B6)^(1/10)-1</f>
        <v>0.180075369341403</v>
      </c>
    </row>
    <row r="20" customFormat="false" ht="15" hidden="false" customHeight="true" outlineLevel="0" collapsed="false">
      <c r="A20" s="4" t="s">
        <v>129</v>
      </c>
    </row>
    <row r="21" customFormat="false" ht="15" hidden="false" customHeight="true" outlineLevel="0" collapsed="false">
      <c r="A21" s="1" t="s">
        <v>130</v>
      </c>
      <c r="B21" s="9" t="n">
        <v>817</v>
      </c>
    </row>
    <row r="22" customFormat="false" ht="15" hidden="false" customHeight="true" outlineLevel="0" collapsed="false">
      <c r="A22" s="1" t="s">
        <v>131</v>
      </c>
      <c r="B22" s="10" t="n">
        <v>0.15</v>
      </c>
      <c r="C22" s="1" t="s">
        <v>132</v>
      </c>
    </row>
    <row r="23" customFormat="false" ht="15" hidden="false" customHeight="true" outlineLevel="0" collapsed="false">
      <c r="A23" s="1" t="s">
        <v>133</v>
      </c>
      <c r="B23" s="10" t="n">
        <v>0.1</v>
      </c>
    </row>
    <row r="24" customFormat="false" ht="15" hidden="false" customHeight="true" outlineLevel="0" collapsed="false">
      <c r="A24" s="1" t="s">
        <v>96</v>
      </c>
      <c r="B24" s="10" t="n">
        <v>0.03</v>
      </c>
    </row>
    <row r="25" customFormat="false" ht="15" hidden="false" customHeight="true" outlineLevel="0" collapsed="false">
      <c r="A25" s="1" t="s">
        <v>17</v>
      </c>
      <c r="B25" s="9" t="n">
        <v>43.56</v>
      </c>
    </row>
    <row r="27" customFormat="false" ht="15" hidden="false" customHeight="true" outlineLevel="0" collapsed="false">
      <c r="A27" s="4" t="s">
        <v>134</v>
      </c>
    </row>
    <row r="28" customFormat="false" ht="15" hidden="false" customHeight="true" outlineLevel="0" collapsed="false">
      <c r="A28" s="6"/>
      <c r="B28" s="6" t="s">
        <v>135</v>
      </c>
      <c r="C28" s="6" t="s">
        <v>136</v>
      </c>
      <c r="D28" s="6" t="s">
        <v>137</v>
      </c>
      <c r="E28" s="6" t="s">
        <v>138</v>
      </c>
      <c r="F28" s="6" t="s">
        <v>139</v>
      </c>
      <c r="G28" s="6" t="s">
        <v>140</v>
      </c>
      <c r="H28" s="6" t="s">
        <v>141</v>
      </c>
    </row>
    <row r="29" customFormat="false" ht="15" hidden="false" customHeight="true" outlineLevel="0" collapsed="false">
      <c r="A29" s="13"/>
      <c r="B29" s="13" t="s">
        <v>142</v>
      </c>
      <c r="C29" s="13" t="s">
        <v>143</v>
      </c>
      <c r="D29" s="13" t="s">
        <v>144</v>
      </c>
      <c r="E29" s="13" t="s">
        <v>145</v>
      </c>
      <c r="F29" s="13" t="s">
        <v>146</v>
      </c>
      <c r="G29" s="13" t="s">
        <v>147</v>
      </c>
      <c r="H29" s="13" t="s">
        <v>148</v>
      </c>
    </row>
    <row r="30" customFormat="false" ht="15" hidden="false" customHeight="true" outlineLevel="0" collapsed="false">
      <c r="A30" s="1" t="s">
        <v>52</v>
      </c>
      <c r="B30" s="1" t="n">
        <f aca="false">B21</f>
        <v>817</v>
      </c>
      <c r="C30" s="1" t="n">
        <f aca="false">B30*(1+$B$22)</f>
        <v>939.55</v>
      </c>
      <c r="D30" s="1" t="n">
        <f aca="false">C30*(1+$B$22)</f>
        <v>1080.4825</v>
      </c>
      <c r="E30" s="1" t="n">
        <f aca="false">D30*(1+$B$22)</f>
        <v>1242.554875</v>
      </c>
      <c r="F30" s="1" t="n">
        <f aca="false">E30*(1+$B$22)</f>
        <v>1428.93810625</v>
      </c>
      <c r="G30" s="1" t="n">
        <f aca="false">F30*(1+$B$22)</f>
        <v>1643.2788221875</v>
      </c>
    </row>
    <row r="32" customFormat="false" ht="15" hidden="false" customHeight="true" outlineLevel="0" collapsed="false">
      <c r="A32" s="4" t="s">
        <v>149</v>
      </c>
    </row>
    <row r="33" customFormat="false" ht="15" hidden="false" customHeight="true" outlineLevel="0" collapsed="false">
      <c r="A33" s="1" t="s">
        <v>150</v>
      </c>
    </row>
    <row r="35" customFormat="false" ht="15" hidden="false" customHeight="true" outlineLevel="0" collapsed="false">
      <c r="A35" s="1" t="s">
        <v>151</v>
      </c>
      <c r="B35" s="8" t="n">
        <f aca="false">B22</f>
        <v>0.15</v>
      </c>
    </row>
    <row r="36" customFormat="false" ht="15" hidden="false" customHeight="true" outlineLevel="0" collapsed="false">
      <c r="A36" s="1" t="s">
        <v>133</v>
      </c>
      <c r="B36" s="8" t="n">
        <f aca="false">B23</f>
        <v>0.1</v>
      </c>
    </row>
    <row r="37" customFormat="false" ht="15" hidden="false" customHeight="true" outlineLevel="0" collapsed="false">
      <c r="A37" s="1" t="s">
        <v>152</v>
      </c>
      <c r="B37" s="11" t="n">
        <f aca="false">B35-B36</f>
        <v>0.05</v>
      </c>
    </row>
    <row r="39" customFormat="false" ht="15" hidden="false" customHeight="true" outlineLevel="0" collapsed="false">
      <c r="A39" s="1" t="s">
        <v>153</v>
      </c>
      <c r="C39" s="1" t="n">
        <f aca="false">C30*$B$37</f>
        <v>46.9775</v>
      </c>
      <c r="D39" s="1" t="n">
        <f aca="false">D30*$B$37</f>
        <v>54.024125</v>
      </c>
      <c r="E39" s="1" t="n">
        <f aca="false">E30*$B$37</f>
        <v>62.12774375</v>
      </c>
      <c r="F39" s="1" t="n">
        <f aca="false">F30*$B$37</f>
        <v>71.4469053125</v>
      </c>
      <c r="G39" s="1" t="n">
        <f aca="false">G30*$B$37</f>
        <v>82.163941109375</v>
      </c>
    </row>
    <row r="40" customFormat="false" ht="15" hidden="false" customHeight="true" outlineLevel="0" collapsed="false">
      <c r="A40" s="1" t="s">
        <v>154</v>
      </c>
      <c r="H40" s="1" t="n">
        <f aca="false">G39*(1+$B$24)/($B$23-$B$24)</f>
        <v>1208.98370489509</v>
      </c>
    </row>
    <row r="42" customFormat="false" ht="15" hidden="false" customHeight="true" outlineLevel="0" collapsed="false">
      <c r="A42" s="1" t="s">
        <v>155</v>
      </c>
      <c r="C42" s="14" t="n">
        <f aca="false">1/(1+$B$23)^1</f>
        <v>0.909090909090909</v>
      </c>
      <c r="D42" s="14" t="n">
        <f aca="false">1/(1+$B$23)^2</f>
        <v>0.826446280991735</v>
      </c>
      <c r="E42" s="14" t="n">
        <f aca="false">1/(1+$B$23)^3</f>
        <v>0.751314800901578</v>
      </c>
      <c r="F42" s="14" t="n">
        <f aca="false">1/(1+$B$23)^4</f>
        <v>0.683013455365071</v>
      </c>
      <c r="G42" s="14" t="n">
        <f aca="false">1/(1+$B$23)^5</f>
        <v>0.620921323059155</v>
      </c>
      <c r="H42" s="14" t="n">
        <f aca="false">1/(1+$B$23)^5</f>
        <v>0.620921323059155</v>
      </c>
    </row>
    <row r="43" customFormat="false" ht="15" hidden="false" customHeight="true" outlineLevel="0" collapsed="false">
      <c r="A43" s="1" t="s">
        <v>156</v>
      </c>
      <c r="C43" s="1" t="n">
        <f aca="false">C39*C42</f>
        <v>42.7068181818182</v>
      </c>
      <c r="D43" s="1" t="n">
        <f aca="false">D39*D42</f>
        <v>44.6480371900826</v>
      </c>
      <c r="E43" s="1" t="n">
        <f aca="false">E39*E42</f>
        <v>46.6774934259955</v>
      </c>
      <c r="F43" s="1" t="n">
        <f aca="false">F39*F42</f>
        <v>48.7991976726316</v>
      </c>
      <c r="G43" s="1" t="n">
        <f aca="false">G39*G42</f>
        <v>51.0173430213876</v>
      </c>
    </row>
    <row r="44" customFormat="false" ht="15" hidden="false" customHeight="true" outlineLevel="0" collapsed="false">
      <c r="A44" s="1" t="s">
        <v>157</v>
      </c>
      <c r="H44" s="1" t="n">
        <f aca="false">H40*H42</f>
        <v>750.683761600418</v>
      </c>
    </row>
    <row r="46" customFormat="false" ht="15" hidden="false" customHeight="true" outlineLevel="0" collapsed="false">
      <c r="A46" s="4" t="s">
        <v>158</v>
      </c>
    </row>
    <row r="47" customFormat="false" ht="15" hidden="false" customHeight="true" outlineLevel="0" collapsed="false">
      <c r="A47" s="1" t="s">
        <v>159</v>
      </c>
      <c r="B47" s="6" t="n">
        <f aca="false">B21</f>
        <v>817</v>
      </c>
    </row>
    <row r="48" customFormat="false" ht="15" hidden="false" customHeight="true" outlineLevel="0" collapsed="false">
      <c r="A48" s="1" t="s">
        <v>160</v>
      </c>
      <c r="B48" s="1" t="n">
        <f aca="false">SUM(C43:G43)</f>
        <v>233.848889491916</v>
      </c>
    </row>
    <row r="49" customFormat="false" ht="15" hidden="false" customHeight="true" outlineLevel="0" collapsed="false">
      <c r="A49" s="1" t="s">
        <v>161</v>
      </c>
      <c r="B49" s="1" t="n">
        <f aca="false">H44</f>
        <v>750.683761600418</v>
      </c>
    </row>
    <row r="50" customFormat="false" ht="15" hidden="false" customHeight="true" outlineLevel="0" collapsed="false">
      <c r="A50" s="1" t="s">
        <v>162</v>
      </c>
      <c r="B50" s="15" t="n">
        <f aca="false">B47+B48+B49</f>
        <v>1801.53265109233</v>
      </c>
    </row>
    <row r="52" customFormat="false" ht="15" hidden="false" customHeight="true" outlineLevel="0" collapsed="false">
      <c r="A52" s="1" t="s">
        <v>17</v>
      </c>
      <c r="B52" s="1" t="n">
        <f aca="false">B25</f>
        <v>43.56</v>
      </c>
    </row>
    <row r="53" customFormat="false" ht="17.25" hidden="false" customHeight="true" outlineLevel="0" collapsed="false">
      <c r="A53" s="1" t="s">
        <v>163</v>
      </c>
      <c r="B53" s="16" t="n">
        <f aca="false">B50/B52</f>
        <v>41.3574988772345</v>
      </c>
    </row>
    <row r="55" customFormat="false" ht="15" hidden="false" customHeight="true" outlineLevel="0" collapsed="false">
      <c r="A55" s="1" t="s">
        <v>164</v>
      </c>
      <c r="B55" s="5" t="n">
        <v>26.12</v>
      </c>
    </row>
    <row r="56" customFormat="false" ht="15" hidden="false" customHeight="true" outlineLevel="0" collapsed="false">
      <c r="A56" s="1" t="s">
        <v>165</v>
      </c>
      <c r="B56" s="11" t="n">
        <f aca="false">(B53-B55)/B55</f>
        <v>0.583365194381105</v>
      </c>
    </row>
    <row r="58" customFormat="false" ht="15" hidden="false" customHeight="true" outlineLevel="0" collapsed="false">
      <c r="A58" s="4" t="s">
        <v>166</v>
      </c>
    </row>
    <row r="60" customFormat="false" ht="15" hidden="false" customHeight="true" outlineLevel="0" collapsed="false">
      <c r="A60" s="1" t="s">
        <v>167</v>
      </c>
      <c r="B60" s="1" t="n">
        <f aca="false">B21/B25</f>
        <v>18.7557392102847</v>
      </c>
    </row>
    <row r="61" customFormat="false" ht="15" hidden="false" customHeight="true" outlineLevel="0" collapsed="false">
      <c r="A61" s="1" t="s">
        <v>168</v>
      </c>
      <c r="B61" s="17" t="n">
        <f aca="false">(B22-B24)/(B23-B24)</f>
        <v>1.71428571428571</v>
      </c>
    </row>
    <row r="62" customFormat="false" ht="15" hidden="false" customHeight="true" outlineLevel="0" collapsed="false">
      <c r="A62" s="1" t="s">
        <v>169</v>
      </c>
      <c r="B62" s="18" t="n">
        <f aca="false">B60*B61</f>
        <v>32.1526957890594</v>
      </c>
    </row>
    <row r="64" customFormat="false" ht="15" hidden="false" customHeight="true" outlineLevel="0" collapsed="false">
      <c r="A64" s="1" t="s">
        <v>170</v>
      </c>
      <c r="B64" s="17" t="n">
        <f aca="false">B55/B60</f>
        <v>1.39264039167687</v>
      </c>
    </row>
    <row r="66" customFormat="false" ht="15" hidden="false" customHeight="true" outlineLevel="0" collapsed="false">
      <c r="A66" s="4" t="s">
        <v>171</v>
      </c>
    </row>
    <row r="67" customFormat="false" ht="15" hidden="false" customHeight="true" outlineLevel="0" collapsed="false">
      <c r="A67" s="1" t="s">
        <v>172</v>
      </c>
    </row>
    <row r="68" customFormat="false" ht="15" hidden="false" customHeight="true" outlineLevel="0" collapsed="false">
      <c r="A68" s="1" t="s">
        <v>173</v>
      </c>
    </row>
    <row r="69" customFormat="false" ht="15" hidden="false" customHeight="true" outlineLevel="0" collapsed="false">
      <c r="A69" s="1" t="s">
        <v>174</v>
      </c>
    </row>
    <row r="70" customFormat="false" ht="15" hidden="false" customHeight="true" outlineLevel="0" collapsed="false">
      <c r="A70" s="1" t="s">
        <v>175</v>
      </c>
    </row>
    <row r="71" customFormat="false" ht="15" hidden="false" customHeight="true" outlineLevel="0" collapsed="false">
      <c r="A71" s="1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3" t="s">
        <v>177</v>
      </c>
    </row>
    <row r="3" customFormat="false" ht="15" hidden="false" customHeight="true" outlineLevel="0" collapsed="false">
      <c r="A3" s="6"/>
      <c r="B3" s="6" t="s">
        <v>178</v>
      </c>
      <c r="C3" s="6" t="s">
        <v>136</v>
      </c>
      <c r="D3" s="6" t="s">
        <v>137</v>
      </c>
      <c r="E3" s="6" t="s">
        <v>138</v>
      </c>
      <c r="F3" s="6" t="s">
        <v>139</v>
      </c>
      <c r="G3" s="6" t="s">
        <v>140</v>
      </c>
      <c r="H3" s="6" t="s">
        <v>141</v>
      </c>
    </row>
    <row r="4" customFormat="false" ht="15" hidden="false" customHeight="true" outlineLevel="0" collapsed="false">
      <c r="A4" s="7"/>
      <c r="B4" s="7" t="s">
        <v>36</v>
      </c>
      <c r="C4" s="7" t="s">
        <v>179</v>
      </c>
      <c r="D4" s="7" t="s">
        <v>180</v>
      </c>
      <c r="E4" s="7" t="s">
        <v>181</v>
      </c>
      <c r="F4" s="7" t="s">
        <v>182</v>
      </c>
      <c r="G4" s="7" t="s">
        <v>183</v>
      </c>
      <c r="H4" s="7" t="s">
        <v>148</v>
      </c>
    </row>
    <row r="5" customFormat="false" ht="15" hidden="false" customHeight="true" outlineLevel="0" collapsed="false">
      <c r="A5" s="4" t="s">
        <v>184</v>
      </c>
    </row>
    <row r="6" customFormat="false" ht="15" hidden="false" customHeight="true" outlineLevel="0" collapsed="false">
      <c r="A6" s="1" t="s">
        <v>185</v>
      </c>
      <c r="B6" s="1" t="n">
        <f aca="false">'DCF Assumptions'!B4</f>
        <v>479.3</v>
      </c>
      <c r="C6" s="1" t="n">
        <f aca="false">B6*(1+'DCF Assumptions'!B5)</f>
        <v>536.816</v>
      </c>
      <c r="D6" s="1" t="n">
        <f aca="false">C6*(1+'DCF Assumptions'!B6)</f>
        <v>579.76128</v>
      </c>
      <c r="E6" s="1" t="n">
        <f aca="false">D6*(1+'DCF Assumptions'!B7)</f>
        <v>614.5469568</v>
      </c>
      <c r="F6" s="1" t="n">
        <f aca="false">E6*(1+'DCF Assumptions'!B8)</f>
        <v>645.27430464</v>
      </c>
      <c r="G6" s="1" t="n">
        <f aca="false">F6*(1+'DCF Assumptions'!B9)</f>
        <v>671.0852768256</v>
      </c>
    </row>
    <row r="7" customFormat="false" ht="15" hidden="false" customHeight="true" outlineLevel="0" collapsed="false">
      <c r="A7" s="1" t="s">
        <v>186</v>
      </c>
      <c r="B7" s="1" t="s">
        <v>187</v>
      </c>
      <c r="C7" s="8" t="n">
        <f aca="false">'DCF Assumptions'!B5</f>
        <v>0.12</v>
      </c>
      <c r="D7" s="8" t="n">
        <f aca="false">'DCF Assumptions'!B6</f>
        <v>0.08</v>
      </c>
      <c r="E7" s="8" t="n">
        <f aca="false">'DCF Assumptions'!B7</f>
        <v>0.06</v>
      </c>
      <c r="F7" s="8" t="n">
        <f aca="false">'DCF Assumptions'!B8</f>
        <v>0.05</v>
      </c>
      <c r="G7" s="8" t="n">
        <f aca="false">'DCF Assumptions'!B9</f>
        <v>0.04</v>
      </c>
    </row>
    <row r="9" customFormat="false" ht="15" hidden="false" customHeight="true" outlineLevel="0" collapsed="false">
      <c r="A9" s="4" t="s">
        <v>188</v>
      </c>
    </row>
    <row r="10" customFormat="false" ht="15" hidden="false" customHeight="true" outlineLevel="0" collapsed="false">
      <c r="A10" s="1" t="s">
        <v>189</v>
      </c>
      <c r="B10" s="19" t="n">
        <v>0.45</v>
      </c>
      <c r="C10" s="8" t="n">
        <f aca="false">'DCF Assumptions'!B12</f>
        <v>0.32</v>
      </c>
      <c r="D10" s="8" t="n">
        <f aca="false">'DCF Assumptions'!B12</f>
        <v>0.32</v>
      </c>
      <c r="E10" s="8" t="n">
        <f aca="false">'DCF Assumptions'!B12</f>
        <v>0.32</v>
      </c>
      <c r="F10" s="8" t="n">
        <f aca="false">'DCF Assumptions'!B12</f>
        <v>0.32</v>
      </c>
      <c r="G10" s="8" t="n">
        <f aca="false">'DCF Assumptions'!B12</f>
        <v>0.32</v>
      </c>
    </row>
    <row r="11" customFormat="false" ht="15" hidden="false" customHeight="true" outlineLevel="0" collapsed="false">
      <c r="A11" s="1" t="s">
        <v>45</v>
      </c>
      <c r="B11" s="1" t="n">
        <f aca="false">B6*B10</f>
        <v>215.685</v>
      </c>
      <c r="C11" s="1" t="n">
        <f aca="false">C6*C10</f>
        <v>171.78112</v>
      </c>
      <c r="D11" s="1" t="n">
        <f aca="false">D6*D10</f>
        <v>185.5236096</v>
      </c>
      <c r="E11" s="1" t="n">
        <f aca="false">E6*E10</f>
        <v>196.655026176</v>
      </c>
      <c r="F11" s="1" t="n">
        <f aca="false">F6*F10</f>
        <v>206.4877774848</v>
      </c>
      <c r="G11" s="1" t="n">
        <f aca="false">G6*G10</f>
        <v>214.747288584192</v>
      </c>
    </row>
    <row r="13" customFormat="false" ht="15" hidden="false" customHeight="true" outlineLevel="0" collapsed="false">
      <c r="A13" s="4" t="s">
        <v>190</v>
      </c>
    </row>
    <row r="14" customFormat="false" ht="15" hidden="false" customHeight="true" outlineLevel="0" collapsed="false">
      <c r="A14" s="1" t="s">
        <v>45</v>
      </c>
      <c r="C14" s="1" t="n">
        <f aca="false">C11</f>
        <v>171.78112</v>
      </c>
      <c r="D14" s="1" t="n">
        <f aca="false">D11</f>
        <v>185.5236096</v>
      </c>
      <c r="E14" s="1" t="n">
        <f aca="false">E11</f>
        <v>196.655026176</v>
      </c>
      <c r="F14" s="1" t="n">
        <f aca="false">F11</f>
        <v>206.4877774848</v>
      </c>
      <c r="G14" s="1" t="n">
        <f aca="false">G11</f>
        <v>214.747288584192</v>
      </c>
    </row>
    <row r="15" customFormat="false" ht="15" hidden="false" customHeight="true" outlineLevel="0" collapsed="false">
      <c r="A15" s="1" t="s">
        <v>191</v>
      </c>
      <c r="C15" s="1" t="n">
        <f aca="false">-C6*'DCF Assumptions'!B13</f>
        <v>-10.73632</v>
      </c>
      <c r="D15" s="1" t="n">
        <f aca="false">-D6*'DCF Assumptions'!B13</f>
        <v>-11.5952256</v>
      </c>
      <c r="E15" s="1" t="n">
        <f aca="false">-E6*'DCF Assumptions'!B13</f>
        <v>-12.290939136</v>
      </c>
      <c r="F15" s="1" t="n">
        <f aca="false">-F6*'DCF Assumptions'!B13</f>
        <v>-12.9054860928</v>
      </c>
      <c r="G15" s="1" t="n">
        <f aca="false">-G6*'DCF Assumptions'!B13</f>
        <v>-13.421705536512</v>
      </c>
    </row>
    <row r="16" customFormat="false" ht="15" hidden="false" customHeight="true" outlineLevel="0" collapsed="false">
      <c r="A16" s="1" t="s">
        <v>192</v>
      </c>
      <c r="C16" s="1" t="n">
        <f aca="false">C14+C15</f>
        <v>161.0448</v>
      </c>
      <c r="D16" s="1" t="n">
        <f aca="false">D14+D15</f>
        <v>173.928384</v>
      </c>
      <c r="E16" s="1" t="n">
        <f aca="false">E14+E15</f>
        <v>184.36408704</v>
      </c>
      <c r="F16" s="1" t="n">
        <f aca="false">F14+F15</f>
        <v>193.582291392</v>
      </c>
      <c r="G16" s="1" t="n">
        <f aca="false">G14+G15</f>
        <v>201.32558304768</v>
      </c>
    </row>
    <row r="17" customFormat="false" ht="15" hidden="false" customHeight="true" outlineLevel="0" collapsed="false">
      <c r="A17" s="1" t="s">
        <v>193</v>
      </c>
      <c r="C17" s="1" t="n">
        <f aca="false">-C16*'DCF Assumptions'!B14</f>
        <v>-40.2612</v>
      </c>
      <c r="D17" s="1" t="n">
        <f aca="false">-D16*'DCF Assumptions'!B14</f>
        <v>-43.482096</v>
      </c>
      <c r="E17" s="1" t="n">
        <f aca="false">-E16*'DCF Assumptions'!B14</f>
        <v>-46.09102176</v>
      </c>
      <c r="F17" s="1" t="n">
        <f aca="false">-F16*'DCF Assumptions'!B14</f>
        <v>-48.395572848</v>
      </c>
      <c r="G17" s="1" t="n">
        <f aca="false">-G16*'DCF Assumptions'!B14</f>
        <v>-50.33139576192</v>
      </c>
    </row>
    <row r="18" customFormat="false" ht="15" hidden="false" customHeight="true" outlineLevel="0" collapsed="false">
      <c r="A18" s="1" t="s">
        <v>194</v>
      </c>
      <c r="C18" s="1" t="n">
        <f aca="false">C16+C17</f>
        <v>120.7836</v>
      </c>
      <c r="D18" s="1" t="n">
        <f aca="false">D16+D17</f>
        <v>130.446288</v>
      </c>
      <c r="E18" s="1" t="n">
        <f aca="false">E16+E17</f>
        <v>138.27306528</v>
      </c>
      <c r="F18" s="1" t="n">
        <f aca="false">F16+F17</f>
        <v>145.186718544</v>
      </c>
      <c r="G18" s="1" t="n">
        <f aca="false">G16+G17</f>
        <v>150.99418728576</v>
      </c>
    </row>
    <row r="19" customFormat="false" ht="15" hidden="false" customHeight="true" outlineLevel="0" collapsed="false">
      <c r="A19" s="1" t="s">
        <v>195</v>
      </c>
      <c r="C19" s="1" t="n">
        <f aca="false">-C15</f>
        <v>10.73632</v>
      </c>
      <c r="D19" s="1" t="n">
        <f aca="false">-D15</f>
        <v>11.5952256</v>
      </c>
      <c r="E19" s="1" t="n">
        <f aca="false">-E15</f>
        <v>12.290939136</v>
      </c>
      <c r="F19" s="1" t="n">
        <f aca="false">-F15</f>
        <v>12.9054860928</v>
      </c>
      <c r="G19" s="1" t="n">
        <f aca="false">-G15</f>
        <v>13.421705536512</v>
      </c>
    </row>
    <row r="20" customFormat="false" ht="15" hidden="false" customHeight="true" outlineLevel="0" collapsed="false">
      <c r="A20" s="1" t="s">
        <v>196</v>
      </c>
      <c r="C20" s="1" t="n">
        <f aca="false">-C6*'DCF Assumptions'!B15</f>
        <v>-8.05224</v>
      </c>
      <c r="D20" s="1" t="n">
        <f aca="false">-D6*'DCF Assumptions'!B15</f>
        <v>-8.6964192</v>
      </c>
      <c r="E20" s="1" t="n">
        <f aca="false">-E6*'DCF Assumptions'!B15</f>
        <v>-9.218204352</v>
      </c>
      <c r="F20" s="1" t="n">
        <f aca="false">-F6*'DCF Assumptions'!B15</f>
        <v>-9.6791145696</v>
      </c>
      <c r="G20" s="1" t="n">
        <f aca="false">-G6*'DCF Assumptions'!B15</f>
        <v>-10.066279152384</v>
      </c>
    </row>
    <row r="21" customFormat="false" ht="15" hidden="false" customHeight="true" outlineLevel="0" collapsed="false">
      <c r="A21" s="1" t="s">
        <v>197</v>
      </c>
      <c r="C21" s="1" t="n">
        <f aca="false">-(C6-B6)*'DCF Assumptions'!B16</f>
        <v>-2.8758</v>
      </c>
      <c r="D21" s="1" t="n">
        <f aca="false">-(D6-C6)*'DCF Assumptions'!B16</f>
        <v>-2.147264</v>
      </c>
      <c r="E21" s="1" t="n">
        <f aca="false">-(E6-D6)*'DCF Assumptions'!B16</f>
        <v>-1.73928384</v>
      </c>
      <c r="F21" s="1" t="n">
        <f aca="false">-(F6-E6)*'DCF Assumptions'!B16</f>
        <v>-1.536367392</v>
      </c>
      <c r="G21" s="1" t="n">
        <f aca="false">-(G6-F6)*'DCF Assumptions'!B16</f>
        <v>-1.29054860928</v>
      </c>
    </row>
    <row r="22" customFormat="false" ht="15" hidden="false" customHeight="true" outlineLevel="0" collapsed="false">
      <c r="A22" s="6" t="s">
        <v>198</v>
      </c>
      <c r="C22" s="6" t="n">
        <f aca="false">SUM(C18:C21)</f>
        <v>120.59188</v>
      </c>
      <c r="D22" s="6" t="n">
        <f aca="false">SUM(D18:D21)</f>
        <v>131.1978304</v>
      </c>
      <c r="E22" s="6" t="n">
        <f aca="false">SUM(E18:E21)</f>
        <v>139.606516224</v>
      </c>
      <c r="F22" s="6" t="n">
        <f aca="false">SUM(F18:F21)</f>
        <v>146.8767226752</v>
      </c>
      <c r="G22" s="6" t="n">
        <f aca="false">SUM(G18:G21)</f>
        <v>153.059065060608</v>
      </c>
    </row>
    <row r="24" customFormat="false" ht="15" hidden="false" customHeight="true" outlineLevel="0" collapsed="false">
      <c r="A24" s="4" t="s">
        <v>199</v>
      </c>
    </row>
    <row r="25" customFormat="false" ht="15" hidden="false" customHeight="true" outlineLevel="0" collapsed="false">
      <c r="A25" s="1" t="s">
        <v>200</v>
      </c>
      <c r="H25" s="1" t="n">
        <f aca="false">G22*(1+'DCF Assumptions'!B30)</f>
        <v>157.650837012426</v>
      </c>
    </row>
    <row r="26" customFormat="false" ht="15" hidden="false" customHeight="true" outlineLevel="0" collapsed="false">
      <c r="A26" s="1" t="s">
        <v>201</v>
      </c>
      <c r="H26" s="6" t="n">
        <f aca="false">H25/('DCF Assumptions'!B27-'DCF Assumptions'!B30)</f>
        <v>2564.47071187355</v>
      </c>
    </row>
    <row r="28" customFormat="false" ht="15" hidden="false" customHeight="true" outlineLevel="0" collapsed="false">
      <c r="A28" s="4" t="s">
        <v>202</v>
      </c>
    </row>
    <row r="29" customFormat="false" ht="15" hidden="false" customHeight="true" outlineLevel="0" collapsed="false">
      <c r="A29" s="1" t="s">
        <v>203</v>
      </c>
      <c r="B29" s="20" t="n">
        <f aca="false">'DCF Assumptions'!B27</f>
        <v>0.091475</v>
      </c>
    </row>
    <row r="30" customFormat="false" ht="15" hidden="false" customHeight="true" outlineLevel="0" collapsed="false">
      <c r="A30" s="1" t="s">
        <v>155</v>
      </c>
      <c r="C30" s="14" t="n">
        <f aca="false">1/(1+$B$29)^1</f>
        <v>0.916191392381869</v>
      </c>
      <c r="D30" s="14" t="n">
        <f aca="false">1/(1+$B$29)^2</f>
        <v>0.839406667474627</v>
      </c>
      <c r="E30" s="14" t="n">
        <f aca="false">1/(1+$B$29)^3</f>
        <v>0.769057163448203</v>
      </c>
      <c r="F30" s="14" t="n">
        <f aca="false">1/(1+$B$29)^4</f>
        <v>0.704603553400859</v>
      </c>
      <c r="G30" s="14" t="n">
        <f aca="false">1/(1+$B$29)^5</f>
        <v>0.645551710667546</v>
      </c>
      <c r="H30" s="14" t="n">
        <f aca="false">1/(1+$B$29)^5</f>
        <v>0.645551710667546</v>
      </c>
    </row>
    <row r="31" customFormat="false" ht="15" hidden="false" customHeight="true" outlineLevel="0" collapsed="false">
      <c r="A31" s="1" t="s">
        <v>204</v>
      </c>
      <c r="C31" s="1" t="n">
        <f aca="false">C22*C30</f>
        <v>110.485242447147</v>
      </c>
      <c r="D31" s="1" t="n">
        <f aca="false">D22*D30</f>
        <v>110.128333595965</v>
      </c>
      <c r="E31" s="1" t="n">
        <f aca="false">E22*E30</f>
        <v>107.365391366115</v>
      </c>
      <c r="F31" s="1" t="n">
        <f aca="false">F22*F30</f>
        <v>103.489860708819</v>
      </c>
      <c r="G31" s="1" t="n">
        <f aca="false">G22*G30</f>
        <v>98.8075412830506</v>
      </c>
    </row>
    <row r="32" customFormat="false" ht="15" hidden="false" customHeight="true" outlineLevel="0" collapsed="false">
      <c r="A32" s="1" t="s">
        <v>205</v>
      </c>
      <c r="H32" s="1" t="n">
        <f aca="false">H26*H30</f>
        <v>1655.49845500679</v>
      </c>
    </row>
    <row r="34" customFormat="false" ht="15" hidden="false" customHeight="true" outlineLevel="0" collapsed="false">
      <c r="A34" s="4" t="s">
        <v>158</v>
      </c>
    </row>
    <row r="35" customFormat="false" ht="15" hidden="false" customHeight="true" outlineLevel="0" collapsed="false">
      <c r="A35" s="1" t="s">
        <v>206</v>
      </c>
      <c r="B35" s="6" t="n">
        <f aca="false">SUM(C31:G31)</f>
        <v>530.276369401097</v>
      </c>
    </row>
    <row r="36" customFormat="false" ht="15" hidden="false" customHeight="true" outlineLevel="0" collapsed="false">
      <c r="A36" s="1" t="s">
        <v>205</v>
      </c>
      <c r="B36" s="6" t="n">
        <f aca="false">H32</f>
        <v>1655.49845500679</v>
      </c>
    </row>
    <row r="37" customFormat="false" ht="15" hidden="false" customHeight="true" outlineLevel="0" collapsed="false">
      <c r="A37" s="1" t="s">
        <v>207</v>
      </c>
      <c r="B37" s="18" t="n">
        <f aca="false">B35+B36</f>
        <v>2185.77482440788</v>
      </c>
    </row>
    <row r="39" customFormat="false" ht="15" hidden="false" customHeight="true" outlineLevel="0" collapsed="false">
      <c r="A39" s="4" t="s">
        <v>208</v>
      </c>
    </row>
    <row r="40" customFormat="false" ht="15" hidden="false" customHeight="true" outlineLevel="0" collapsed="false">
      <c r="A40" s="1" t="s">
        <v>207</v>
      </c>
      <c r="B40" s="1" t="n">
        <f aca="false">B37</f>
        <v>2185.77482440788</v>
      </c>
    </row>
    <row r="41" customFormat="false" ht="15" hidden="false" customHeight="true" outlineLevel="0" collapsed="false">
      <c r="A41" s="1" t="s">
        <v>209</v>
      </c>
      <c r="B41" s="5" t="n">
        <v>-100</v>
      </c>
      <c r="C41" s="1" t="s">
        <v>210</v>
      </c>
    </row>
    <row r="42" customFormat="false" ht="15" hidden="false" customHeight="true" outlineLevel="0" collapsed="false">
      <c r="A42" s="1" t="s">
        <v>211</v>
      </c>
      <c r="B42" s="18" t="n">
        <f aca="false">B40-B41</f>
        <v>2285.77482440788</v>
      </c>
    </row>
    <row r="44" customFormat="false" ht="15" hidden="false" customHeight="true" outlineLevel="0" collapsed="false">
      <c r="A44" s="1" t="s">
        <v>212</v>
      </c>
      <c r="B44" s="5" t="n">
        <v>43.56</v>
      </c>
    </row>
    <row r="45" customFormat="false" ht="17.25" hidden="false" customHeight="true" outlineLevel="0" collapsed="false">
      <c r="A45" s="1" t="s">
        <v>213</v>
      </c>
      <c r="B45" s="16" t="n">
        <f aca="false">B42/B44</f>
        <v>52.4741695226787</v>
      </c>
    </row>
    <row r="47" customFormat="false" ht="15" hidden="false" customHeight="true" outlineLevel="0" collapsed="false">
      <c r="A47" s="1" t="s">
        <v>214</v>
      </c>
      <c r="B47" s="5" t="n">
        <v>26.12</v>
      </c>
    </row>
    <row r="48" customFormat="false" ht="15" hidden="false" customHeight="true" outlineLevel="0" collapsed="false">
      <c r="A48" s="1" t="s">
        <v>215</v>
      </c>
      <c r="B48" s="11" t="n">
        <f aca="false">(B45-B47)/B47</f>
        <v>1.00896514252215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3" t="s">
        <v>216</v>
      </c>
    </row>
    <row r="3" customFormat="false" ht="15" hidden="false" customHeight="true" outlineLevel="0" collapsed="false">
      <c r="A3" s="4" t="s">
        <v>217</v>
      </c>
    </row>
    <row r="4" customFormat="false" ht="15" hidden="false" customHeight="true" outlineLevel="0" collapsed="false">
      <c r="A4" s="1" t="s">
        <v>218</v>
      </c>
    </row>
    <row r="6" customFormat="false" ht="15" hidden="false" customHeight="true" outlineLevel="0" collapsed="false">
      <c r="B6" s="6" t="s">
        <v>219</v>
      </c>
    </row>
    <row r="7" customFormat="false" ht="15" hidden="false" customHeight="true" outlineLevel="0" collapsed="false">
      <c r="C7" s="21" t="n">
        <v>0.01</v>
      </c>
      <c r="D7" s="21" t="n">
        <v>0.015</v>
      </c>
      <c r="E7" s="21" t="n">
        <v>0.02</v>
      </c>
      <c r="F7" s="21" t="n">
        <v>0.025</v>
      </c>
      <c r="G7" s="21" t="n">
        <v>0.03</v>
      </c>
    </row>
    <row r="8" customFormat="false" ht="15" hidden="false" customHeight="true" outlineLevel="0" collapsed="false">
      <c r="A8" s="6" t="s">
        <v>203</v>
      </c>
    </row>
    <row r="9" customFormat="false" ht="15" hidden="false" customHeight="true" outlineLevel="0" collapsed="false">
      <c r="B9" s="11" t="n">
        <v>0.07</v>
      </c>
      <c r="C9" s="1" t="n">
        <v>45.3</v>
      </c>
      <c r="D9" s="1" t="n">
        <v>48.4</v>
      </c>
      <c r="E9" s="1" t="n">
        <v>52.2</v>
      </c>
      <c r="F9" s="1" t="n">
        <v>56.8</v>
      </c>
      <c r="G9" s="1" t="n">
        <v>62.6</v>
      </c>
    </row>
    <row r="10" customFormat="false" ht="15" hidden="false" customHeight="true" outlineLevel="0" collapsed="false">
      <c r="B10" s="11" t="n">
        <v>0.08</v>
      </c>
      <c r="C10" s="1" t="n">
        <v>40.6</v>
      </c>
      <c r="D10" s="1" t="n">
        <v>42.9</v>
      </c>
      <c r="E10" s="1" t="n">
        <v>45.6</v>
      </c>
      <c r="F10" s="1" t="n">
        <v>48.8</v>
      </c>
      <c r="G10" s="1" t="n">
        <v>52.6</v>
      </c>
    </row>
    <row r="11" customFormat="false" ht="15" hidden="false" customHeight="true" outlineLevel="0" collapsed="false">
      <c r="B11" s="11" t="n">
        <v>0.09</v>
      </c>
      <c r="C11" s="1" t="n">
        <v>37.1</v>
      </c>
      <c r="D11" s="1" t="n">
        <v>38.9</v>
      </c>
      <c r="E11" s="22" t="n">
        <v>40.9</v>
      </c>
      <c r="F11" s="1" t="n">
        <v>43.2</v>
      </c>
      <c r="G11" s="1" t="n">
        <v>45.9</v>
      </c>
    </row>
    <row r="12" customFormat="false" ht="15" hidden="false" customHeight="true" outlineLevel="0" collapsed="false">
      <c r="B12" s="11" t="n">
        <v>0.1</v>
      </c>
      <c r="C12" s="1" t="n">
        <v>34.4</v>
      </c>
      <c r="D12" s="1" t="n">
        <v>35.8</v>
      </c>
      <c r="E12" s="1" t="n">
        <v>37.4</v>
      </c>
      <c r="F12" s="1" t="n">
        <v>39.1</v>
      </c>
      <c r="G12" s="1" t="n">
        <v>41.2</v>
      </c>
    </row>
    <row r="13" customFormat="false" ht="15" hidden="false" customHeight="true" outlineLevel="0" collapsed="false">
      <c r="B13" s="11" t="n">
        <v>0.11</v>
      </c>
      <c r="C13" s="1" t="n">
        <v>32.2</v>
      </c>
      <c r="D13" s="1" t="n">
        <v>33.4</v>
      </c>
      <c r="E13" s="1" t="n">
        <v>34.6</v>
      </c>
      <c r="F13" s="1" t="n">
        <v>36</v>
      </c>
      <c r="G13" s="1" t="n">
        <v>37.6</v>
      </c>
    </row>
    <row r="14" customFormat="false" ht="15" hidden="false" customHeight="true" outlineLevel="0" collapsed="false">
      <c r="B14" s="11" t="n">
        <v>0.12</v>
      </c>
      <c r="C14" s="1" t="n">
        <v>30.4</v>
      </c>
      <c r="D14" s="1" t="n">
        <v>31.4</v>
      </c>
      <c r="E14" s="1" t="n">
        <v>32.4</v>
      </c>
      <c r="F14" s="1" t="n">
        <v>33.6</v>
      </c>
      <c r="G14" s="1" t="n">
        <v>34.8</v>
      </c>
    </row>
    <row r="18" customFormat="false" ht="15" hidden="false" customHeight="true" outlineLevel="0" collapsed="false">
      <c r="A18" s="4" t="s">
        <v>220</v>
      </c>
    </row>
    <row r="19" customFormat="false" ht="15" hidden="false" customHeight="true" outlineLevel="0" collapsed="false">
      <c r="A19" s="1" t="s">
        <v>221</v>
      </c>
    </row>
    <row r="21" customFormat="false" ht="15" hidden="false" customHeight="true" outlineLevel="0" collapsed="false">
      <c r="B21" s="1" t="s">
        <v>222</v>
      </c>
      <c r="C21" s="1" t="s">
        <v>223</v>
      </c>
      <c r="D21" s="1" t="s">
        <v>224</v>
      </c>
    </row>
    <row r="22" customFormat="false" ht="15" hidden="false" customHeight="true" outlineLevel="0" collapsed="false">
      <c r="B22" s="8" t="n">
        <v>0.05</v>
      </c>
      <c r="C22" s="1" t="n">
        <v>32</v>
      </c>
      <c r="D22" s="20" t="s">
        <v>225</v>
      </c>
    </row>
    <row r="23" customFormat="false" ht="15" hidden="false" customHeight="true" outlineLevel="0" collapsed="false">
      <c r="B23" s="8" t="n">
        <v>0.08</v>
      </c>
      <c r="C23" s="1" t="n">
        <v>35</v>
      </c>
      <c r="D23" s="20" t="s">
        <v>226</v>
      </c>
    </row>
    <row r="24" customFormat="false" ht="15" hidden="false" customHeight="true" outlineLevel="0" collapsed="false">
      <c r="B24" s="23" t="n">
        <v>0.12</v>
      </c>
      <c r="C24" s="22" t="n">
        <v>40</v>
      </c>
      <c r="D24" s="1" t="s">
        <v>178</v>
      </c>
    </row>
    <row r="25" customFormat="false" ht="15" hidden="false" customHeight="true" outlineLevel="0" collapsed="false">
      <c r="B25" s="8" t="n">
        <v>0.15</v>
      </c>
      <c r="C25" s="1" t="n">
        <v>44</v>
      </c>
      <c r="D25" s="20" t="s">
        <v>227</v>
      </c>
    </row>
    <row r="26" customFormat="false" ht="15" hidden="false" customHeight="true" outlineLevel="0" collapsed="false">
      <c r="B26" s="8" t="n">
        <v>0.2</v>
      </c>
      <c r="C26" s="1" t="n">
        <v>50</v>
      </c>
      <c r="D26" s="20" t="s">
        <v>228</v>
      </c>
    </row>
    <row r="29" customFormat="false" ht="15" hidden="false" customHeight="true" outlineLevel="0" collapsed="false">
      <c r="A29" s="4" t="s">
        <v>229</v>
      </c>
    </row>
    <row r="30" customFormat="false" ht="15" hidden="false" customHeight="true" outlineLevel="0" collapsed="false">
      <c r="A30" s="1" t="s">
        <v>230</v>
      </c>
    </row>
    <row r="32" customFormat="false" ht="15" hidden="false" customHeight="true" outlineLevel="0" collapsed="false">
      <c r="B32" s="1" t="s">
        <v>231</v>
      </c>
      <c r="C32" s="1" t="s">
        <v>232</v>
      </c>
      <c r="D32" s="1" t="s">
        <v>203</v>
      </c>
      <c r="E32" s="1" t="s">
        <v>223</v>
      </c>
    </row>
    <row r="33" customFormat="false" ht="15" hidden="false" customHeight="true" outlineLevel="0" collapsed="false">
      <c r="B33" s="22" t="n">
        <v>0.19</v>
      </c>
      <c r="C33" s="23" t="n">
        <v>0.047</v>
      </c>
      <c r="D33" s="23" t="n">
        <v>0.046</v>
      </c>
      <c r="E33" s="22" t="n">
        <v>79.1</v>
      </c>
    </row>
    <row r="34" customFormat="false" ht="15" hidden="false" customHeight="true" outlineLevel="0" collapsed="false">
      <c r="B34" s="1" t="n">
        <v>0.6</v>
      </c>
      <c r="C34" s="8" t="n">
        <v>0.074</v>
      </c>
      <c r="D34" s="8" t="n">
        <v>0.064</v>
      </c>
      <c r="E34" s="1" t="n">
        <v>56.1</v>
      </c>
    </row>
    <row r="35" customFormat="false" ht="15" hidden="false" customHeight="true" outlineLevel="0" collapsed="false">
      <c r="B35" s="1" t="n">
        <v>0.9</v>
      </c>
      <c r="C35" s="8" t="n">
        <v>0.093</v>
      </c>
      <c r="D35" s="8" t="n">
        <v>0.078</v>
      </c>
      <c r="E35" s="1" t="n">
        <v>46.3</v>
      </c>
    </row>
    <row r="36" customFormat="false" ht="15" hidden="false" customHeight="true" outlineLevel="0" collapsed="false">
      <c r="B36" s="22" t="n">
        <v>1.2</v>
      </c>
      <c r="C36" s="23" t="n">
        <v>0.113</v>
      </c>
      <c r="D36" s="23" t="n">
        <v>0.091</v>
      </c>
      <c r="E36" s="22" t="n">
        <v>39.4</v>
      </c>
    </row>
    <row r="37" customFormat="false" ht="15" hidden="false" customHeight="true" outlineLevel="0" collapsed="false">
      <c r="B37" s="1" t="n">
        <v>1.5</v>
      </c>
      <c r="C37" s="8" t="n">
        <v>0.133</v>
      </c>
      <c r="D37" s="8" t="n">
        <v>0.105</v>
      </c>
      <c r="E37" s="1" t="n">
        <v>34.2</v>
      </c>
    </row>
    <row r="39" customFormat="false" ht="15" hidden="false" customHeight="true" outlineLevel="0" collapsed="false">
      <c r="A39" s="1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3" t="s">
        <v>234</v>
      </c>
    </row>
    <row r="3" customFormat="false" ht="15" hidden="false" customHeight="true" outlineLevel="0" collapsed="false">
      <c r="A3" s="4" t="s">
        <v>235</v>
      </c>
    </row>
    <row r="5" customFormat="false" ht="15" hidden="false" customHeight="true" outlineLevel="0" collapsed="false">
      <c r="A5" s="6" t="s">
        <v>236</v>
      </c>
      <c r="B5" s="6" t="s">
        <v>237</v>
      </c>
      <c r="C5" s="6" t="s">
        <v>238</v>
      </c>
      <c r="D5" s="6" t="s">
        <v>239</v>
      </c>
      <c r="E5" s="6" t="s">
        <v>240</v>
      </c>
      <c r="F5" s="6" t="s">
        <v>241</v>
      </c>
      <c r="G5" s="6" t="s">
        <v>242</v>
      </c>
    </row>
    <row r="6" customFormat="false" ht="15" hidden="false" customHeight="true" outlineLevel="0" collapsed="false">
      <c r="A6" s="24" t="s">
        <v>243</v>
      </c>
      <c r="B6" s="24" t="s">
        <v>244</v>
      </c>
      <c r="C6" s="24" t="n">
        <v>1137</v>
      </c>
      <c r="D6" s="24" t="n">
        <v>6.2</v>
      </c>
      <c r="E6" s="24" t="n">
        <v>5.3</v>
      </c>
      <c r="F6" s="24" t="n">
        <v>1.4</v>
      </c>
      <c r="G6" s="24" t="n">
        <v>24</v>
      </c>
    </row>
    <row r="7" customFormat="false" ht="15" hidden="false" customHeight="true" outlineLevel="0" collapsed="false">
      <c r="A7" s="1" t="s">
        <v>245</v>
      </c>
      <c r="B7" s="1" t="s">
        <v>246</v>
      </c>
      <c r="C7" s="1" t="n">
        <v>7192</v>
      </c>
      <c r="D7" s="1" t="n">
        <v>8.5</v>
      </c>
      <c r="E7" s="1" t="n">
        <v>6.8</v>
      </c>
      <c r="F7" s="1" t="n">
        <v>2.1</v>
      </c>
      <c r="G7" s="1" t="n">
        <v>32</v>
      </c>
    </row>
    <row r="8" customFormat="false" ht="15" hidden="false" customHeight="true" outlineLevel="0" collapsed="false">
      <c r="A8" s="1" t="s">
        <v>247</v>
      </c>
      <c r="B8" s="1" t="s">
        <v>248</v>
      </c>
      <c r="C8" s="1" t="s">
        <v>249</v>
      </c>
      <c r="D8" s="1" t="s">
        <v>249</v>
      </c>
      <c r="E8" s="1" t="s">
        <v>249</v>
      </c>
      <c r="F8" s="1" t="s">
        <v>249</v>
      </c>
      <c r="G8" s="1" t="s">
        <v>249</v>
      </c>
    </row>
    <row r="9" customFormat="false" ht="15" hidden="false" customHeight="true" outlineLevel="0" collapsed="false">
      <c r="A9" s="1" t="s">
        <v>250</v>
      </c>
      <c r="B9" s="1" t="s">
        <v>248</v>
      </c>
      <c r="C9" s="1" t="s">
        <v>249</v>
      </c>
      <c r="D9" s="1" t="s">
        <v>249</v>
      </c>
      <c r="E9" s="1" t="s">
        <v>249</v>
      </c>
      <c r="F9" s="1" t="s">
        <v>249</v>
      </c>
      <c r="G9" s="1" t="s">
        <v>249</v>
      </c>
    </row>
    <row r="11" customFormat="false" ht="15" hidden="false" customHeight="true" outlineLevel="0" collapsed="false">
      <c r="A11" s="25" t="s">
        <v>251</v>
      </c>
    </row>
    <row r="13" customFormat="false" ht="15" hidden="false" customHeight="true" outlineLevel="0" collapsed="false">
      <c r="A13" s="4" t="s">
        <v>158</v>
      </c>
    </row>
    <row r="15" customFormat="false" ht="15" hidden="false" customHeight="true" outlineLevel="0" collapsed="false">
      <c r="A15" s="1" t="s">
        <v>252</v>
      </c>
      <c r="B15" s="6" t="n">
        <f aca="false">'DCF Valuation'!B45</f>
        <v>52.4741695226787</v>
      </c>
    </row>
    <row r="16" customFormat="false" ht="15" hidden="false" customHeight="true" outlineLevel="0" collapsed="false">
      <c r="A16" s="1" t="s">
        <v>253</v>
      </c>
      <c r="B16" s="5" t="n">
        <v>26.12</v>
      </c>
    </row>
    <row r="17" customFormat="false" ht="15" hidden="false" customHeight="true" outlineLevel="0" collapsed="false">
      <c r="A17" s="1" t="s">
        <v>254</v>
      </c>
      <c r="B17" s="11" t="n">
        <f aca="false">(B15-B16)/B16</f>
        <v>1.00896514252215</v>
      </c>
    </row>
    <row r="19" customFormat="false" ht="15" hidden="false" customHeight="true" outlineLevel="0" collapsed="false">
      <c r="A19" s="4" t="s">
        <v>255</v>
      </c>
    </row>
    <row r="20" customFormat="false" ht="15" hidden="false" customHeight="true" outlineLevel="0" collapsed="false">
      <c r="A20" s="1" t="s">
        <v>256</v>
      </c>
      <c r="B20" s="5" t="n">
        <v>4.21</v>
      </c>
    </row>
    <row r="21" customFormat="false" ht="15" hidden="false" customHeight="true" outlineLevel="0" collapsed="false">
      <c r="A21" s="1" t="s">
        <v>257</v>
      </c>
      <c r="B21" s="5" t="n">
        <v>7.5</v>
      </c>
    </row>
    <row r="22" customFormat="false" ht="15" hidden="false" customHeight="true" outlineLevel="0" collapsed="false">
      <c r="A22" s="1" t="s">
        <v>258</v>
      </c>
      <c r="B22" s="1" t="n">
        <f aca="false">B20*B21</f>
        <v>31.575</v>
      </c>
    </row>
    <row r="24" customFormat="false" ht="15" hidden="false" customHeight="true" outlineLevel="0" collapsed="false">
      <c r="A24" s="1" t="s">
        <v>259</v>
      </c>
      <c r="B24" s="5" t="n">
        <v>280</v>
      </c>
    </row>
    <row r="25" customFormat="false" ht="15" hidden="false" customHeight="true" outlineLevel="0" collapsed="false">
      <c r="A25" s="1" t="s">
        <v>260</v>
      </c>
      <c r="B25" s="5" t="n">
        <v>6</v>
      </c>
    </row>
    <row r="26" customFormat="false" ht="15" hidden="false" customHeight="true" outlineLevel="0" collapsed="false">
      <c r="A26" s="1" t="s">
        <v>261</v>
      </c>
      <c r="B26" s="1" t="n">
        <f aca="false">B24*B25</f>
        <v>1680</v>
      </c>
    </row>
    <row r="27" customFormat="false" ht="15" hidden="false" customHeight="true" outlineLevel="0" collapsed="false">
      <c r="A27" s="1" t="s">
        <v>262</v>
      </c>
      <c r="B27" s="5" t="n">
        <v>-100</v>
      </c>
    </row>
    <row r="28" customFormat="false" ht="15" hidden="false" customHeight="true" outlineLevel="0" collapsed="false">
      <c r="A28" s="1" t="s">
        <v>263</v>
      </c>
      <c r="B28" s="1" t="n">
        <f aca="false">B26-B27</f>
        <v>1780</v>
      </c>
    </row>
    <row r="29" customFormat="false" ht="15" hidden="false" customHeight="true" outlineLevel="0" collapsed="false">
      <c r="A29" s="1" t="s">
        <v>264</v>
      </c>
      <c r="B29" s="6" t="n">
        <f aca="false">B28/43.56</f>
        <v>40.8631772268136</v>
      </c>
    </row>
    <row r="31" customFormat="false" ht="15" hidden="false" customHeight="true" outlineLevel="0" collapsed="false">
      <c r="A31" s="4" t="s">
        <v>265</v>
      </c>
    </row>
    <row r="33" customFormat="false" ht="15" hidden="false" customHeight="true" outlineLevel="0" collapsed="false">
      <c r="A33" s="6" t="s">
        <v>266</v>
      </c>
      <c r="B33" s="6" t="s">
        <v>267</v>
      </c>
      <c r="C33" s="6" t="s">
        <v>178</v>
      </c>
      <c r="D33" s="6" t="s">
        <v>268</v>
      </c>
    </row>
    <row r="34" customFormat="false" ht="15" hidden="false" customHeight="true" outlineLevel="0" collapsed="false">
      <c r="A34" s="1" t="s">
        <v>269</v>
      </c>
      <c r="B34" s="1" t="n">
        <v>28</v>
      </c>
      <c r="C34" s="1" t="n">
        <f aca="false">'DCF Valuation'!B45</f>
        <v>52.4741695226787</v>
      </c>
      <c r="D34" s="1" t="n">
        <v>45</v>
      </c>
    </row>
    <row r="35" customFormat="false" ht="15" hidden="false" customHeight="true" outlineLevel="0" collapsed="false">
      <c r="A35" s="1" t="s">
        <v>270</v>
      </c>
      <c r="B35" s="1" t="n">
        <v>25</v>
      </c>
      <c r="C35" s="1" t="n">
        <f aca="false">B22</f>
        <v>31.575</v>
      </c>
      <c r="D35" s="1" t="n">
        <v>38</v>
      </c>
    </row>
    <row r="36" customFormat="false" ht="15" hidden="false" customHeight="true" outlineLevel="0" collapsed="false">
      <c r="A36" s="1" t="s">
        <v>271</v>
      </c>
      <c r="B36" s="1" t="n">
        <v>30</v>
      </c>
      <c r="C36" s="1" t="n">
        <f aca="false">B29</f>
        <v>40.8631772268136</v>
      </c>
      <c r="D36" s="1" t="n">
        <v>42</v>
      </c>
    </row>
    <row r="38" customFormat="false" ht="15" hidden="false" customHeight="true" outlineLevel="0" collapsed="false">
      <c r="A38" s="1" t="s">
        <v>272</v>
      </c>
      <c r="B38" s="1" t="n">
        <v>21.8</v>
      </c>
      <c r="D38" s="1" t="n">
        <v>31.04</v>
      </c>
    </row>
    <row r="39" customFormat="false" ht="15" hidden="false" customHeight="true" outlineLevel="0" collapsed="false">
      <c r="A39" s="1" t="s">
        <v>273</v>
      </c>
      <c r="C39" s="1" t="n">
        <v>26.12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3" t="s">
        <v>274</v>
      </c>
    </row>
    <row r="3" customFormat="false" ht="15" hidden="false" customHeight="true" outlineLevel="0" collapsed="false">
      <c r="A3" s="26" t="s">
        <v>275</v>
      </c>
    </row>
    <row r="5" customFormat="false" ht="15" hidden="false" customHeight="true" outlineLevel="0" collapsed="false">
      <c r="A5" s="1" t="s">
        <v>276</v>
      </c>
    </row>
    <row r="6" customFormat="false" ht="15" hidden="false" customHeight="true" outlineLevel="0" collapsed="false">
      <c r="A6" s="1" t="s">
        <v>277</v>
      </c>
    </row>
    <row r="7" customFormat="false" ht="15" hidden="false" customHeight="true" outlineLevel="0" collapsed="false">
      <c r="A7" s="1" t="s">
        <v>278</v>
      </c>
    </row>
    <row r="8" customFormat="false" ht="15" hidden="false" customHeight="true" outlineLevel="0" collapsed="false">
      <c r="A8" s="1" t="s">
        <v>279</v>
      </c>
    </row>
    <row r="10" customFormat="false" ht="15" hidden="false" customHeight="true" outlineLevel="0" collapsed="false">
      <c r="A10" s="1" t="s">
        <v>280</v>
      </c>
    </row>
    <row r="11" customFormat="false" ht="15" hidden="false" customHeight="true" outlineLevel="0" collapsed="false">
      <c r="A11" s="1" t="s">
        <v>281</v>
      </c>
    </row>
    <row r="12" customFormat="false" ht="15" hidden="false" customHeight="true" outlineLevel="0" collapsed="false">
      <c r="A12" s="1" t="s">
        <v>282</v>
      </c>
    </row>
    <row r="13" customFormat="false" ht="15" hidden="false" customHeight="true" outlineLevel="0" collapsed="false">
      <c r="A13" s="1" t="s">
        <v>283</v>
      </c>
    </row>
    <row r="15" customFormat="false" ht="15" hidden="false" customHeight="true" outlineLevel="0" collapsed="false">
      <c r="A15" s="1" t="s">
        <v>284</v>
      </c>
    </row>
    <row r="16" customFormat="false" ht="15" hidden="false" customHeight="true" outlineLevel="0" collapsed="false">
      <c r="A16" s="1" t="s">
        <v>285</v>
      </c>
    </row>
    <row r="17" customFormat="false" ht="15" hidden="false" customHeight="true" outlineLevel="0" collapsed="false">
      <c r="A17" s="1" t="s">
        <v>286</v>
      </c>
    </row>
    <row r="18" customFormat="false" ht="15" hidden="false" customHeight="true" outlineLevel="0" collapsed="false">
      <c r="A18" s="1" t="s">
        <v>287</v>
      </c>
    </row>
    <row r="20" customFormat="false" ht="15" hidden="false" customHeight="true" outlineLevel="0" collapsed="false">
      <c r="A20" s="1" t="s">
        <v>288</v>
      </c>
    </row>
    <row r="21" customFormat="false" ht="15" hidden="false" customHeight="true" outlineLevel="0" collapsed="false">
      <c r="A21" s="1" t="s">
        <v>289</v>
      </c>
    </row>
    <row r="22" customFormat="false" ht="15" hidden="false" customHeight="true" outlineLevel="0" collapsed="false">
      <c r="A22" s="1" t="s">
        <v>290</v>
      </c>
    </row>
    <row r="23" customFormat="false" ht="15" hidden="false" customHeight="true" outlineLevel="0" collapsed="false">
      <c r="A23" s="1" t="s">
        <v>291</v>
      </c>
    </row>
    <row r="25" customFormat="false" ht="15" hidden="false" customHeight="true" outlineLevel="0" collapsed="false">
      <c r="A25" s="1" t="s">
        <v>292</v>
      </c>
    </row>
    <row r="26" customFormat="false" ht="15" hidden="false" customHeight="true" outlineLevel="0" collapsed="false">
      <c r="A26" s="1" t="s">
        <v>293</v>
      </c>
    </row>
    <row r="27" customFormat="false" ht="15" hidden="false" customHeight="true" outlineLevel="0" collapsed="false">
      <c r="A27" s="1" t="s">
        <v>294</v>
      </c>
    </row>
    <row r="28" customFormat="false" ht="15" hidden="false" customHeight="true" outlineLevel="0" collapsed="false">
      <c r="A28" s="27" t="s">
        <v>295</v>
      </c>
    </row>
    <row r="30" customFormat="false" ht="15" hidden="false" customHeight="true" outlineLevel="0" collapsed="false">
      <c r="A30" s="1" t="s">
        <v>296</v>
      </c>
    </row>
    <row r="31" customFormat="false" ht="15" hidden="false" customHeight="true" outlineLevel="0" collapsed="false">
      <c r="A31" s="1" t="s">
        <v>297</v>
      </c>
    </row>
    <row r="32" customFormat="false" ht="15" hidden="false" customHeight="true" outlineLevel="0" collapsed="false">
      <c r="A32" s="1" t="s">
        <v>298</v>
      </c>
    </row>
    <row r="34" customFormat="false" ht="15" hidden="false" customHeight="true" outlineLevel="0" collapsed="false">
      <c r="A34" s="1" t="s">
        <v>299</v>
      </c>
    </row>
    <row r="35" customFormat="false" ht="15" hidden="false" customHeight="true" outlineLevel="0" collapsed="false">
      <c r="A35" s="1" t="s">
        <v>300</v>
      </c>
    </row>
    <row r="36" customFormat="false" ht="15" hidden="false" customHeight="true" outlineLevel="0" collapsed="false">
      <c r="A36" s="1" t="s">
        <v>301</v>
      </c>
    </row>
    <row r="37" customFormat="false" ht="15" hidden="false" customHeight="true" outlineLevel="0" collapsed="false">
      <c r="A37" s="1" t="s">
        <v>302</v>
      </c>
    </row>
    <row r="39" customFormat="false" ht="15" hidden="false" customHeight="true" outlineLevel="0" collapsed="false">
      <c r="A39" s="1" t="s">
        <v>303</v>
      </c>
    </row>
    <row r="40" customFormat="false" ht="15" hidden="false" customHeight="true" outlineLevel="0" collapsed="false">
      <c r="A40" s="1" t="s">
        <v>304</v>
      </c>
    </row>
    <row r="41" customFormat="false" ht="15" hidden="false" customHeight="true" outlineLevel="0" collapsed="false">
      <c r="A41" s="1" t="s">
        <v>305</v>
      </c>
    </row>
    <row r="43" customFormat="false" ht="15" hidden="false" customHeight="true" outlineLevel="0" collapsed="false">
      <c r="A43" s="1" t="s">
        <v>306</v>
      </c>
    </row>
    <row r="44" customFormat="false" ht="15" hidden="false" customHeight="true" outlineLevel="0" collapsed="false">
      <c r="A44" s="1" t="s">
        <v>307</v>
      </c>
    </row>
    <row r="45" customFormat="false" ht="15" hidden="false" customHeight="true" outlineLevel="0" collapsed="false">
      <c r="A45" s="1" t="s">
        <v>308</v>
      </c>
    </row>
    <row r="46" customFormat="false" ht="15" hidden="false" customHeight="true" outlineLevel="0" collapsed="false">
      <c r="A46" s="1" t="s">
        <v>309</v>
      </c>
    </row>
    <row r="48" customFormat="false" ht="15" hidden="false" customHeight="true" outlineLevel="0" collapsed="false">
      <c r="A48" s="1" t="s">
        <v>310</v>
      </c>
    </row>
    <row r="49" customFormat="false" ht="15" hidden="false" customHeight="true" outlineLevel="0" collapsed="false">
      <c r="A49" s="1" t="s">
        <v>311</v>
      </c>
    </row>
    <row r="50" customFormat="false" ht="15" hidden="false" customHeight="true" outlineLevel="0" collapsed="false">
      <c r="A50" s="1" t="s">
        <v>312</v>
      </c>
    </row>
    <row r="51" customFormat="false" ht="15" hidden="false" customHeight="true" outlineLevel="0" collapsed="false">
      <c r="A51" s="1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2026-01-16T01:29:24Z</dcterms:created>
  <dc:creator>openpyxl</dc:creator>
  <dc:description/>
  <dc:language>en-US</dc:language>
  <cp:lastModifiedBy/>
  <dcterms:modified xsi:type="dcterms:W3CDTF">2026-01-16T01:52:11Z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