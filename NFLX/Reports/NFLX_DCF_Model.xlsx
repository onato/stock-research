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Base Case" sheetId="2" r:id="rId2"/>
    <sheet name="Bull Case" sheetId="3" r:id="rId3"/>
    <sheet name="Bear Case" sheetId="4" r:id="rId4"/>
    <sheet name="Sensitivity" sheetId="5" r:id="rId5"/>
    <sheet name="Historical Data" sheetId="6" r:id="rId6"/>
  </sheets>
  <calcPr calcId="124519" fullCalcOnLoad="1"/>
</workbook>
</file>

<file path=xl/sharedStrings.xml><?xml version="1.0" encoding="utf-8"?>
<sst xmlns="http://schemas.openxmlformats.org/spreadsheetml/2006/main" count="143" uniqueCount="86">
  <si>
    <t>NFLX DCF Valuation Summary</t>
  </si>
  <si>
    <t>Netflix Inc. - Streaming Entertainment</t>
  </si>
  <si>
    <t>Valuation Date:</t>
  </si>
  <si>
    <t>2026-01-22</t>
  </si>
  <si>
    <t>Current Stock Price:</t>
  </si>
  <si>
    <t>VALUATION SCENARIOS</t>
  </si>
  <si>
    <t>Scenario</t>
  </si>
  <si>
    <t>Intrinsic Value</t>
  </si>
  <si>
    <t>Upside/Downside</t>
  </si>
  <si>
    <t>Probability</t>
  </si>
  <si>
    <t>Entry Price (15% CAGR)</t>
  </si>
  <si>
    <t>Bull Case</t>
  </si>
  <si>
    <t>Base Case</t>
  </si>
  <si>
    <t>Bear Case</t>
  </si>
  <si>
    <t>Probability-Weighted IV:</t>
  </si>
  <si>
    <t>KEY INPUTS</t>
  </si>
  <si>
    <t>Shares Outstanding (M):</t>
  </si>
  <si>
    <t>Net Debt (M):</t>
  </si>
  <si>
    <t>Last FCF (M):</t>
  </si>
  <si>
    <t>HISTORICAL GROWTH</t>
  </si>
  <si>
    <t>Revenue 5Y CAGR:</t>
  </si>
  <si>
    <t>FCF 5Y CAGR:</t>
  </si>
  <si>
    <t>Equity 5Y CAGR:</t>
  </si>
  <si>
    <t>BASE CASE DCF MODEL</t>
  </si>
  <si>
    <t>Conservative growth scenario with steady FCF expansion</t>
  </si>
  <si>
    <t>ASSUMPTIONS</t>
  </si>
  <si>
    <t>WACC:</t>
  </si>
  <si>
    <t>Terminal Growth Rate:</t>
  </si>
  <si>
    <t>Starting FCF (M):</t>
  </si>
  <si>
    <t>PROJECTIONS</t>
  </si>
  <si>
    <t>Y1</t>
  </si>
  <si>
    <t>Y2</t>
  </si>
  <si>
    <t>Y3</t>
  </si>
  <si>
    <t>Y4</t>
  </si>
  <si>
    <t>Y5</t>
  </si>
  <si>
    <t>FCF Growth Rate</t>
  </si>
  <si>
    <t>Free Cash Flow (M)</t>
  </si>
  <si>
    <t>Discount Factor</t>
  </si>
  <si>
    <t>PV of FCF</t>
  </si>
  <si>
    <t>VALUATION</t>
  </si>
  <si>
    <t>Sum of PV FCF (M):</t>
  </si>
  <si>
    <t>Terminal FCF (M):</t>
  </si>
  <si>
    <t>Terminal Value (M):</t>
  </si>
  <si>
    <t>PV of Terminal Value (M):</t>
  </si>
  <si>
    <t>Enterprise Value (M):</t>
  </si>
  <si>
    <t>Less: Net Debt (M):</t>
  </si>
  <si>
    <t>Equity Value (M):</t>
  </si>
  <si>
    <t>INTRINSIC VALUE PER SHARE:</t>
  </si>
  <si>
    <t>Current Price:</t>
  </si>
  <si>
    <t>Upside/Downside:</t>
  </si>
  <si>
    <t>ENTRY PRICE ANALYSIS</t>
  </si>
  <si>
    <t>Terminal Value per Share:</t>
  </si>
  <si>
    <t>Entry Price (15% CAGR):</t>
  </si>
  <si>
    <t>Discount from Current:</t>
  </si>
  <si>
    <t>BULL CASE DCF MODEL</t>
  </si>
  <si>
    <t>Ad tier success, gaming growth, international expansion</t>
  </si>
  <si>
    <t>BEAR CASE DCF MODEL</t>
  </si>
  <si>
    <t>Market maturation, increased competition, margin compression</t>
  </si>
  <si>
    <t>SENSITIVITY ANALYSIS</t>
  </si>
  <si>
    <t>Intrinsic Value by WACC and Terminal Growth Rate</t>
  </si>
  <si>
    <t>Base Case Assumptions:</t>
  </si>
  <si>
    <t>Reference WACC:</t>
  </si>
  <si>
    <t>Reference Terminal Growth:</t>
  </si>
  <si>
    <t>WACC / Terminal Growth</t>
  </si>
  <si>
    <t>2.0%</t>
  </si>
  <si>
    <t>2.5%</t>
  </si>
  <si>
    <t>3.0%</t>
  </si>
  <si>
    <t>3.5%</t>
  </si>
  <si>
    <t>4.0%</t>
  </si>
  <si>
    <t>8.0%</t>
  </si>
  <si>
    <t>9.0%</t>
  </si>
  <si>
    <t>10.0%</t>
  </si>
  <si>
    <t>11.0%</t>
  </si>
  <si>
    <t>12.0%</t>
  </si>
  <si>
    <t>HISTORICAL FINANCIAL DATA</t>
  </si>
  <si>
    <t>Source: NFLX_Metrics.csv</t>
  </si>
  <si>
    <t>GROWTH RATES (CAGR)</t>
  </si>
  <si>
    <t>Metric</t>
  </si>
  <si>
    <t>3-Year</t>
  </si>
  <si>
    <t>5-Year</t>
  </si>
  <si>
    <t>Revenue</t>
  </si>
  <si>
    <t>Free Cash Flow</t>
  </si>
  <si>
    <t>EPS</t>
  </si>
  <si>
    <t>Shareholders' Equity</t>
  </si>
  <si>
    <t>SELECTED FOR DCF:</t>
  </si>
  <si>
    <t>revenue_5yr_cagr</t>
  </si>
</sst>
</file>

<file path=xl/styles.xml><?xml version="1.0" encoding="utf-8"?>
<styleSheet xmlns="http://schemas.openxmlformats.org/spreadsheetml/2006/main">
  <numFmts count="4">
    <numFmt numFmtId="164" formatCode="$#,##0.00"/>
    <numFmt numFmtId="165" formatCode="0.00%"/>
    <numFmt numFmtId="166" formatCode="#,##0.0"/>
    <numFmt numFmtId="167" formatCode="#,##0.00"/>
  </numFmts>
  <fonts count="5">
    <font>
      <sz val="11"/>
      <color theme="1"/>
      <name val="Calibri"/>
      <family val="2"/>
      <scheme val="minor"/>
    </font>
    <font>
      <b/>
      <sz val="16"/>
      <color rgb="FFE50914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4A4A5E"/>
        <bgColor indexed="64"/>
      </patternFill>
    </fill>
    <fill>
      <patternFill patternType="solid">
        <fgColor rgb="FFE6F3FF"/>
        <bgColor indexed="64"/>
      </patternFill>
    </fill>
    <fill>
      <patternFill patternType="solid">
        <fgColor rgb="FFFFF4E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2" xfId="0" applyNumberFormat="1" applyBorder="1"/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/>
    <xf numFmtId="165" fontId="0" fillId="0" borderId="2" xfId="0" applyNumberFormat="1" applyBorder="1"/>
    <xf numFmtId="164" fontId="0" fillId="5" borderId="2" xfId="0" applyNumberFormat="1" applyFill="1" applyBorder="1"/>
    <xf numFmtId="166" fontId="0" fillId="0" borderId="2" xfId="0" applyNumberFormat="1" applyBorder="1"/>
    <xf numFmtId="165" fontId="0" fillId="6" borderId="2" xfId="0" applyNumberFormat="1" applyFill="1" applyBorder="1"/>
    <xf numFmtId="166" fontId="0" fillId="6" borderId="2" xfId="0" applyNumberFormat="1" applyFill="1" applyBorder="1"/>
    <xf numFmtId="166" fontId="0" fillId="5" borderId="2" xfId="0" applyNumberFormat="1" applyFill="1" applyBorder="1"/>
    <xf numFmtId="167" fontId="0" fillId="0" borderId="2" xfId="0" applyNumberFormat="1" applyBorder="1"/>
  </cellXfs>
  <cellStyles count="1">
    <cellStyle name="Normal" xfId="0" builtinId="0"/>
  </cellStyles>
  <dxfs count="1">
    <dxf>
      <numFmt numFmtId="164" formatCode="$#,##0.00"/>
      <fill>
        <patternFill>
          <bgColor rgb="FF90EE9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28.7109375" customWidth="1"/>
    <col min="2" max="5" width="16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t="s">
        <v>3</v>
      </c>
    </row>
    <row r="5" spans="1:5">
      <c r="A5" s="3" t="s">
        <v>4</v>
      </c>
      <c r="B5" s="4">
        <v>84.84999999999999</v>
      </c>
    </row>
    <row r="7" spans="1:5">
      <c r="A7" s="3" t="s">
        <v>5</v>
      </c>
      <c r="B7" s="3"/>
      <c r="C7" s="3"/>
      <c r="D7" s="3"/>
      <c r="E7" s="3"/>
    </row>
    <row r="8" spans="1:5">
      <c r="A8" s="5" t="s">
        <v>6</v>
      </c>
      <c r="B8" s="5" t="s">
        <v>7</v>
      </c>
      <c r="C8" s="5" t="s">
        <v>8</v>
      </c>
      <c r="D8" s="5" t="s">
        <v>9</v>
      </c>
      <c r="E8" s="5" t="s">
        <v>10</v>
      </c>
    </row>
    <row r="9" spans="1:5">
      <c r="A9" s="6" t="s">
        <v>11</v>
      </c>
      <c r="B9" s="4">
        <v>67.67</v>
      </c>
      <c r="C9" s="7">
        <v>-0.202</v>
      </c>
      <c r="D9" s="7">
        <v>0.25</v>
      </c>
    </row>
    <row r="10" spans="1:5">
      <c r="A10" s="6" t="s">
        <v>12</v>
      </c>
      <c r="B10" s="4">
        <v>46.73</v>
      </c>
      <c r="C10" s="7">
        <v>-0.449</v>
      </c>
      <c r="D10" s="7">
        <v>0.5</v>
      </c>
      <c r="E10" s="4">
        <v>28.65</v>
      </c>
    </row>
    <row r="11" spans="1:5">
      <c r="A11" s="6" t="s">
        <v>13</v>
      </c>
      <c r="B11" s="4">
        <v>27.03</v>
      </c>
      <c r="C11" s="7">
        <v>-0.6809999999999999</v>
      </c>
      <c r="D11" s="7">
        <v>0.25</v>
      </c>
    </row>
    <row r="13" spans="1:5">
      <c r="A13" s="3" t="s">
        <v>14</v>
      </c>
      <c r="B13" s="8">
        <f>B9*D9+B10*D10+B11*D11</f>
        <v>0</v>
      </c>
      <c r="C13" s="7">
        <f>(B13/B5-1)</f>
        <v>0</v>
      </c>
    </row>
    <row r="15" spans="1:5">
      <c r="A15" s="3" t="s">
        <v>15</v>
      </c>
      <c r="B15" s="3"/>
      <c r="D15" s="3" t="s">
        <v>19</v>
      </c>
      <c r="E15" s="3"/>
    </row>
    <row r="16" spans="1:5">
      <c r="A16" t="s">
        <v>16</v>
      </c>
      <c r="B16" s="9">
        <v>4200</v>
      </c>
      <c r="D16" t="s">
        <v>20</v>
      </c>
      <c r="E16" s="7">
        <v>0.1258</v>
      </c>
    </row>
    <row r="17" spans="1:5">
      <c r="A17" t="s">
        <v>17</v>
      </c>
      <c r="B17" s="9">
        <v>7400.3</v>
      </c>
      <c r="D17" t="s">
        <v>21</v>
      </c>
      <c r="E17" s="7">
        <v>0.3754</v>
      </c>
    </row>
    <row r="18" spans="1:5">
      <c r="A18" t="s">
        <v>18</v>
      </c>
      <c r="B18" s="9">
        <v>9500</v>
      </c>
      <c r="D18" t="s">
        <v>22</v>
      </c>
      <c r="E18" s="7">
        <v>0.1682</v>
      </c>
    </row>
  </sheetData>
  <mergeCells count="3">
    <mergeCell ref="A7:E7"/>
    <mergeCell ref="A15:B15"/>
    <mergeCell ref="D15:E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FormatPr defaultRowHeight="15"/>
  <cols>
    <col min="1" max="1" width="25.7109375" customWidth="1"/>
    <col min="2" max="7" width="15.7109375" customWidth="1"/>
  </cols>
  <sheetData>
    <row r="1" spans="1:6">
      <c r="A1" s="1" t="s">
        <v>23</v>
      </c>
    </row>
    <row r="2" spans="1:6">
      <c r="A2" s="2" t="s">
        <v>24</v>
      </c>
    </row>
    <row r="4" spans="1:6">
      <c r="A4" s="3" t="s">
        <v>25</v>
      </c>
    </row>
    <row r="5" spans="1:6">
      <c r="A5" s="6" t="s">
        <v>26</v>
      </c>
      <c r="B5" s="10">
        <v>0.095</v>
      </c>
    </row>
    <row r="6" spans="1:6">
      <c r="A6" s="6" t="s">
        <v>27</v>
      </c>
      <c r="B6" s="10">
        <v>0.03</v>
      </c>
    </row>
    <row r="7" spans="1:6">
      <c r="A7" s="6" t="s">
        <v>28</v>
      </c>
      <c r="B7" s="11">
        <v>9500</v>
      </c>
    </row>
    <row r="9" spans="1:6">
      <c r="A9" s="3" t="s">
        <v>29</v>
      </c>
    </row>
    <row r="10" spans="1:6">
      <c r="A10" s="5"/>
      <c r="B10" s="5" t="s">
        <v>30</v>
      </c>
      <c r="C10" s="5" t="s">
        <v>31</v>
      </c>
      <c r="D10" s="5" t="s">
        <v>32</v>
      </c>
      <c r="E10" s="5" t="s">
        <v>33</v>
      </c>
      <c r="F10" s="5" t="s">
        <v>34</v>
      </c>
    </row>
    <row r="11" spans="1:6">
      <c r="A11" s="6" t="s">
        <v>35</v>
      </c>
      <c r="B11" s="10">
        <v>0.14</v>
      </c>
      <c r="C11" s="10">
        <v>0.12</v>
      </c>
      <c r="D11" s="10">
        <v>0.1</v>
      </c>
      <c r="E11" s="10">
        <v>0.08</v>
      </c>
      <c r="F11" s="10">
        <v>0.06</v>
      </c>
    </row>
    <row r="12" spans="1:6">
      <c r="A12" s="6" t="s">
        <v>36</v>
      </c>
      <c r="B12" s="12">
        <f>B7*(1+B11)</f>
        <v>0</v>
      </c>
      <c r="C12" s="12">
        <f>B12*(1+C11)</f>
        <v>0</v>
      </c>
      <c r="D12" s="12">
        <f>C12*(1+D11)</f>
        <v>0</v>
      </c>
      <c r="E12" s="12">
        <f>D12*(1+E11)</f>
        <v>0</v>
      </c>
      <c r="F12" s="12">
        <f>E12*(1+F11)</f>
        <v>0</v>
      </c>
    </row>
    <row r="13" spans="1:6">
      <c r="A13" s="6" t="s">
        <v>37</v>
      </c>
      <c r="B13" s="13">
        <f>1/((1+$B$5)^1)</f>
        <v>0</v>
      </c>
      <c r="C13" s="13">
        <f>1/((1+$B$5)^2)</f>
        <v>0</v>
      </c>
      <c r="D13" s="13">
        <f>1/((1+$B$5)^3)</f>
        <v>0</v>
      </c>
      <c r="E13" s="13">
        <f>1/((1+$B$5)^4)</f>
        <v>0</v>
      </c>
      <c r="F13" s="13">
        <f>1/((1+$B$5)^5)</f>
        <v>0</v>
      </c>
    </row>
    <row r="14" spans="1:6">
      <c r="A14" s="6" t="s">
        <v>38</v>
      </c>
      <c r="B14" s="12">
        <f>B12*B13</f>
        <v>0</v>
      </c>
      <c r="C14" s="12">
        <f>C12*C13</f>
        <v>0</v>
      </c>
      <c r="D14" s="12">
        <f>D12*D13</f>
        <v>0</v>
      </c>
      <c r="E14" s="12">
        <f>E12*E13</f>
        <v>0</v>
      </c>
      <c r="F14" s="12">
        <f>F12*F13</f>
        <v>0</v>
      </c>
    </row>
    <row r="16" spans="1:6">
      <c r="A16" s="3" t="s">
        <v>39</v>
      </c>
    </row>
    <row r="17" spans="1:2">
      <c r="A17" s="6" t="s">
        <v>40</v>
      </c>
      <c r="B17" s="12">
        <f>SUM(B14:F14)</f>
        <v>0</v>
      </c>
    </row>
    <row r="18" spans="1:2">
      <c r="A18" s="6" t="s">
        <v>41</v>
      </c>
      <c r="B18" s="12">
        <f>F12*(1+$B$6)</f>
        <v>0</v>
      </c>
    </row>
    <row r="19" spans="1:2">
      <c r="A19" s="6" t="s">
        <v>42</v>
      </c>
      <c r="B19" s="12">
        <f>B18/($B$5-$B$6)</f>
        <v>0</v>
      </c>
    </row>
    <row r="20" spans="1:2">
      <c r="A20" s="6" t="s">
        <v>43</v>
      </c>
      <c r="B20" s="12">
        <f>B19/(1+$B$5)^5</f>
        <v>0</v>
      </c>
    </row>
    <row r="21" spans="1:2">
      <c r="A21" s="6" t="s">
        <v>44</v>
      </c>
      <c r="B21" s="12">
        <f>B17+B20</f>
        <v>0</v>
      </c>
    </row>
    <row r="22" spans="1:2">
      <c r="A22" s="6" t="s">
        <v>45</v>
      </c>
      <c r="B22" s="9">
        <v>7400.3</v>
      </c>
    </row>
    <row r="23" spans="1:2">
      <c r="A23" s="6" t="s">
        <v>46</v>
      </c>
      <c r="B23" s="12">
        <f>B21-B22</f>
        <v>0</v>
      </c>
    </row>
    <row r="24" spans="1:2">
      <c r="A24" s="6" t="s">
        <v>16</v>
      </c>
      <c r="B24" s="9">
        <v>4200</v>
      </c>
    </row>
    <row r="26" spans="1:2">
      <c r="A26" s="3" t="s">
        <v>47</v>
      </c>
      <c r="B26" s="8">
        <f>B23/B24</f>
        <v>0</v>
      </c>
    </row>
    <row r="27" spans="1:2">
      <c r="A27" s="6" t="s">
        <v>48</v>
      </c>
      <c r="B27" s="4">
        <v>84.84999999999999</v>
      </c>
    </row>
    <row r="28" spans="1:2">
      <c r="A28" s="6" t="s">
        <v>49</v>
      </c>
      <c r="B28" s="7">
        <f>(B26/B27-1)</f>
        <v>0</v>
      </c>
    </row>
    <row r="30" spans="1:2">
      <c r="A30" s="3" t="s">
        <v>50</v>
      </c>
    </row>
    <row r="31" spans="1:2">
      <c r="A31" s="6" t="s">
        <v>51</v>
      </c>
      <c r="B31" s="8">
        <f>B19/B24</f>
        <v>0</v>
      </c>
    </row>
    <row r="32" spans="1:2">
      <c r="A32" s="6" t="s">
        <v>52</v>
      </c>
      <c r="B32" s="8">
        <f>B31/(1.15^5)</f>
        <v>0</v>
      </c>
    </row>
    <row r="33" spans="1:2">
      <c r="A33" s="6" t="s">
        <v>53</v>
      </c>
      <c r="B33" s="7">
        <f>(B32/B27-1)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sheetFormatPr defaultRowHeight="15"/>
  <cols>
    <col min="1" max="1" width="25.7109375" customWidth="1"/>
    <col min="2" max="7" width="15.7109375" customWidth="1"/>
  </cols>
  <sheetData>
    <row r="1" spans="1:6">
      <c r="A1" s="1" t="s">
        <v>54</v>
      </c>
    </row>
    <row r="2" spans="1:6">
      <c r="A2" s="2" t="s">
        <v>55</v>
      </c>
    </row>
    <row r="4" spans="1:6">
      <c r="A4" s="3" t="s">
        <v>25</v>
      </c>
    </row>
    <row r="5" spans="1:6">
      <c r="A5" s="6" t="s">
        <v>26</v>
      </c>
      <c r="B5" s="10">
        <v>0.08500000000000001</v>
      </c>
    </row>
    <row r="6" spans="1:6">
      <c r="A6" s="6" t="s">
        <v>27</v>
      </c>
      <c r="B6" s="10">
        <v>0.035</v>
      </c>
    </row>
    <row r="7" spans="1:6">
      <c r="A7" s="6" t="s">
        <v>28</v>
      </c>
      <c r="B7" s="11">
        <v>9500</v>
      </c>
    </row>
    <row r="9" spans="1:6">
      <c r="A9" s="3" t="s">
        <v>29</v>
      </c>
    </row>
    <row r="10" spans="1:6">
      <c r="A10" s="5"/>
      <c r="B10" s="5" t="s">
        <v>30</v>
      </c>
      <c r="C10" s="5" t="s">
        <v>31</v>
      </c>
      <c r="D10" s="5" t="s">
        <v>32</v>
      </c>
      <c r="E10" s="5" t="s">
        <v>33</v>
      </c>
      <c r="F10" s="5" t="s">
        <v>34</v>
      </c>
    </row>
    <row r="11" spans="1:6">
      <c r="A11" s="6" t="s">
        <v>35</v>
      </c>
      <c r="B11" s="10">
        <v>0.18</v>
      </c>
      <c r="C11" s="10">
        <v>0.15</v>
      </c>
      <c r="D11" s="10">
        <v>0.12</v>
      </c>
      <c r="E11" s="10">
        <v>0.1</v>
      </c>
      <c r="F11" s="10">
        <v>0.08</v>
      </c>
    </row>
    <row r="12" spans="1:6">
      <c r="A12" s="6" t="s">
        <v>36</v>
      </c>
      <c r="B12" s="12">
        <f>B7*(1+B11)</f>
        <v>0</v>
      </c>
      <c r="C12" s="12">
        <f>B12*(1+C11)</f>
        <v>0</v>
      </c>
      <c r="D12" s="12">
        <f>C12*(1+D11)</f>
        <v>0</v>
      </c>
      <c r="E12" s="12">
        <f>D12*(1+E11)</f>
        <v>0</v>
      </c>
      <c r="F12" s="12">
        <f>E12*(1+F11)</f>
        <v>0</v>
      </c>
    </row>
    <row r="13" spans="1:6">
      <c r="A13" s="6" t="s">
        <v>37</v>
      </c>
      <c r="B13" s="13">
        <f>1/((1+$B$5)^1)</f>
        <v>0</v>
      </c>
      <c r="C13" s="13">
        <f>1/((1+$B$5)^2)</f>
        <v>0</v>
      </c>
      <c r="D13" s="13">
        <f>1/((1+$B$5)^3)</f>
        <v>0</v>
      </c>
      <c r="E13" s="13">
        <f>1/((1+$B$5)^4)</f>
        <v>0</v>
      </c>
      <c r="F13" s="13">
        <f>1/((1+$B$5)^5)</f>
        <v>0</v>
      </c>
    </row>
    <row r="14" spans="1:6">
      <c r="A14" s="6" t="s">
        <v>38</v>
      </c>
      <c r="B14" s="12">
        <f>B12*B13</f>
        <v>0</v>
      </c>
      <c r="C14" s="12">
        <f>C12*C13</f>
        <v>0</v>
      </c>
      <c r="D14" s="12">
        <f>D12*D13</f>
        <v>0</v>
      </c>
      <c r="E14" s="12">
        <f>E12*E13</f>
        <v>0</v>
      </c>
      <c r="F14" s="12">
        <f>F12*F13</f>
        <v>0</v>
      </c>
    </row>
    <row r="16" spans="1:6">
      <c r="A16" s="3" t="s">
        <v>39</v>
      </c>
    </row>
    <row r="17" spans="1:2">
      <c r="A17" s="6" t="s">
        <v>40</v>
      </c>
      <c r="B17" s="12">
        <f>SUM(B14:F14)</f>
        <v>0</v>
      </c>
    </row>
    <row r="18" spans="1:2">
      <c r="A18" s="6" t="s">
        <v>41</v>
      </c>
      <c r="B18" s="12">
        <f>F12*(1+$B$6)</f>
        <v>0</v>
      </c>
    </row>
    <row r="19" spans="1:2">
      <c r="A19" s="6" t="s">
        <v>42</v>
      </c>
      <c r="B19" s="12">
        <f>B18/($B$5-$B$6)</f>
        <v>0</v>
      </c>
    </row>
    <row r="20" spans="1:2">
      <c r="A20" s="6" t="s">
        <v>43</v>
      </c>
      <c r="B20" s="12">
        <f>B19/(1+$B$5)^5</f>
        <v>0</v>
      </c>
    </row>
    <row r="21" spans="1:2">
      <c r="A21" s="6" t="s">
        <v>44</v>
      </c>
      <c r="B21" s="12">
        <f>B17+B20</f>
        <v>0</v>
      </c>
    </row>
    <row r="22" spans="1:2">
      <c r="A22" s="6" t="s">
        <v>45</v>
      </c>
      <c r="B22" s="9">
        <v>7400.3</v>
      </c>
    </row>
    <row r="23" spans="1:2">
      <c r="A23" s="6" t="s">
        <v>46</v>
      </c>
      <c r="B23" s="12">
        <f>B21-B22</f>
        <v>0</v>
      </c>
    </row>
    <row r="24" spans="1:2">
      <c r="A24" s="6" t="s">
        <v>16</v>
      </c>
      <c r="B24" s="9">
        <v>4200</v>
      </c>
    </row>
    <row r="26" spans="1:2">
      <c r="A26" s="3" t="s">
        <v>47</v>
      </c>
      <c r="B26" s="8">
        <f>B23/B24</f>
        <v>0</v>
      </c>
    </row>
    <row r="27" spans="1:2">
      <c r="A27" s="6" t="s">
        <v>48</v>
      </c>
      <c r="B27" s="4">
        <v>84.84999999999999</v>
      </c>
    </row>
    <row r="28" spans="1:2">
      <c r="A28" s="6" t="s">
        <v>49</v>
      </c>
      <c r="B28" s="7">
        <f>(B26/B27-1)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sheetFormatPr defaultRowHeight="15"/>
  <cols>
    <col min="1" max="1" width="25.7109375" customWidth="1"/>
    <col min="2" max="7" width="15.7109375" customWidth="1"/>
  </cols>
  <sheetData>
    <row r="1" spans="1:6">
      <c r="A1" s="1" t="s">
        <v>56</v>
      </c>
    </row>
    <row r="2" spans="1:6">
      <c r="A2" s="2" t="s">
        <v>57</v>
      </c>
    </row>
    <row r="4" spans="1:6">
      <c r="A4" s="3" t="s">
        <v>25</v>
      </c>
    </row>
    <row r="5" spans="1:6">
      <c r="A5" s="6" t="s">
        <v>26</v>
      </c>
      <c r="B5" s="10">
        <v>0.11</v>
      </c>
    </row>
    <row r="6" spans="1:6">
      <c r="A6" s="6" t="s">
        <v>27</v>
      </c>
      <c r="B6" s="10">
        <v>0.02</v>
      </c>
    </row>
    <row r="7" spans="1:6">
      <c r="A7" s="6" t="s">
        <v>28</v>
      </c>
      <c r="B7" s="11">
        <v>9500</v>
      </c>
    </row>
    <row r="9" spans="1:6">
      <c r="A9" s="3" t="s">
        <v>29</v>
      </c>
    </row>
    <row r="10" spans="1:6">
      <c r="A10" s="5"/>
      <c r="B10" s="5" t="s">
        <v>30</v>
      </c>
      <c r="C10" s="5" t="s">
        <v>31</v>
      </c>
      <c r="D10" s="5" t="s">
        <v>32</v>
      </c>
      <c r="E10" s="5" t="s">
        <v>33</v>
      </c>
      <c r="F10" s="5" t="s">
        <v>34</v>
      </c>
    </row>
    <row r="11" spans="1:6">
      <c r="A11" s="6" t="s">
        <v>35</v>
      </c>
      <c r="B11" s="10">
        <v>0.08</v>
      </c>
      <c r="C11" s="10">
        <v>0.06</v>
      </c>
      <c r="D11" s="10">
        <v>0.04</v>
      </c>
      <c r="E11" s="10">
        <v>0.03</v>
      </c>
      <c r="F11" s="10">
        <v>0.02</v>
      </c>
    </row>
    <row r="12" spans="1:6">
      <c r="A12" s="6" t="s">
        <v>36</v>
      </c>
      <c r="B12" s="12">
        <f>B7*(1+B11)</f>
        <v>0</v>
      </c>
      <c r="C12" s="12">
        <f>B12*(1+C11)</f>
        <v>0</v>
      </c>
      <c r="D12" s="12">
        <f>C12*(1+D11)</f>
        <v>0</v>
      </c>
      <c r="E12" s="12">
        <f>D12*(1+E11)</f>
        <v>0</v>
      </c>
      <c r="F12" s="12">
        <f>E12*(1+F11)</f>
        <v>0</v>
      </c>
    </row>
    <row r="13" spans="1:6">
      <c r="A13" s="6" t="s">
        <v>37</v>
      </c>
      <c r="B13" s="13">
        <f>1/((1+$B$5)^1)</f>
        <v>0</v>
      </c>
      <c r="C13" s="13">
        <f>1/((1+$B$5)^2)</f>
        <v>0</v>
      </c>
      <c r="D13" s="13">
        <f>1/((1+$B$5)^3)</f>
        <v>0</v>
      </c>
      <c r="E13" s="13">
        <f>1/((1+$B$5)^4)</f>
        <v>0</v>
      </c>
      <c r="F13" s="13">
        <f>1/((1+$B$5)^5)</f>
        <v>0</v>
      </c>
    </row>
    <row r="14" spans="1:6">
      <c r="A14" s="6" t="s">
        <v>38</v>
      </c>
      <c r="B14" s="12">
        <f>B12*B13</f>
        <v>0</v>
      </c>
      <c r="C14" s="12">
        <f>C12*C13</f>
        <v>0</v>
      </c>
      <c r="D14" s="12">
        <f>D12*D13</f>
        <v>0</v>
      </c>
      <c r="E14" s="12">
        <f>E12*E13</f>
        <v>0</v>
      </c>
      <c r="F14" s="12">
        <f>F12*F13</f>
        <v>0</v>
      </c>
    </row>
    <row r="16" spans="1:6">
      <c r="A16" s="3" t="s">
        <v>39</v>
      </c>
    </row>
    <row r="17" spans="1:2">
      <c r="A17" s="6" t="s">
        <v>40</v>
      </c>
      <c r="B17" s="12">
        <f>SUM(B14:F14)</f>
        <v>0</v>
      </c>
    </row>
    <row r="18" spans="1:2">
      <c r="A18" s="6" t="s">
        <v>41</v>
      </c>
      <c r="B18" s="12">
        <f>F12*(1+$B$6)</f>
        <v>0</v>
      </c>
    </row>
    <row r="19" spans="1:2">
      <c r="A19" s="6" t="s">
        <v>42</v>
      </c>
      <c r="B19" s="12">
        <f>B18/($B$5-$B$6)</f>
        <v>0</v>
      </c>
    </row>
    <row r="20" spans="1:2">
      <c r="A20" s="6" t="s">
        <v>43</v>
      </c>
      <c r="B20" s="12">
        <f>B19/(1+$B$5)^5</f>
        <v>0</v>
      </c>
    </row>
    <row r="21" spans="1:2">
      <c r="A21" s="6" t="s">
        <v>44</v>
      </c>
      <c r="B21" s="12">
        <f>B17+B20</f>
        <v>0</v>
      </c>
    </row>
    <row r="22" spans="1:2">
      <c r="A22" s="6" t="s">
        <v>45</v>
      </c>
      <c r="B22" s="9">
        <v>7400.3</v>
      </c>
    </row>
    <row r="23" spans="1:2">
      <c r="A23" s="6" t="s">
        <v>46</v>
      </c>
      <c r="B23" s="12">
        <f>B21-B22</f>
        <v>0</v>
      </c>
    </row>
    <row r="24" spans="1:2">
      <c r="A24" s="6" t="s">
        <v>16</v>
      </c>
      <c r="B24" s="9">
        <v>4200</v>
      </c>
    </row>
    <row r="26" spans="1:2">
      <c r="A26" s="3" t="s">
        <v>47</v>
      </c>
      <c r="B26" s="8">
        <f>B23/B24</f>
        <v>0</v>
      </c>
    </row>
    <row r="27" spans="1:2">
      <c r="A27" s="6" t="s">
        <v>48</v>
      </c>
      <c r="B27" s="4">
        <v>84.84999999999999</v>
      </c>
    </row>
    <row r="28" spans="1:2">
      <c r="A28" s="6" t="s">
        <v>49</v>
      </c>
      <c r="B28" s="7">
        <f>(B26/B27-1)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6" width="14.7109375" customWidth="1"/>
  </cols>
  <sheetData>
    <row r="1" spans="1:6">
      <c r="A1" s="1" t="s">
        <v>58</v>
      </c>
    </row>
    <row r="2" spans="1:6">
      <c r="A2" s="2" t="s">
        <v>59</v>
      </c>
    </row>
    <row r="4" spans="1:6">
      <c r="A4" s="3" t="s">
        <v>60</v>
      </c>
    </row>
    <row r="5" spans="1:6">
      <c r="A5" t="s">
        <v>61</v>
      </c>
      <c r="B5" s="7">
        <v>0.095</v>
      </c>
    </row>
    <row r="6" spans="1:6">
      <c r="A6" t="s">
        <v>62</v>
      </c>
      <c r="B6" s="7">
        <v>0.03</v>
      </c>
    </row>
    <row r="8" spans="1:6">
      <c r="A8" s="5" t="s">
        <v>63</v>
      </c>
      <c r="B8" s="5" t="s">
        <v>64</v>
      </c>
      <c r="C8" s="5" t="s">
        <v>65</v>
      </c>
      <c r="D8" s="5" t="s">
        <v>66</v>
      </c>
      <c r="E8" s="5" t="s">
        <v>67</v>
      </c>
      <c r="F8" s="5" t="s">
        <v>68</v>
      </c>
    </row>
    <row r="9" spans="1:6">
      <c r="A9" s="5" t="s">
        <v>69</v>
      </c>
      <c r="B9" s="4">
        <v>52.93</v>
      </c>
      <c r="C9" s="4">
        <v>57.13</v>
      </c>
      <c r="D9" s="4">
        <v>62.12</v>
      </c>
      <c r="E9" s="4">
        <v>68.2</v>
      </c>
      <c r="F9" s="4">
        <v>75.81999999999999</v>
      </c>
    </row>
    <row r="10" spans="1:6">
      <c r="A10" s="5" t="s">
        <v>70</v>
      </c>
      <c r="B10" s="4">
        <v>44.77</v>
      </c>
      <c r="C10" s="4">
        <v>47.7</v>
      </c>
      <c r="D10" s="4">
        <v>51.1</v>
      </c>
      <c r="E10" s="4">
        <v>55.15</v>
      </c>
      <c r="F10" s="4">
        <v>60.14</v>
      </c>
    </row>
    <row r="11" spans="1:6">
      <c r="A11" s="5" t="s">
        <v>71</v>
      </c>
      <c r="B11" s="4">
        <v>38.64</v>
      </c>
      <c r="C11" s="4">
        <v>40.82</v>
      </c>
      <c r="D11" s="4">
        <v>43.35</v>
      </c>
      <c r="E11" s="4">
        <v>46.31</v>
      </c>
      <c r="F11" s="4">
        <v>49.89</v>
      </c>
    </row>
    <row r="12" spans="1:6">
      <c r="A12" s="5" t="s">
        <v>72</v>
      </c>
      <c r="B12" s="4">
        <v>33.88</v>
      </c>
      <c r="C12" s="4">
        <v>35.54</v>
      </c>
      <c r="D12" s="4">
        <v>37.44</v>
      </c>
      <c r="E12" s="4">
        <v>39.66</v>
      </c>
      <c r="F12" s="4">
        <v>42.25</v>
      </c>
    </row>
    <row r="13" spans="1:6">
      <c r="A13" s="5" t="s">
        <v>73</v>
      </c>
      <c r="B13" s="4">
        <v>30.07</v>
      </c>
      <c r="C13" s="4">
        <v>31.35</v>
      </c>
      <c r="D13" s="4">
        <v>32.8</v>
      </c>
      <c r="E13" s="4">
        <v>34.48</v>
      </c>
      <c r="F13" s="4">
        <v>36.42</v>
      </c>
    </row>
  </sheetData>
  <conditionalFormatting sqref="C10">
    <cfRule type="notContainsBlanks" dxfId="0" priority="1">
      <formula>LEN(TRIM(C10))&gt;0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1" width="20.7109375" customWidth="1"/>
    <col min="2" max="8" width="14.7109375" customWidth="1"/>
  </cols>
  <sheetData>
    <row r="1" spans="1:3">
      <c r="A1" s="1" t="s">
        <v>74</v>
      </c>
    </row>
    <row r="2" spans="1:3">
      <c r="A2" s="2" t="s">
        <v>75</v>
      </c>
    </row>
    <row r="4" spans="1:3">
      <c r="A4" s="3" t="s">
        <v>76</v>
      </c>
      <c r="B4" s="3"/>
      <c r="C4" s="3"/>
    </row>
    <row r="5" spans="1:3">
      <c r="A5" s="5" t="s">
        <v>77</v>
      </c>
      <c r="B5" s="5" t="s">
        <v>78</v>
      </c>
      <c r="C5" s="5" t="s">
        <v>79</v>
      </c>
    </row>
    <row r="6" spans="1:3">
      <c r="A6" t="s">
        <v>80</v>
      </c>
      <c r="B6" s="7">
        <v>0.1026</v>
      </c>
      <c r="C6" s="7">
        <v>0.1258</v>
      </c>
    </row>
    <row r="7" spans="1:3">
      <c r="A7" t="s">
        <v>81</v>
      </c>
      <c r="B7" s="7">
        <v>0.7789</v>
      </c>
      <c r="C7" s="7">
        <v>0.3754</v>
      </c>
    </row>
    <row r="8" spans="1:3">
      <c r="A8" t="s">
        <v>82</v>
      </c>
      <c r="B8" s="7">
        <v>0.2745</v>
      </c>
      <c r="C8" s="7">
        <v>0.08939999999999999</v>
      </c>
    </row>
    <row r="9" spans="1:3">
      <c r="A9" t="s">
        <v>83</v>
      </c>
      <c r="B9" s="7">
        <v>0.0742</v>
      </c>
      <c r="C9" s="7">
        <v>0.1682</v>
      </c>
    </row>
    <row r="11" spans="1:3">
      <c r="A11" s="6" t="s">
        <v>84</v>
      </c>
      <c r="B11" s="7">
        <v>0.1258</v>
      </c>
      <c r="C11" t="s">
        <v>85</v>
      </c>
    </row>
  </sheetData>
  <mergeCells count="1"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Base Case</vt:lpstr>
      <vt:lpstr>Bull Case</vt:lpstr>
      <vt:lpstr>Bear Case</vt:lpstr>
      <vt:lpstr>Sensitivity</vt:lpstr>
      <vt:lpstr>Historical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2026-01-22T06:23:18Z</dcterms:created>
  <dcterms:modified xsi:type="dcterms:W3CDTF">2026-01-22T06:23:18Z</dcterms:modified>
</cp:coreProperties>
</file>