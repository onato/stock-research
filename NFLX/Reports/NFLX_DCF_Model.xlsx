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Scenarios" sheetId="3" r:id="rId3"/>
    <sheet name="Historical Growth" sheetId="4" r:id="rId4"/>
  </sheets>
  <calcPr calcId="124519" fullCalcOnLoad="1"/>
</workbook>
</file>

<file path=xl/sharedStrings.xml><?xml version="1.0" encoding="utf-8"?>
<sst xmlns="http://schemas.openxmlformats.org/spreadsheetml/2006/main" count="181" uniqueCount="147">
  <si>
    <t>NFLX DCF Valuation Model</t>
  </si>
  <si>
    <t>Valuation Date: 2026-06-24  |  Gray cells are INPUTS - adjust to see valuation change</t>
  </si>
  <si>
    <t>KEY INPUTS</t>
  </si>
  <si>
    <t>Current Stock Price ($)</t>
  </si>
  <si>
    <t>Shares Outstanding (M, post-split)</t>
  </si>
  <si>
    <t>Cash &amp; Equivalents ($M)</t>
  </si>
  <si>
    <t>Total Debt ($M)</t>
  </si>
  <si>
    <t>Net Debt ($M)  [Debt - Cash]</t>
  </si>
  <si>
    <t>Base Year FCF ($M)  [FY2025]</t>
  </si>
  <si>
    <t>WACC (Base Case)</t>
  </si>
  <si>
    <t>Terminal Growth Rate (Base)</t>
  </si>
  <si>
    <t>Split Note</t>
  </si>
  <si>
    <t>10-for-1 forward split Nov 2025. 422.3M pre-split x10 = 4,223M shares.</t>
  </si>
  <si>
    <t>BASE CASE FCF GROWTH ASSUMPTIONS</t>
  </si>
  <si>
    <t>FCF Growth Rate</t>
  </si>
  <si>
    <t>Year 1</t>
  </si>
  <si>
    <t>Year 2</t>
  </si>
  <si>
    <t>Year 3</t>
  </si>
  <si>
    <t>Year 4</t>
  </si>
  <si>
    <t>Year 5</t>
  </si>
  <si>
    <t>BASE CASE PROJECTIONS ($M)</t>
  </si>
  <si>
    <t>FCF ($M)</t>
  </si>
  <si>
    <t>Discount Factor</t>
  </si>
  <si>
    <t>PV of FCF ($M)</t>
  </si>
  <si>
    <t>BASE CASE VALUATION</t>
  </si>
  <si>
    <t>Sum of PV of FCF ($M)</t>
  </si>
  <si>
    <t>Terminal FCF  [Year 5 FCF x (1+g)]</t>
  </si>
  <si>
    <t>Terminal Value ($M)</t>
  </si>
  <si>
    <t>PV of Terminal Value ($M)</t>
  </si>
  <si>
    <t>Enterprise Value ($M)</t>
  </si>
  <si>
    <t>Less: Net Debt ($M)</t>
  </si>
  <si>
    <t>Equity Value ($M)</t>
  </si>
  <si>
    <t>INTRINSIC VALUE / SHARE</t>
  </si>
  <si>
    <t>Current Price</t>
  </si>
  <si>
    <t>Upside / (Downside)</t>
  </si>
  <si>
    <t>ENTRY PRICE (15% CAGR Target)</t>
  </si>
  <si>
    <t>Terminal Value per Share</t>
  </si>
  <si>
    <t>Entry Price for 15% CAGR over 5 Years</t>
  </si>
  <si>
    <t>Discount from Current Price</t>
  </si>
  <si>
    <t>SCENARIO SUMMARY</t>
  </si>
  <si>
    <t>Metric</t>
  </si>
  <si>
    <t>Bear Case</t>
  </si>
  <si>
    <t>Base Case</t>
  </si>
  <si>
    <t>Bull Case</t>
  </si>
  <si>
    <t>Prob-Weighted</t>
  </si>
  <si>
    <t>WACC</t>
  </si>
  <si>
    <t>Terminal Growth</t>
  </si>
  <si>
    <t>IV / Share</t>
  </si>
  <si>
    <t>Upside</t>
  </si>
  <si>
    <t>Probability</t>
  </si>
  <si>
    <t>Sensitivity Analysis — Intrinsic Value per Share</t>
  </si>
  <si>
    <t>Base case FCF growth assumptions. Rows = WACC, Columns = Terminal Growth Rate</t>
  </si>
  <si>
    <t>WACC \ Term G</t>
  </si>
  <si>
    <t>2.0%</t>
  </si>
  <si>
    <t>2.5%</t>
  </si>
  <si>
    <t>3.0%</t>
  </si>
  <si>
    <t>3.5%</t>
  </si>
  <si>
    <t>4.0%</t>
  </si>
  <si>
    <t>Current Price: $73.78</t>
  </si>
  <si>
    <t>Green = above current price (+5%), Orange = within 5%, Red = below current price</t>
  </si>
  <si>
    <t>NOTE: All cells use base-case FCF growth rates. Only WACC and terminal growth vary.</t>
  </si>
  <si>
    <t>LIVE SENSITIVITY (links to DCF Model inputs):</t>
  </si>
  <si>
    <t>Green = above $73.78, Orange = within 5%, Red = below $73.78</t>
  </si>
  <si>
    <t>NFLX — Bear / Base / Bull Scenarios</t>
  </si>
  <si>
    <t>Based on FY2025 FCF of $9,461.1M  |  Shares: 4,223M post-split</t>
  </si>
  <si>
    <t>Item</t>
  </si>
  <si>
    <t>11.0%</t>
  </si>
  <si>
    <t>9.5%</t>
  </si>
  <si>
    <t>8.5%</t>
  </si>
  <si>
    <t>FCF Margin</t>
  </si>
  <si>
    <t>18.0%</t>
  </si>
  <si>
    <t>21.0%</t>
  </si>
  <si>
    <t>25.0%</t>
  </si>
  <si>
    <t>FCF Growth Y1</t>
  </si>
  <si>
    <t>10%</t>
  </si>
  <si>
    <t>16%</t>
  </si>
  <si>
    <t>18%</t>
  </si>
  <si>
    <t>FCF Growth Y2</t>
  </si>
  <si>
    <t>7%</t>
  </si>
  <si>
    <t>13%</t>
  </si>
  <si>
    <t>FCF Growth Y3</t>
  </si>
  <si>
    <t>5%</t>
  </si>
  <si>
    <t>11%</t>
  </si>
  <si>
    <t>14%</t>
  </si>
  <si>
    <t>FCF Growth Y4</t>
  </si>
  <si>
    <t>3%</t>
  </si>
  <si>
    <t>9%</t>
  </si>
  <si>
    <t>12%</t>
  </si>
  <si>
    <t>FCF Growth Y5</t>
  </si>
  <si>
    <t>2%</t>
  </si>
  <si>
    <t>--- Outputs ---</t>
  </si>
  <si>
    <t>---</t>
  </si>
  <si>
    <t>Sum PV of FCF ($M)</t>
  </si>
  <si>
    <t>$42,187.3</t>
  </si>
  <si>
    <t>$51,490.7</t>
  </si>
  <si>
    <t>$56,881.6</t>
  </si>
  <si>
    <t>$139,219.8</t>
  </si>
  <si>
    <t>$254,410.0</t>
  </si>
  <si>
    <t>$376,501.9</t>
  </si>
  <si>
    <t>PV of Terminal ($M)</t>
  </si>
  <si>
    <t>$82,557.3</t>
  </si>
  <si>
    <t>$161,550.4</t>
  </si>
  <si>
    <t>$250,373.8</t>
  </si>
  <si>
    <t>$124,744.6</t>
  </si>
  <si>
    <t>$213,041.1</t>
  </si>
  <si>
    <t>$307,255.4</t>
  </si>
  <si>
    <t>$2,100.75</t>
  </si>
  <si>
    <t>$122,643.9</t>
  </si>
  <si>
    <t>$210,940.4</t>
  </si>
  <si>
    <t>$305,154.7</t>
  </si>
  <si>
    <t>Intrinsic Value/Share</t>
  </si>
  <si>
    <t>$29.04</t>
  </si>
  <si>
    <t>$49.95</t>
  </si>
  <si>
    <t>$72.26</t>
  </si>
  <si>
    <t>-60.6%</t>
  </si>
  <si>
    <t>-32.3%</t>
  </si>
  <si>
    <t>-2.1%</t>
  </si>
  <si>
    <t>Entry Price (15% CAGR)</t>
  </si>
  <si>
    <t>$16.39</t>
  </si>
  <si>
    <t>$29.95</t>
  </si>
  <si>
    <t>$44.33</t>
  </si>
  <si>
    <t>Probability-Weighted IV</t>
  </si>
  <si>
    <t>25% weight</t>
  </si>
  <si>
    <t>50% weight -&gt; $50.30</t>
  </si>
  <si>
    <t>Historical Growth Rates — NFLX</t>
  </si>
  <si>
    <t>Data source: NFLX_Metrics.csv (FY2020-FY2025)</t>
  </si>
  <si>
    <t>3-Year CAGR</t>
  </si>
  <si>
    <t>5-Year CAGR</t>
  </si>
  <si>
    <t>Revenue</t>
  </si>
  <si>
    <t>EPS (split-adj)</t>
  </si>
  <si>
    <t>Shareholders Equity</t>
  </si>
  <si>
    <t>Free Cash Flow</t>
  </si>
  <si>
    <t>Selected Growth Rate:</t>
  </si>
  <si>
    <t>Source:</t>
  </si>
  <si>
    <t>revenue_5yr_cagr</t>
  </si>
  <si>
    <t>Notes:</t>
  </si>
  <si>
    <t>EPS CAGR computed from NI divided by post-split equivalent diluted shares (FY2022: NI/667M post-split eq, FY2025: NI/4250M post-split eq). EPS CAGR shows negative because pre-split EPS denominators are inconsistent across the split. FCF CAGR distorted by FY2021 trough ($184M). Equity CAGR understates business growth due to buybacks. Revenue 5yr CAGR selected as most representative.</t>
  </si>
  <si>
    <t>Key Historical Data Points:</t>
  </si>
  <si>
    <t>Period</t>
  </si>
  <si>
    <t>Revenue ($M)</t>
  </si>
  <si>
    <t>Shareholders' Equity ($M)</t>
  </si>
  <si>
    <t>FY2020</t>
  </si>
  <si>
    <t>FY2021</t>
  </si>
  <si>
    <t>FY2022</t>
  </si>
  <si>
    <t>FY2023</t>
  </si>
  <si>
    <t>FY2024</t>
  </si>
  <si>
    <t>FY2025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</si>
</sst>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rgb="FF636E7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636E72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B2BEC3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D79A8"/>
        <bgColor indexed="64"/>
      </patternFill>
    </fill>
    <fill>
      <patternFill patternType="solid">
        <fgColor rgb="FFFAB1A0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55EFC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3" borderId="2" xfId="0" applyNumberFormat="1" applyFill="1" applyBorder="1"/>
    <xf numFmtId="164" fontId="0" fillId="0" borderId="2" xfId="0" applyNumberFormat="1" applyBorder="1"/>
    <xf numFmtId="165" fontId="0" fillId="3" borderId="2" xfId="0" applyNumberFormat="1" applyFill="1" applyBorder="1"/>
    <xf numFmtId="0" fontId="4" fillId="4" borderId="2" xfId="0" applyFont="1" applyFill="1" applyBorder="1"/>
    <xf numFmtId="0" fontId="5" fillId="5" borderId="2" xfId="0" applyFont="1" applyFill="1" applyBorder="1" applyAlignment="1">
      <alignment horizontal="center"/>
    </xf>
    <xf numFmtId="0" fontId="4" fillId="0" borderId="0" xfId="0" applyFont="1"/>
    <xf numFmtId="166" fontId="5" fillId="6" borderId="2" xfId="0" applyNumberFormat="1" applyFont="1" applyFill="1" applyBorder="1"/>
    <xf numFmtId="166" fontId="0" fillId="0" borderId="2" xfId="0" applyNumberFormat="1" applyBorder="1"/>
    <xf numFmtId="165" fontId="5" fillId="7" borderId="2" xfId="0" applyNumberFormat="1" applyFont="1" applyFill="1" applyBorder="1"/>
    <xf numFmtId="165" fontId="0" fillId="0" borderId="2" xfId="0" applyNumberFormat="1" applyBorder="1"/>
    <xf numFmtId="165" fontId="5" fillId="5" borderId="2" xfId="0" applyNumberFormat="1" applyFont="1" applyFill="1" applyBorder="1"/>
    <xf numFmtId="166" fontId="0" fillId="8" borderId="2" xfId="0" applyNumberFormat="1" applyFill="1" applyBorder="1"/>
    <xf numFmtId="166" fontId="4" fillId="9" borderId="2" xfId="0" applyNumberFormat="1" applyFont="1" applyFill="1" applyBorder="1"/>
    <xf numFmtId="166" fontId="0" fillId="10" borderId="2" xfId="0" applyNumberFormat="1" applyFill="1" applyBorder="1"/>
    <xf numFmtId="0" fontId="0" fillId="8" borderId="2" xfId="0" applyFill="1" applyBorder="1"/>
    <xf numFmtId="0" fontId="4" fillId="3" borderId="2" xfId="0" applyFont="1" applyFill="1" applyBorder="1"/>
    <xf numFmtId="0" fontId="0" fillId="1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zoomScale="90" zoomScaleNormal="90" workbookViewId="0"/>
  </sheetViews>
  <sheetFormatPr defaultRowHeight="15"/>
  <cols>
    <col min="1" max="1" width="28.7109375" customWidth="1"/>
    <col min="2" max="7" width="14.7109375" customWidth="1"/>
  </cols>
  <sheetData>
    <row r="1" spans="1:7">
      <c r="A1" s="1" t="s">
        <v>0</v>
      </c>
    </row>
    <row r="2" spans="1:7">
      <c r="A2" s="2" t="s">
        <v>1</v>
      </c>
    </row>
    <row r="4" spans="1:7">
      <c r="A4" s="3" t="s">
        <v>2</v>
      </c>
      <c r="B4" s="3"/>
      <c r="C4" s="3"/>
      <c r="D4" s="3"/>
      <c r="E4" s="3"/>
      <c r="F4" s="3"/>
      <c r="G4" s="3"/>
    </row>
    <row r="5" spans="1:7">
      <c r="A5" t="s">
        <v>3</v>
      </c>
      <c r="B5" s="4">
        <v>73.78</v>
      </c>
    </row>
    <row r="6" spans="1:7">
      <c r="A6" t="s">
        <v>4</v>
      </c>
      <c r="B6" s="4">
        <v>4223</v>
      </c>
    </row>
    <row r="7" spans="1:7">
      <c r="A7" t="s">
        <v>5</v>
      </c>
      <c r="B7" s="4">
        <v>12259.77</v>
      </c>
    </row>
    <row r="8" spans="1:7">
      <c r="A8" t="s">
        <v>6</v>
      </c>
      <c r="B8" s="4">
        <v>14360.52</v>
      </c>
    </row>
    <row r="9" spans="1:7">
      <c r="A9" t="s">
        <v>7</v>
      </c>
      <c r="B9" s="5">
        <f>B8-B7</f>
        <v>0</v>
      </c>
    </row>
    <row r="10" spans="1:7">
      <c r="A10" t="s">
        <v>8</v>
      </c>
      <c r="B10" s="4">
        <v>9461.1</v>
      </c>
    </row>
    <row r="12" spans="1:7">
      <c r="A12" t="s">
        <v>9</v>
      </c>
      <c r="B12" s="6">
        <v>0.095</v>
      </c>
    </row>
    <row r="13" spans="1:7">
      <c r="A13" t="s">
        <v>10</v>
      </c>
      <c r="B13" s="6">
        <v>0.03</v>
      </c>
    </row>
    <row r="14" spans="1:7">
      <c r="A14" s="2" t="s">
        <v>11</v>
      </c>
      <c r="B14" s="2" t="s">
        <v>12</v>
      </c>
    </row>
    <row r="16" spans="1:7">
      <c r="A16" s="3" t="s">
        <v>13</v>
      </c>
      <c r="B16" s="3"/>
      <c r="C16" s="3"/>
      <c r="D16" s="3"/>
      <c r="E16" s="3"/>
      <c r="F16" s="3"/>
      <c r="G16" s="3"/>
    </row>
    <row r="17" spans="1:7">
      <c r="A17" t="s">
        <v>14</v>
      </c>
      <c r="B17" s="7" t="s">
        <v>15</v>
      </c>
      <c r="C17" s="7" t="s">
        <v>16</v>
      </c>
      <c r="D17" s="7" t="s">
        <v>17</v>
      </c>
      <c r="E17" s="7" t="s">
        <v>18</v>
      </c>
      <c r="F17" s="7" t="s">
        <v>19</v>
      </c>
    </row>
    <row r="18" spans="1:7">
      <c r="B18" s="6">
        <v>0.16</v>
      </c>
      <c r="C18" s="6">
        <v>0.13</v>
      </c>
      <c r="D18" s="6">
        <v>0.11</v>
      </c>
      <c r="E18" s="6">
        <v>0.09</v>
      </c>
      <c r="F18" s="6">
        <v>0.07000000000000001</v>
      </c>
    </row>
    <row r="20" spans="1:7">
      <c r="A20" s="3" t="s">
        <v>20</v>
      </c>
      <c r="B20" s="3"/>
      <c r="C20" s="3"/>
      <c r="D20" s="3"/>
      <c r="E20" s="3"/>
      <c r="F20" s="3"/>
      <c r="G20" s="3"/>
    </row>
    <row r="21" spans="1:7">
      <c r="A21" s="8"/>
      <c r="B21" s="8" t="s">
        <v>15</v>
      </c>
      <c r="C21" s="8" t="s">
        <v>16</v>
      </c>
      <c r="D21" s="8" t="s">
        <v>17</v>
      </c>
      <c r="E21" s="8" t="s">
        <v>18</v>
      </c>
      <c r="F21" s="8" t="s">
        <v>19</v>
      </c>
    </row>
    <row r="22" spans="1:7">
      <c r="A22" t="s">
        <v>21</v>
      </c>
      <c r="B22" s="5">
        <f>B10*(1+B17)</f>
        <v>0</v>
      </c>
      <c r="C22" s="5">
        <f>B22*(1+C17)</f>
        <v>0</v>
      </c>
      <c r="D22" s="5">
        <f>C22*(1+D17)</f>
        <v>0</v>
      </c>
      <c r="E22" s="5">
        <f>D22*(1+E17)</f>
        <v>0</v>
      </c>
      <c r="F22" s="5">
        <f>E22*(1+F17)</f>
        <v>0</v>
      </c>
    </row>
    <row r="23" spans="1:7">
      <c r="A23" t="s">
        <v>22</v>
      </c>
      <c r="B23" s="5">
        <f>1/(1+$B$12)^1</f>
        <v>0</v>
      </c>
      <c r="C23" s="5">
        <f>1/(1+$B$12)^2</f>
        <v>0</v>
      </c>
      <c r="D23" s="5">
        <f>1/(1+$B$12)^3</f>
        <v>0</v>
      </c>
      <c r="E23" s="5">
        <f>1/(1+$B$12)^4</f>
        <v>0</v>
      </c>
      <c r="F23" s="5">
        <f>1/(1+$B$12)^5</f>
        <v>0</v>
      </c>
    </row>
    <row r="24" spans="1:7">
      <c r="A24" t="s">
        <v>23</v>
      </c>
      <c r="B24" s="5">
        <f>B22*B23</f>
        <v>0</v>
      </c>
      <c r="C24" s="5">
        <f>C22*C23</f>
        <v>0</v>
      </c>
      <c r="D24" s="5">
        <f>D22*D23</f>
        <v>0</v>
      </c>
      <c r="E24" s="5">
        <f>E22*E23</f>
        <v>0</v>
      </c>
      <c r="F24" s="5">
        <f>F22*F23</f>
        <v>0</v>
      </c>
    </row>
    <row r="29" spans="1:7">
      <c r="A29" s="3" t="s">
        <v>24</v>
      </c>
      <c r="B29" s="3"/>
      <c r="C29" s="3"/>
      <c r="D29" s="3"/>
      <c r="E29" s="3"/>
      <c r="F29" s="3"/>
      <c r="G29" s="3"/>
    </row>
    <row r="30" spans="1:7">
      <c r="A30" t="s">
        <v>25</v>
      </c>
      <c r="B30" s="5">
        <f>SUM(B24:F24)</f>
        <v>0</v>
      </c>
    </row>
    <row r="31" spans="1:7">
      <c r="A31" t="s">
        <v>26</v>
      </c>
      <c r="B31" s="5">
        <f>F22*(1+$B$13)</f>
        <v>0</v>
      </c>
    </row>
    <row r="32" spans="1:7">
      <c r="A32" t="s">
        <v>27</v>
      </c>
      <c r="B32" s="5">
        <f>B31/($B$12-$B$13)</f>
        <v>0</v>
      </c>
    </row>
    <row r="33" spans="1:7">
      <c r="A33" t="s">
        <v>28</v>
      </c>
      <c r="B33" s="5">
        <f>B32*F23</f>
        <v>0</v>
      </c>
    </row>
    <row r="34" spans="1:7">
      <c r="A34" t="s">
        <v>29</v>
      </c>
      <c r="B34" s="5">
        <f>B30+B33</f>
        <v>0</v>
      </c>
    </row>
    <row r="35" spans="1:7">
      <c r="A35" t="s">
        <v>30</v>
      </c>
      <c r="B35" s="5">
        <f>B9</f>
        <v>0</v>
      </c>
    </row>
    <row r="36" spans="1:7">
      <c r="A36" t="s">
        <v>31</v>
      </c>
      <c r="B36" s="5">
        <f>B34-B35</f>
        <v>0</v>
      </c>
    </row>
    <row r="37" spans="1:7">
      <c r="A37" s="9" t="s">
        <v>32</v>
      </c>
      <c r="B37" s="10">
        <f>B36/B6</f>
        <v>0</v>
      </c>
    </row>
    <row r="38" spans="1:7">
      <c r="A38" t="s">
        <v>33</v>
      </c>
      <c r="B38" s="11">
        <f>B5</f>
        <v>0</v>
      </c>
    </row>
    <row r="39" spans="1:7">
      <c r="A39" t="s">
        <v>34</v>
      </c>
      <c r="B39" s="12">
        <f>(B37-B5)/B5</f>
        <v>0</v>
      </c>
    </row>
    <row r="41" spans="1:7">
      <c r="A41" s="3" t="s">
        <v>35</v>
      </c>
      <c r="B41" s="3"/>
      <c r="C41" s="3"/>
      <c r="D41" s="3"/>
      <c r="E41" s="3"/>
      <c r="F41" s="3"/>
      <c r="G41" s="3"/>
    </row>
    <row r="42" spans="1:7">
      <c r="A42" t="s">
        <v>36</v>
      </c>
      <c r="B42" s="11">
        <f>B32/B6</f>
        <v>0</v>
      </c>
    </row>
    <row r="43" spans="1:7">
      <c r="A43" t="s">
        <v>37</v>
      </c>
      <c r="B43" s="10">
        <f>B42/(1.15^5)</f>
        <v>0</v>
      </c>
    </row>
    <row r="44" spans="1:7">
      <c r="A44" t="s">
        <v>38</v>
      </c>
      <c r="B44" s="13">
        <f>(B5-B43)/B5</f>
        <v>0</v>
      </c>
    </row>
    <row r="46" spans="1:7">
      <c r="A46" s="3" t="s">
        <v>39</v>
      </c>
      <c r="B46" s="3"/>
      <c r="C46" s="3"/>
      <c r="D46" s="3"/>
      <c r="E46" s="3"/>
      <c r="F46" s="3"/>
      <c r="G46" s="3"/>
    </row>
    <row r="47" spans="1:7">
      <c r="A47" s="8" t="s">
        <v>40</v>
      </c>
      <c r="B47" s="8" t="s">
        <v>41</v>
      </c>
      <c r="C47" s="8" t="s">
        <v>42</v>
      </c>
      <c r="D47" s="8" t="s">
        <v>43</v>
      </c>
      <c r="E47" s="8" t="s">
        <v>44</v>
      </c>
    </row>
    <row r="48" spans="1:7">
      <c r="A48" s="9" t="s">
        <v>45</v>
      </c>
      <c r="B48" s="13">
        <v>0.11</v>
      </c>
      <c r="C48" s="13">
        <v>0.095</v>
      </c>
      <c r="D48" s="13">
        <v>0.08500000000000001</v>
      </c>
      <c r="E48" s="5"/>
    </row>
    <row r="49" spans="1:5">
      <c r="A49" s="9" t="s">
        <v>46</v>
      </c>
      <c r="B49" s="13">
        <v>0.02</v>
      </c>
      <c r="C49" s="13">
        <v>0.03</v>
      </c>
      <c r="D49" s="13">
        <v>0.035</v>
      </c>
      <c r="E49" s="5"/>
    </row>
    <row r="50" spans="1:5">
      <c r="A50" s="9" t="s">
        <v>47</v>
      </c>
      <c r="B50" s="11">
        <v>29.04</v>
      </c>
      <c r="C50" s="10">
        <v>49.95</v>
      </c>
      <c r="D50" s="11">
        <v>72.26000000000001</v>
      </c>
      <c r="E50" s="10">
        <v>50.3</v>
      </c>
    </row>
    <row r="51" spans="1:5">
      <c r="A51" s="9" t="s">
        <v>48</v>
      </c>
      <c r="B51" s="13">
        <v>-0.606</v>
      </c>
      <c r="C51" s="12">
        <v>-0.323</v>
      </c>
      <c r="D51" s="13">
        <v>-0.021</v>
      </c>
      <c r="E51" s="13"/>
    </row>
    <row r="52" spans="1:5">
      <c r="A52" s="9" t="s">
        <v>49</v>
      </c>
      <c r="B52" s="13">
        <v>0.25</v>
      </c>
      <c r="C52" s="13">
        <v>0.5</v>
      </c>
      <c r="D52" s="13">
        <v>0.25</v>
      </c>
      <c r="E52" s="13"/>
    </row>
  </sheetData>
  <mergeCells count="6">
    <mergeCell ref="A4:G4"/>
    <mergeCell ref="A16:G16"/>
    <mergeCell ref="A20:G20"/>
    <mergeCell ref="A29:G29"/>
    <mergeCell ref="A41:G41"/>
    <mergeCell ref="A46:G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zoomScale="90" zoomScaleNormal="90" workbookViewId="0"/>
  </sheetViews>
  <sheetFormatPr defaultRowHeight="15"/>
  <cols>
    <col min="1" max="1" width="16.7109375" customWidth="1"/>
    <col min="2" max="7" width="13.7109375" customWidth="1"/>
  </cols>
  <sheetData>
    <row r="1" spans="1:6">
      <c r="A1" s="1" t="s">
        <v>50</v>
      </c>
    </row>
    <row r="2" spans="1:6">
      <c r="A2" s="2" t="s">
        <v>51</v>
      </c>
    </row>
    <row r="4" spans="1:6">
      <c r="A4" s="8" t="s">
        <v>52</v>
      </c>
      <c r="B4" s="8" t="s">
        <v>53</v>
      </c>
      <c r="C4" s="8" t="s">
        <v>54</v>
      </c>
      <c r="D4" s="8" t="s">
        <v>55</v>
      </c>
      <c r="E4" s="8" t="s">
        <v>56</v>
      </c>
      <c r="F4" s="8" t="s">
        <v>57</v>
      </c>
    </row>
    <row r="5" spans="1:6">
      <c r="A5" s="14">
        <v>0.08</v>
      </c>
      <c r="B5" s="15">
        <v>56.23</v>
      </c>
      <c r="C5" s="15">
        <v>60.46</v>
      </c>
      <c r="D5" s="15">
        <v>65.55</v>
      </c>
      <c r="E5" s="16">
        <v>71.76000000000001</v>
      </c>
      <c r="F5" s="17">
        <v>79.53</v>
      </c>
    </row>
    <row r="6" spans="1:6">
      <c r="A6" s="14">
        <v>0.09</v>
      </c>
      <c r="B6" s="15">
        <v>47.87</v>
      </c>
      <c r="C6" s="15">
        <v>50.83</v>
      </c>
      <c r="D6" s="15">
        <v>54.28</v>
      </c>
      <c r="E6" s="15">
        <v>58.36</v>
      </c>
      <c r="F6" s="15">
        <v>63.26</v>
      </c>
    </row>
    <row r="7" spans="1:6">
      <c r="A7" s="14">
        <v>0.1</v>
      </c>
      <c r="B7" s="15">
        <v>41.63</v>
      </c>
      <c r="C7" s="15">
        <v>43.79</v>
      </c>
      <c r="D7" s="15">
        <v>46.27</v>
      </c>
      <c r="E7" s="15">
        <v>49.12</v>
      </c>
      <c r="F7" s="15">
        <v>52.45</v>
      </c>
    </row>
    <row r="8" spans="1:6">
      <c r="A8" s="14">
        <v>0.11</v>
      </c>
      <c r="B8" s="15">
        <v>36.76</v>
      </c>
      <c r="C8" s="15">
        <v>38.39</v>
      </c>
      <c r="D8" s="15">
        <v>40.23</v>
      </c>
      <c r="E8" s="15">
        <v>42.32</v>
      </c>
      <c r="F8" s="15">
        <v>44.7</v>
      </c>
    </row>
    <row r="9" spans="1:6">
      <c r="A9" s="14">
        <v>0.12</v>
      </c>
      <c r="B9" s="15">
        <v>32.89</v>
      </c>
      <c r="C9" s="15">
        <v>34.16</v>
      </c>
      <c r="D9" s="15">
        <v>35.57</v>
      </c>
      <c r="E9" s="15">
        <v>37.15</v>
      </c>
      <c r="F9" s="15">
        <v>38.92</v>
      </c>
    </row>
    <row r="10" spans="1:6">
      <c r="A10" s="9" t="s">
        <v>58</v>
      </c>
    </row>
    <row r="11" spans="1:6">
      <c r="A11" s="2" t="s">
        <v>59</v>
      </c>
    </row>
    <row r="13" spans="1:6">
      <c r="A13" s="2" t="s">
        <v>60</v>
      </c>
    </row>
    <row r="15" spans="1:6">
      <c r="A15" s="9" t="s">
        <v>61</v>
      </c>
    </row>
    <row r="16" spans="1:6">
      <c r="A16" s="8" t="s">
        <v>52</v>
      </c>
      <c r="B16" s="8" t="s">
        <v>53</v>
      </c>
      <c r="C16" s="8" t="s">
        <v>54</v>
      </c>
      <c r="D16" s="8" t="s">
        <v>55</v>
      </c>
      <c r="E16" s="8" t="s">
        <v>56</v>
      </c>
      <c r="F16" s="8" t="s">
        <v>57</v>
      </c>
    </row>
    <row r="17" spans="1:6">
      <c r="A17" s="14">
        <v>0.08</v>
      </c>
      <c r="B17" s="15">
        <f>((('DCF Model'!B22*(1/1.08)^1)+('DCF Model'!C22*(1/1.08)^2)+('DCF Model'!D22*(1/1.08)^3)+('DCF Model'!E22*(1/1.08)^4)+('DCF Model'!F22*(1/1.08)^5))+('DCF Model'!F22*(1+0.02)/(0.08-0.02)*(1/1.08)^5)-'DCF Model'!B9)/'DCF Model'!B6</f>
        <v>0</v>
      </c>
      <c r="C17" s="15">
        <f>((('DCF Model'!B22*(1/1.08)^1)+('DCF Model'!C22*(1/1.08)^2)+('DCF Model'!D22*(1/1.08)^3)+('DCF Model'!E22*(1/1.08)^4)+('DCF Model'!F22*(1/1.08)^5))+('DCF Model'!F22*(1+0.025)/(0.08-0.025)*(1/1.08)^5)-'DCF Model'!B9)/'DCF Model'!B6</f>
        <v>0</v>
      </c>
      <c r="D17" s="15">
        <f>((('DCF Model'!B22*(1/1.08)^1)+('DCF Model'!C22*(1/1.08)^2)+('DCF Model'!D22*(1/1.08)^3)+('DCF Model'!E22*(1/1.08)^4)+('DCF Model'!F22*(1/1.08)^5))+('DCF Model'!F22*(1+0.03)/(0.08-0.03)*(1/1.08)^5)-'DCF Model'!B9)/'DCF Model'!B6</f>
        <v>0</v>
      </c>
      <c r="E17" s="16">
        <f>((('DCF Model'!B22*(1/1.08)^1)+('DCF Model'!C22*(1/1.08)^2)+('DCF Model'!D22*(1/1.08)^3)+('DCF Model'!E22*(1/1.08)^4)+('DCF Model'!F22*(1/1.08)^5))+('DCF Model'!F22*(1+0.035)/(0.08-0.035)*(1/1.08)^5)-'DCF Model'!B9)/'DCF Model'!B6</f>
        <v>0</v>
      </c>
      <c r="F17" s="17">
        <f>((('DCF Model'!B22*(1/1.08)^1)+('DCF Model'!C22*(1/1.08)^2)+('DCF Model'!D22*(1/1.08)^3)+('DCF Model'!E22*(1/1.08)^4)+('DCF Model'!F22*(1/1.08)^5))+('DCF Model'!F22*(1+0.04)/(0.08-0.04)*(1/1.08)^5)-'DCF Model'!B9)/'DCF Model'!B6</f>
        <v>0</v>
      </c>
    </row>
    <row r="18" spans="1:6">
      <c r="A18" s="14">
        <v>0.09</v>
      </c>
      <c r="B18" s="15">
        <f>((('DCF Model'!B22*(1/1.09)^1)+('DCF Model'!C22*(1/1.09)^2)+('DCF Model'!D22*(1/1.09)^3)+('DCF Model'!E22*(1/1.09)^4)+('DCF Model'!F22*(1/1.09)^5))+('DCF Model'!F22*(1+0.02)/(0.09-0.02)*(1/1.09)^5)-'DCF Model'!B9)/'DCF Model'!B6</f>
        <v>0</v>
      </c>
      <c r="C18" s="15">
        <f>((('DCF Model'!B22*(1/1.09)^1)+('DCF Model'!C22*(1/1.09)^2)+('DCF Model'!D22*(1/1.09)^3)+('DCF Model'!E22*(1/1.09)^4)+('DCF Model'!F22*(1/1.09)^5))+('DCF Model'!F22*(1+0.025)/(0.09-0.025)*(1/1.09)^5)-'DCF Model'!B9)/'DCF Model'!B6</f>
        <v>0</v>
      </c>
      <c r="D18" s="15">
        <f>((('DCF Model'!B22*(1/1.09)^1)+('DCF Model'!C22*(1/1.09)^2)+('DCF Model'!D22*(1/1.09)^3)+('DCF Model'!E22*(1/1.09)^4)+('DCF Model'!F22*(1/1.09)^5))+('DCF Model'!F22*(1+0.03)/(0.09-0.03)*(1/1.09)^5)-'DCF Model'!B9)/'DCF Model'!B6</f>
        <v>0</v>
      </c>
      <c r="E18" s="15">
        <f>((('DCF Model'!B22*(1/1.09)^1)+('DCF Model'!C22*(1/1.09)^2)+('DCF Model'!D22*(1/1.09)^3)+('DCF Model'!E22*(1/1.09)^4)+('DCF Model'!F22*(1/1.09)^5))+('DCF Model'!F22*(1+0.035)/(0.09-0.035)*(1/1.09)^5)-'DCF Model'!B9)/'DCF Model'!B6</f>
        <v>0</v>
      </c>
      <c r="F18" s="15">
        <f>((('DCF Model'!B22*(1/1.09)^1)+('DCF Model'!C22*(1/1.09)^2)+('DCF Model'!D22*(1/1.09)^3)+('DCF Model'!E22*(1/1.09)^4)+('DCF Model'!F22*(1/1.09)^5))+('DCF Model'!F22*(1+0.04)/(0.09-0.04)*(1/1.09)^5)-'DCF Model'!B9)/'DCF Model'!B6</f>
        <v>0</v>
      </c>
    </row>
    <row r="19" spans="1:6">
      <c r="A19" s="14">
        <v>0.1</v>
      </c>
      <c r="B19" s="15">
        <f>((('DCF Model'!B22*(1/1.1)^1)+('DCF Model'!C22*(1/1.1)^2)+('DCF Model'!D22*(1/1.1)^3)+('DCF Model'!E22*(1/1.1)^4)+('DCF Model'!F22*(1/1.1)^5))+('DCF Model'!F22*(1+0.02)/(0.1-0.02)*(1/1.1)^5)-'DCF Model'!B9)/'DCF Model'!B6</f>
        <v>0</v>
      </c>
      <c r="C19" s="15">
        <f>((('DCF Model'!B22*(1/1.1)^1)+('DCF Model'!C22*(1/1.1)^2)+('DCF Model'!D22*(1/1.1)^3)+('DCF Model'!E22*(1/1.1)^4)+('DCF Model'!F22*(1/1.1)^5))+('DCF Model'!F22*(1+0.025)/(0.1-0.025)*(1/1.1)^5)-'DCF Model'!B9)/'DCF Model'!B6</f>
        <v>0</v>
      </c>
      <c r="D19" s="15">
        <f>((('DCF Model'!B22*(1/1.1)^1)+('DCF Model'!C22*(1/1.1)^2)+('DCF Model'!D22*(1/1.1)^3)+('DCF Model'!E22*(1/1.1)^4)+('DCF Model'!F22*(1/1.1)^5))+('DCF Model'!F22*(1+0.03)/(0.1-0.03)*(1/1.1)^5)-'DCF Model'!B9)/'DCF Model'!B6</f>
        <v>0</v>
      </c>
      <c r="E19" s="15">
        <f>((('DCF Model'!B22*(1/1.1)^1)+('DCF Model'!C22*(1/1.1)^2)+('DCF Model'!D22*(1/1.1)^3)+('DCF Model'!E22*(1/1.1)^4)+('DCF Model'!F22*(1/1.1)^5))+('DCF Model'!F22*(1+0.035)/(0.1-0.035)*(1/1.1)^5)-'DCF Model'!B9)/'DCF Model'!B6</f>
        <v>0</v>
      </c>
      <c r="F19" s="15">
        <f>((('DCF Model'!B22*(1/1.1)^1)+('DCF Model'!C22*(1/1.1)^2)+('DCF Model'!D22*(1/1.1)^3)+('DCF Model'!E22*(1/1.1)^4)+('DCF Model'!F22*(1/1.1)^5))+('DCF Model'!F22*(1+0.04)/(0.1-0.04)*(1/1.1)^5)-'DCF Model'!B9)/'DCF Model'!B6</f>
        <v>0</v>
      </c>
    </row>
    <row r="20" spans="1:6">
      <c r="A20" s="14">
        <v>0.11</v>
      </c>
      <c r="B20" s="15">
        <f>((('DCF Model'!B22*(1/1.11)^1)+('DCF Model'!C22*(1/1.11)^2)+('DCF Model'!D22*(1/1.11)^3)+('DCF Model'!E22*(1/1.11)^4)+('DCF Model'!F22*(1/1.11)^5))+('DCF Model'!F22*(1+0.02)/(0.11-0.02)*(1/1.11)^5)-'DCF Model'!B9)/'DCF Model'!B6</f>
        <v>0</v>
      </c>
      <c r="C20" s="15">
        <f>((('DCF Model'!B22*(1/1.11)^1)+('DCF Model'!C22*(1/1.11)^2)+('DCF Model'!D22*(1/1.11)^3)+('DCF Model'!E22*(1/1.11)^4)+('DCF Model'!F22*(1/1.11)^5))+('DCF Model'!F22*(1+0.025)/(0.11-0.025)*(1/1.11)^5)-'DCF Model'!B9)/'DCF Model'!B6</f>
        <v>0</v>
      </c>
      <c r="D20" s="15">
        <f>((('DCF Model'!B22*(1/1.11)^1)+('DCF Model'!C22*(1/1.11)^2)+('DCF Model'!D22*(1/1.11)^3)+('DCF Model'!E22*(1/1.11)^4)+('DCF Model'!F22*(1/1.11)^5))+('DCF Model'!F22*(1+0.03)/(0.11-0.03)*(1/1.11)^5)-'DCF Model'!B9)/'DCF Model'!B6</f>
        <v>0</v>
      </c>
      <c r="E20" s="15">
        <f>((('DCF Model'!B22*(1/1.11)^1)+('DCF Model'!C22*(1/1.11)^2)+('DCF Model'!D22*(1/1.11)^3)+('DCF Model'!E22*(1/1.11)^4)+('DCF Model'!F22*(1/1.11)^5))+('DCF Model'!F22*(1+0.035)/(0.11-0.035)*(1/1.11)^5)-'DCF Model'!B9)/'DCF Model'!B6</f>
        <v>0</v>
      </c>
      <c r="F20" s="15">
        <f>((('DCF Model'!B22*(1/1.11)^1)+('DCF Model'!C22*(1/1.11)^2)+('DCF Model'!D22*(1/1.11)^3)+('DCF Model'!E22*(1/1.11)^4)+('DCF Model'!F22*(1/1.11)^5))+('DCF Model'!F22*(1+0.04)/(0.11-0.04)*(1/1.11)^5)-'DCF Model'!B9)/'DCF Model'!B6</f>
        <v>0</v>
      </c>
    </row>
    <row r="21" spans="1:6">
      <c r="A21" s="14">
        <v>0.12</v>
      </c>
      <c r="B21" s="15">
        <f>((('DCF Model'!B22*(1/1.12)^1)+('DCF Model'!C22*(1/1.12)^2)+('DCF Model'!D22*(1/1.12)^3)+('DCF Model'!E22*(1/1.12)^4)+('DCF Model'!F22*(1/1.12)^5))+('DCF Model'!F22*(1+0.02)/(0.12-0.02)*(1/1.12)^5)-'DCF Model'!B9)/'DCF Model'!B6</f>
        <v>0</v>
      </c>
      <c r="C21" s="15">
        <f>((('DCF Model'!B22*(1/1.12)^1)+('DCF Model'!C22*(1/1.12)^2)+('DCF Model'!D22*(1/1.12)^3)+('DCF Model'!E22*(1/1.12)^4)+('DCF Model'!F22*(1/1.12)^5))+('DCF Model'!F22*(1+0.025)/(0.12-0.025)*(1/1.12)^5)-'DCF Model'!B9)/'DCF Model'!B6</f>
        <v>0</v>
      </c>
      <c r="D21" s="15">
        <f>((('DCF Model'!B22*(1/1.12)^1)+('DCF Model'!C22*(1/1.12)^2)+('DCF Model'!D22*(1/1.12)^3)+('DCF Model'!E22*(1/1.12)^4)+('DCF Model'!F22*(1/1.12)^5))+('DCF Model'!F22*(1+0.03)/(0.12-0.03)*(1/1.12)^5)-'DCF Model'!B9)/'DCF Model'!B6</f>
        <v>0</v>
      </c>
      <c r="E21" s="15">
        <f>((('DCF Model'!B22*(1/1.12)^1)+('DCF Model'!C22*(1/1.12)^2)+('DCF Model'!D22*(1/1.12)^3)+('DCF Model'!E22*(1/1.12)^4)+('DCF Model'!F22*(1/1.12)^5))+('DCF Model'!F22*(1+0.035)/(0.12-0.035)*(1/1.12)^5)-'DCF Model'!B9)/'DCF Model'!B6</f>
        <v>0</v>
      </c>
      <c r="F21" s="15">
        <f>((('DCF Model'!B22*(1/1.12)^1)+('DCF Model'!C22*(1/1.12)^2)+('DCF Model'!D22*(1/1.12)^3)+('DCF Model'!E22*(1/1.12)^4)+('DCF Model'!F22*(1/1.12)^5))+('DCF Model'!F22*(1+0.04)/(0.12-0.04)*(1/1.12)^5)-'DCF Model'!B9)/'DCF Model'!B6</f>
        <v>0</v>
      </c>
    </row>
    <row r="22" spans="1:6">
      <c r="A22" s="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zoomScale="90" zoomScaleNormal="90" workbookViewId="0"/>
  </sheetViews>
  <sheetFormatPr defaultRowHeight="15"/>
  <cols>
    <col min="1" max="1" width="28.7109375" customWidth="1"/>
    <col min="2" max="4" width="16.7109375" customWidth="1"/>
  </cols>
  <sheetData>
    <row r="1" spans="1:4">
      <c r="A1" s="1" t="s">
        <v>63</v>
      </c>
    </row>
    <row r="2" spans="1:4">
      <c r="A2" s="2" t="s">
        <v>64</v>
      </c>
    </row>
    <row r="4" spans="1:4">
      <c r="A4" s="8" t="s">
        <v>65</v>
      </c>
      <c r="B4" s="8" t="s">
        <v>41</v>
      </c>
      <c r="C4" s="8" t="s">
        <v>42</v>
      </c>
      <c r="D4" s="8" t="s">
        <v>43</v>
      </c>
    </row>
    <row r="5" spans="1:4">
      <c r="A5" s="9" t="s">
        <v>45</v>
      </c>
      <c r="B5" s="18" t="s">
        <v>66</v>
      </c>
      <c r="C5" s="19" t="s">
        <v>67</v>
      </c>
      <c r="D5" s="20" t="s">
        <v>68</v>
      </c>
    </row>
    <row r="6" spans="1:4">
      <c r="A6" s="9" t="s">
        <v>46</v>
      </c>
      <c r="B6" s="18" t="s">
        <v>53</v>
      </c>
      <c r="C6" s="19" t="s">
        <v>55</v>
      </c>
      <c r="D6" s="20" t="s">
        <v>56</v>
      </c>
    </row>
    <row r="7" spans="1:4">
      <c r="A7" s="9" t="s">
        <v>69</v>
      </c>
      <c r="B7" s="18" t="s">
        <v>70</v>
      </c>
      <c r="C7" s="19" t="s">
        <v>71</v>
      </c>
      <c r="D7" s="20" t="s">
        <v>72</v>
      </c>
    </row>
    <row r="8" spans="1:4">
      <c r="A8" s="9" t="s">
        <v>73</v>
      </c>
      <c r="B8" s="18" t="s">
        <v>74</v>
      </c>
      <c r="C8" s="19" t="s">
        <v>75</v>
      </c>
      <c r="D8" s="20" t="s">
        <v>76</v>
      </c>
    </row>
    <row r="9" spans="1:4">
      <c r="A9" s="9" t="s">
        <v>77</v>
      </c>
      <c r="B9" s="18" t="s">
        <v>78</v>
      </c>
      <c r="C9" s="19" t="s">
        <v>79</v>
      </c>
      <c r="D9" s="20" t="s">
        <v>75</v>
      </c>
    </row>
    <row r="10" spans="1:4">
      <c r="A10" s="9" t="s">
        <v>80</v>
      </c>
      <c r="B10" s="18" t="s">
        <v>81</v>
      </c>
      <c r="C10" s="19" t="s">
        <v>82</v>
      </c>
      <c r="D10" s="20" t="s">
        <v>83</v>
      </c>
    </row>
    <row r="11" spans="1:4">
      <c r="A11" s="9" t="s">
        <v>84</v>
      </c>
      <c r="B11" s="18" t="s">
        <v>85</v>
      </c>
      <c r="C11" s="19" t="s">
        <v>86</v>
      </c>
      <c r="D11" s="20" t="s">
        <v>87</v>
      </c>
    </row>
    <row r="12" spans="1:4">
      <c r="A12" s="9" t="s">
        <v>88</v>
      </c>
      <c r="B12" s="18" t="s">
        <v>89</v>
      </c>
      <c r="C12" s="19" t="s">
        <v>78</v>
      </c>
      <c r="D12" s="20" t="s">
        <v>74</v>
      </c>
    </row>
    <row r="13" spans="1:4">
      <c r="A13" s="7" t="s">
        <v>90</v>
      </c>
      <c r="B13" s="18" t="s">
        <v>91</v>
      </c>
      <c r="C13" s="19" t="s">
        <v>91</v>
      </c>
      <c r="D13" s="20" t="s">
        <v>91</v>
      </c>
    </row>
    <row r="14" spans="1:4">
      <c r="A14" s="9" t="s">
        <v>92</v>
      </c>
      <c r="B14" s="18" t="s">
        <v>93</v>
      </c>
      <c r="C14" s="19" t="s">
        <v>94</v>
      </c>
      <c r="D14" s="20" t="s">
        <v>95</v>
      </c>
    </row>
    <row r="15" spans="1:4">
      <c r="A15" s="9" t="s">
        <v>27</v>
      </c>
      <c r="B15" s="18" t="s">
        <v>96</v>
      </c>
      <c r="C15" s="19" t="s">
        <v>97</v>
      </c>
      <c r="D15" s="20" t="s">
        <v>98</v>
      </c>
    </row>
    <row r="16" spans="1:4">
      <c r="A16" s="9" t="s">
        <v>99</v>
      </c>
      <c r="B16" s="18" t="s">
        <v>100</v>
      </c>
      <c r="C16" s="19" t="s">
        <v>101</v>
      </c>
      <c r="D16" s="20" t="s">
        <v>102</v>
      </c>
    </row>
    <row r="17" spans="1:4">
      <c r="A17" s="9" t="s">
        <v>29</v>
      </c>
      <c r="B17" s="18" t="s">
        <v>103</v>
      </c>
      <c r="C17" s="19" t="s">
        <v>104</v>
      </c>
      <c r="D17" s="20" t="s">
        <v>105</v>
      </c>
    </row>
    <row r="18" spans="1:4">
      <c r="A18" s="9" t="s">
        <v>30</v>
      </c>
      <c r="B18" s="18" t="s">
        <v>106</v>
      </c>
      <c r="C18" s="19" t="s">
        <v>106</v>
      </c>
      <c r="D18" s="20" t="s">
        <v>106</v>
      </c>
    </row>
    <row r="19" spans="1:4">
      <c r="A19" s="9" t="s">
        <v>31</v>
      </c>
      <c r="B19" s="18" t="s">
        <v>107</v>
      </c>
      <c r="C19" s="19" t="s">
        <v>108</v>
      </c>
      <c r="D19" s="20" t="s">
        <v>109</v>
      </c>
    </row>
    <row r="20" spans="1:4">
      <c r="A20" s="9" t="s">
        <v>110</v>
      </c>
      <c r="B20" s="18" t="s">
        <v>111</v>
      </c>
      <c r="C20" s="19" t="s">
        <v>112</v>
      </c>
      <c r="D20" s="20" t="s">
        <v>113</v>
      </c>
    </row>
    <row r="21" spans="1:4">
      <c r="A21" s="9" t="s">
        <v>34</v>
      </c>
      <c r="B21" s="18" t="s">
        <v>114</v>
      </c>
      <c r="C21" s="19" t="s">
        <v>115</v>
      </c>
      <c r="D21" s="20" t="s">
        <v>116</v>
      </c>
    </row>
    <row r="22" spans="1:4">
      <c r="A22" s="9" t="s">
        <v>117</v>
      </c>
      <c r="B22" s="18" t="s">
        <v>118</v>
      </c>
      <c r="C22" s="19" t="s">
        <v>119</v>
      </c>
      <c r="D22" s="20" t="s">
        <v>120</v>
      </c>
    </row>
    <row r="24" spans="1:4">
      <c r="A24" s="9" t="s">
        <v>121</v>
      </c>
      <c r="B24" s="2" t="s">
        <v>122</v>
      </c>
      <c r="C24" s="10" t="s">
        <v>123</v>
      </c>
      <c r="D24" s="2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zoomScale="90" zoomScaleNormal="90" workbookViewId="0"/>
  </sheetViews>
  <sheetFormatPr defaultRowHeight="15"/>
  <cols>
    <col min="1" max="1" width="22.7109375" customWidth="1"/>
    <col min="2" max="3" width="14.7109375" customWidth="1"/>
    <col min="4" max="4" width="22.7109375" customWidth="1"/>
  </cols>
  <sheetData>
    <row r="1" spans="1:3">
      <c r="A1" s="1" t="s">
        <v>124</v>
      </c>
    </row>
    <row r="2" spans="1:3">
      <c r="A2" s="2" t="s">
        <v>125</v>
      </c>
    </row>
    <row r="4" spans="1:3">
      <c r="A4" s="8" t="s">
        <v>40</v>
      </c>
      <c r="B4" s="8" t="s">
        <v>126</v>
      </c>
      <c r="C4" s="8" t="s">
        <v>127</v>
      </c>
    </row>
    <row r="5" spans="1:3">
      <c r="A5" t="s">
        <v>128</v>
      </c>
      <c r="B5" s="13">
        <v>0.1264</v>
      </c>
      <c r="C5" s="13">
        <v>0.1257</v>
      </c>
    </row>
    <row r="6" spans="1:3">
      <c r="A6" t="s">
        <v>129</v>
      </c>
      <c r="B6" s="13">
        <v>-0.2734</v>
      </c>
      <c r="C6" s="13">
        <v>-0.09130000000000001</v>
      </c>
    </row>
    <row r="7" spans="1:3">
      <c r="A7" t="s">
        <v>130</v>
      </c>
      <c r="B7" s="13">
        <v>0.08599999999999999</v>
      </c>
      <c r="C7" s="13">
        <v>0.09910000000000001</v>
      </c>
    </row>
    <row r="8" spans="1:3">
      <c r="A8" t="s">
        <v>131</v>
      </c>
      <c r="B8" s="13">
        <v>0.7757999999999999</v>
      </c>
      <c r="C8" s="13">
        <v>0.375</v>
      </c>
    </row>
    <row r="10" spans="1:3">
      <c r="A10" s="9" t="s">
        <v>132</v>
      </c>
      <c r="B10" s="10">
        <v>0.1257</v>
      </c>
    </row>
    <row r="11" spans="1:3">
      <c r="A11" s="9" t="s">
        <v>133</v>
      </c>
      <c r="B11" t="s">
        <v>134</v>
      </c>
    </row>
    <row r="13" spans="1:3">
      <c r="A13" s="9" t="s">
        <v>135</v>
      </c>
      <c r="B13" s="2" t="s">
        <v>136</v>
      </c>
    </row>
    <row r="16" spans="1:3">
      <c r="A16" s="9" t="s">
        <v>137</v>
      </c>
    </row>
    <row r="17" spans="1:4">
      <c r="A17" s="8" t="s">
        <v>138</v>
      </c>
      <c r="B17" s="8" t="s">
        <v>139</v>
      </c>
      <c r="C17" s="8" t="s">
        <v>21</v>
      </c>
      <c r="D17" s="8" t="s">
        <v>140</v>
      </c>
    </row>
    <row r="18" spans="1:4">
      <c r="A18" t="s">
        <v>141</v>
      </c>
      <c r="B18" s="5">
        <v>24996.1</v>
      </c>
      <c r="C18" s="5">
        <v>1924.7</v>
      </c>
      <c r="D18" s="5">
        <v>16594.4</v>
      </c>
    </row>
    <row r="19" spans="1:4">
      <c r="A19" t="s">
        <v>142</v>
      </c>
      <c r="B19" s="5">
        <v>29697.8</v>
      </c>
      <c r="C19" s="5">
        <v>184.2</v>
      </c>
      <c r="D19" s="5">
        <v>22717.1</v>
      </c>
    </row>
    <row r="20" spans="1:4">
      <c r="A20" t="s">
        <v>143</v>
      </c>
      <c r="B20" s="5">
        <v>31615.5</v>
      </c>
      <c r="C20" s="5">
        <v>1689.6</v>
      </c>
      <c r="D20" s="5">
        <v>20777.4</v>
      </c>
    </row>
    <row r="21" spans="1:4">
      <c r="A21" t="s">
        <v>144</v>
      </c>
      <c r="B21" s="5">
        <v>33723.3</v>
      </c>
      <c r="C21" s="5">
        <v>6925.4</v>
      </c>
      <c r="D21" s="5">
        <v>20588.3</v>
      </c>
    </row>
    <row r="22" spans="1:4">
      <c r="A22" t="s">
        <v>145</v>
      </c>
      <c r="B22" s="5">
        <v>39000.97</v>
      </c>
      <c r="C22" s="5">
        <v>6921.8</v>
      </c>
      <c r="D22" s="5">
        <v>24743.57</v>
      </c>
    </row>
    <row r="23" spans="1:4">
      <c r="A23" t="s">
        <v>146</v>
      </c>
      <c r="B23" s="5">
        <v>45183.04</v>
      </c>
      <c r="C23" s="5">
        <v>9461.1</v>
      </c>
      <c r="D23" s="5">
        <v>26615.49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Sensitivity</vt:lpstr>
      <vt:lpstr>Scenarios</vt:lpstr>
      <vt:lpstr>Historical Growth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2026-06-30T05:20:50Z</dcterms:created>
  <dcterms:modified xsi:type="dcterms:W3CDTF">2026-06-30T05:20:50Z</dcterms:modified>
</cp:coreProperties>
</file>