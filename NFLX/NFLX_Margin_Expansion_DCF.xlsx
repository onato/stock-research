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 - Margin Expansion" sheetId="1" state="visible" r:id="rId3"/>
    <sheet name="Scenario Analysis" sheetId="2" state="visible" r:id="rId4"/>
    <sheet name="Sensitiv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<sst xmlns="http://schemas.openxmlformats.org/spreadsheetml/2006/main" count="87" uniqueCount="84">
  <si>
    <t xml:space="preserve">Netflix (NFLX) DCF - MARGIN EXPANSION MODEL</t>
  </si>
  <si>
    <t xml:space="preserve">Key Insight: Operating Income grows faster than Revenue due to margin expansion</t>
  </si>
  <si>
    <t xml:space="preserve">Historical: 33% Net Income CAGR vs 12% Revenue CAGR (2020-2024)</t>
  </si>
  <si>
    <t xml:space="preserve">CURRENT DATA (Jan 2026)</t>
  </si>
  <si>
    <t xml:space="preserve">Stock Price</t>
  </si>
  <si>
    <t xml:space="preserve">Shares Outstanding (mm)</t>
  </si>
  <si>
    <t xml:space="preserve">Market Cap</t>
  </si>
  <si>
    <t xml:space="preserve">Net Debt</t>
  </si>
  <si>
    <t xml:space="preserve">Enterprise Value (Market)</t>
  </si>
  <si>
    <t xml:space="preserve">KEY ASSUMPTIONS</t>
  </si>
  <si>
    <t xml:space="preserve">WACC</t>
  </si>
  <si>
    <t xml:space="preserve">Lower WACC = proven, cash-generative business</t>
  </si>
  <si>
    <t xml:space="preserve">Terminal Growth Rate</t>
  </si>
  <si>
    <t xml:space="preserve">Global entertainment leader</t>
  </si>
  <si>
    <t xml:space="preserve">Tax Rate</t>
  </si>
  <si>
    <t xml:space="preserve">2030 Target Op Margin</t>
  </si>
  <si>
    <t xml:space="preserve">From 27% (2024) - operating leverage</t>
  </si>
  <si>
    <t xml:space="preserve">PROJECTIONS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</si>
  <si>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</si>
  <si>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</si>
  <si>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</si>
  <si>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</si>
  <si>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</si>
  <si>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</si>
  <si>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</si>
  <si>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</t>
  </si>
  <si>
    <t xml:space="preserve">Revenue Growth</t>
  </si>
  <si>
    <t xml:space="preserve">Operating Margin</t>
  </si>
  <si>
    <t xml:space="preserve">Operating Income</t>
  </si>
  <si>
    <t xml:space="preserve">Op Income Growth</t>
  </si>
  <si>
    <t xml:space="preserve">FCF BUILD</t>
  </si>
  <si>
    <t xml:space="preserve">NOPAT</t>
  </si>
  <si>
    <t xml:space="preserve">(+) D&amp;A</t>
  </si>
  <si>
    <t xml:space="preserve">(-) CapEx</t>
  </si>
  <si>
    <t xml:space="preserve">(-) NWC Change</t>
  </si>
  <si>
    <t xml:space="preserve">Unlevered FCF</t>
  </si>
  <si>
    <t xml:space="preserve">FCF Growth</t>
  </si>
  <si>
    <t xml:space="preserve">DCF VALUATION</t>
  </si>
  <si>
    <t xml:space="preserve">Discount Factor</t>
  </si>
  <si>
    <t xml:space="preserve">PV of FCF</t>
  </si>
  <si>
    <t xml:space="preserve">VALUATION SUMMARY</t>
  </si>
  <si>
    <t xml:space="preserve">Sum of PV FCFs</t>
  </si>
  <si>
    <t xml:space="preserve">Terminal Value</t>
  </si>
  <si>
    <t xml:space="preserve">PV of Terminal Value</t>
  </si>
  <si>
    <t xml:space="preserve">Enterprise Value</t>
  </si>
  <si>
    <t xml:space="preserve">(-) Net Debt</t>
  </si>
  <si>
    <t xml:space="preserve">Equity Value</t>
  </si>
  <si>
    <t xml:space="preserve">IMPLIED SHARE PRICE</t>
  </si>
  <si>
    <t xml:space="preserve">Current Price</t>
  </si>
  <si>
    <t xml:space="preserve">UPSIDE / (DOWNSIDE)</t>
  </si>
  <si>
    <t xml:space="preserve">GROWTH SUMMARY (6-Year CAGRs)</t>
  </si>
  <si>
    <t xml:space="preserve">Revenue CAGR</t>
  </si>
  <si>
    <t xml:space="preserve">Op Income CAGR</t>
  </si>
  <si>
    <t xml:space="preserve">FCF CAGR</t>
  </si>
  <si>
    <t xml:space="preserve">Margin Expansion</t>
  </si>
  <si>
    <t xml:space="preserve">SCENARIO ANALYSIS</t>
  </si>
  <si>
    <t xml:space="preserve">Scenario</t>
  </si>
  <si>
    <t xml:space="preserve">Rev CAGR</t>
  </si>
  <si>
    <t xml:space="preserve">2030 Margin</t>
  </si>
  <si>
    <t xml:space="preserve">Term G</t>
  </si>
  <si>
    <t xml:space="preserve">Implied Price</t>
  </si>
  <si>
    <t xml:space="preserve">Upside</t>
  </si>
  <si>
    <t xml:space="preserve">Conservative</t>
  </si>
  <si>
    <t xml:space="preserve">Base Case</t>
  </si>
  <si>
    <t xml:space="preserve">Bull (Current Model)</t>
  </si>
  <si>
    <t xml:space="preserve">Aggressive Bull</t>
  </si>
  <si>
    <t xml:space="preserve">KEY INSIGHT</t>
  </si>
  <si>
    <t xml:space="preserve">The stock at $90.65 implies the market believes:</t>
  </si>
  <si>
    <t xml:space="preserve">  • Revenue CAGR of ~12-13%</t>
  </si>
  <si>
    <t xml:space="preserve">  • Operating margins expanding to 35-36%</t>
  </si>
  <si>
    <t xml:space="preserve">  • WACC of ~8.5% (low risk, cash-generative)</t>
  </si>
  <si>
    <t xml:space="preserve">  • These assumptions are REASONABLE given historical performance</t>
  </si>
  <si>
    <t xml:space="preserve">HISTORICAL CONTEXT</t>
  </si>
  <si>
    <t xml:space="preserve">  • 2020-2024 Revenue CAGR: 12%</t>
  </si>
  <si>
    <t xml:space="preserve">  • 2020-2024 Net Income CAGR: 33%</t>
  </si>
  <si>
    <t xml:space="preserve">  • Margin expansion: 18% → 27% (+9 ppts in 4 years)</t>
  </si>
  <si>
    <t xml:space="preserve">  • Path to 35%+ margins is achievable</t>
  </si>
  <si>
    <t xml:space="preserve">SENSITIVITY: WACC vs TERMINAL MARGIN</t>
  </si>
  <si>
    <t xml:space="preserve">Base FCF 2024</t>
  </si>
  <si>
    <t xml:space="preserve">Revenue 2030E</t>
  </si>
  <si>
    <t xml:space="preserve">Shares</t>
  </si>
  <si>
    <t xml:space="preserve">Terminal Growth</t>
  </si>
  <si>
    <t xml:space="preserve">2030 Operating Margin</t>
  </si>
  <si>
    <t xml:space="preserve">Yellow = Base case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</si>
</sst>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#,##0"/>
    <numFmt numFmtId="167" formatCode="0.0%"/>
    <numFmt numFmtId="168" formatCode="0.000"/>
    <numFmt numFmtId="169" formatCode="\+0.0%;\-0.0%"/>
    <numFmt numFmtId="170" formatCode="0.00%"/>
    <numFmt numFmtId="171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008000"/>
      <name val="Cambria"/>
      <family val="0"/>
      <charset val="1"/>
    </font>
    <font>
      <b val="true"/>
      <sz val="14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9" min="2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0" t="s">
        <v>4</v>
      </c>
      <c r="B6" s="3" t="n">
        <v>90.65</v>
      </c>
    </row>
    <row r="7" customFormat="false" ht="15" hidden="false" customHeight="false" outlineLevel="0" collapsed="false">
      <c r="A7" s="0" t="s">
        <v>5</v>
      </c>
      <c r="B7" s="4" t="n">
        <v>4240</v>
      </c>
    </row>
    <row r="8" customFormat="false" ht="15" hidden="false" customHeight="false" outlineLevel="0" collapsed="false">
      <c r="A8" s="0" t="s">
        <v>6</v>
      </c>
      <c r="B8" s="5" t="n">
        <f aca="false">B6*B7</f>
        <v>384356</v>
      </c>
    </row>
    <row r="9" customFormat="false" ht="15" hidden="false" customHeight="false" outlineLevel="0" collapsed="false">
      <c r="A9" s="0" t="s">
        <v>7</v>
      </c>
      <c r="B9" s="4" t="n">
        <v>6300</v>
      </c>
    </row>
    <row r="10" customFormat="false" ht="15" hidden="false" customHeight="false" outlineLevel="0" collapsed="false">
      <c r="A10" s="0" t="s">
        <v>8</v>
      </c>
      <c r="B10" s="5" t="n">
        <f aca="false">B8+B9</f>
        <v>390656</v>
      </c>
    </row>
    <row r="13" customFormat="false" ht="15" hidden="false" customHeight="false" outlineLevel="0" collapsed="false">
      <c r="A13" s="6" t="s">
        <v>9</v>
      </c>
    </row>
    <row r="14" customFormat="false" ht="15" hidden="false" customHeight="false" outlineLevel="0" collapsed="false">
      <c r="A14" s="0" t="s">
        <v>10</v>
      </c>
      <c r="B14" s="7" t="n">
        <v>0.085</v>
      </c>
      <c r="C14" s="8" t="s">
        <v>11</v>
      </c>
    </row>
    <row r="15" customFormat="false" ht="15" hidden="false" customHeight="false" outlineLevel="0" collapsed="false">
      <c r="A15" s="0" t="s">
        <v>12</v>
      </c>
      <c r="B15" s="7" t="n">
        <v>0.035</v>
      </c>
      <c r="C15" s="8" t="s">
        <v>13</v>
      </c>
    </row>
    <row r="16" customFormat="false" ht="15" hidden="false" customHeight="false" outlineLevel="0" collapsed="false">
      <c r="A16" s="0" t="s">
        <v>14</v>
      </c>
      <c r="B16" s="7" t="n">
        <v>0.15</v>
      </c>
    </row>
    <row r="17" customFormat="false" ht="15" hidden="false" customHeight="false" outlineLevel="0" collapsed="false">
      <c r="A17" s="0" t="s">
        <v>15</v>
      </c>
      <c r="B17" s="7" t="n">
        <v>0.36</v>
      </c>
      <c r="C17" s="8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B21" s="9" t="s">
        <v>18</v>
      </c>
      <c r="C21" s="9" t="s">
        <v>19</v>
      </c>
      <c r="D21" s="9" t="s">
        <v>20</v>
      </c>
      <c r="E21" s="9" t="s">
        <v>21</v>
      </c>
      <c r="F21" s="9" t="s">
        <v>22</v>
      </c>
      <c r="G21" s="9" t="s">
        <v>23</v>
      </c>
      <c r="H21" s="9" t="s">
        <v>24</v>
      </c>
    </row>
    <row r="22" customFormat="false" ht="15" hidden="false" customHeight="false" outlineLevel="0" collapsed="false">
      <c r="A22" s="0" t="s">
        <v>25</v>
      </c>
      <c r="B22" s="4" t="n">
        <v>39001</v>
      </c>
      <c r="C22" s="5" t="n">
        <f aca="false">B22*(1+C23)</f>
        <v>45241.16</v>
      </c>
      <c r="D22" s="5" t="n">
        <f aca="false">C22*(1+D23)</f>
        <v>51574.9224</v>
      </c>
      <c r="E22" s="5" t="n">
        <f aca="false">D22*(1+E23)</f>
        <v>58279.662312</v>
      </c>
      <c r="F22" s="5" t="n">
        <f aca="false">E22*(1+F23)</f>
        <v>65273.22178944</v>
      </c>
      <c r="G22" s="5" t="n">
        <f aca="false">F22*(1+G23)</f>
        <v>72453.2761862784</v>
      </c>
      <c r="H22" s="5" t="n">
        <f aca="false">G22*(1+H23)</f>
        <v>79698.6038049063</v>
      </c>
    </row>
    <row r="23" customFormat="false" ht="15" hidden="false" customHeight="false" outlineLevel="0" collapsed="false">
      <c r="A23" s="0" t="s">
        <v>26</v>
      </c>
      <c r="C23" s="7" t="n">
        <v>0.16</v>
      </c>
      <c r="D23" s="7" t="n">
        <v>0.14</v>
      </c>
      <c r="E23" s="7" t="n">
        <v>0.13</v>
      </c>
      <c r="F23" s="7" t="n">
        <v>0.12</v>
      </c>
      <c r="G23" s="7" t="n">
        <v>0.11</v>
      </c>
      <c r="H23" s="7" t="n">
        <v>0.1</v>
      </c>
    </row>
    <row r="25" customFormat="false" ht="15" hidden="false" customHeight="false" outlineLevel="0" collapsed="false">
      <c r="A25" s="10" t="s">
        <v>27</v>
      </c>
      <c r="B25" s="11" t="n">
        <v>0.267</v>
      </c>
      <c r="C25" s="11" t="n">
        <v>0.3</v>
      </c>
      <c r="D25" s="11" t="n">
        <v>0.32</v>
      </c>
      <c r="E25" s="11" t="n">
        <v>0.33</v>
      </c>
      <c r="F25" s="11" t="n">
        <v>0.34</v>
      </c>
      <c r="G25" s="11" t="n">
        <v>0.35</v>
      </c>
      <c r="H25" s="11" t="n">
        <v>0.36</v>
      </c>
    </row>
    <row r="26" customFormat="false" ht="15" hidden="false" customHeight="false" outlineLevel="0" collapsed="false">
      <c r="A26" s="0" t="s">
        <v>28</v>
      </c>
      <c r="B26" s="5" t="n">
        <f aca="false">B22*B25</f>
        <v>10413.267</v>
      </c>
      <c r="C26" s="5" t="n">
        <f aca="false">C22*C25</f>
        <v>13572.348</v>
      </c>
      <c r="D26" s="5" t="n">
        <f aca="false">D22*D25</f>
        <v>16503.975168</v>
      </c>
      <c r="E26" s="5" t="n">
        <f aca="false">E22*E25</f>
        <v>19232.28856296</v>
      </c>
      <c r="F26" s="5" t="n">
        <f aca="false">F22*F25</f>
        <v>22192.8954084096</v>
      </c>
      <c r="G26" s="5" t="n">
        <f aca="false">G22*G25</f>
        <v>25358.6466651974</v>
      </c>
      <c r="H26" s="5" t="n">
        <f aca="false">H22*H25</f>
        <v>28691.4973697663</v>
      </c>
    </row>
    <row r="27" customFormat="false" ht="15" hidden="false" customHeight="false" outlineLevel="0" collapsed="false">
      <c r="A27" s="0" t="s">
        <v>29</v>
      </c>
      <c r="C27" s="12" t="n">
        <f aca="false">(C26-B26)/B26</f>
        <v>0.303370786516854</v>
      </c>
      <c r="D27" s="12" t="n">
        <f aca="false">(D26-C26)/C26</f>
        <v>0.216</v>
      </c>
      <c r="E27" s="12" t="n">
        <f aca="false">(E26-D26)/D26</f>
        <v>0.1653125</v>
      </c>
      <c r="F27" s="12" t="n">
        <f aca="false">(F26-E26)/E26</f>
        <v>0.153939393939394</v>
      </c>
      <c r="G27" s="12" t="n">
        <f aca="false">(G26-F26)/F26</f>
        <v>0.142647058823529</v>
      </c>
      <c r="H27" s="12" t="n">
        <f aca="false">(H26-G26)/G26</f>
        <v>0.131428571428572</v>
      </c>
    </row>
    <row r="29" customFormat="false" ht="15" hidden="false" customHeight="false" outlineLevel="0" collapsed="false">
      <c r="A29" s="2" t="s">
        <v>30</v>
      </c>
    </row>
    <row r="30" customFormat="false" ht="15" hidden="false" customHeight="false" outlineLevel="0" collapsed="false">
      <c r="A30" s="0" t="s">
        <v>31</v>
      </c>
      <c r="B30" s="5" t="n">
        <f aca="false">B26*(1-$B$16)</f>
        <v>8851.27695</v>
      </c>
      <c r="C30" s="5" t="n">
        <f aca="false">C26*(1-$B$16)</f>
        <v>11536.4958</v>
      </c>
      <c r="D30" s="5" t="n">
        <f aca="false">D26*(1-$B$16)</f>
        <v>14028.3788928</v>
      </c>
      <c r="E30" s="5" t="n">
        <f aca="false">E26*(1-$B$16)</f>
        <v>16347.445278516</v>
      </c>
      <c r="F30" s="5" t="n">
        <f aca="false">F26*(1-$B$16)</f>
        <v>18863.9610971482</v>
      </c>
      <c r="G30" s="5" t="n">
        <f aca="false">G26*(1-$B$16)</f>
        <v>21554.8496654178</v>
      </c>
      <c r="H30" s="5" t="n">
        <f aca="false">H26*(1-$B$16)</f>
        <v>24387.7727643013</v>
      </c>
    </row>
    <row r="31" customFormat="false" ht="15" hidden="false" customHeight="false" outlineLevel="0" collapsed="false">
      <c r="A31" s="0" t="s">
        <v>32</v>
      </c>
      <c r="B31" s="5" t="n">
        <f aca="false">B22*0.02</f>
        <v>780.02</v>
      </c>
      <c r="C31" s="5" t="n">
        <f aca="false">C22*0.02</f>
        <v>904.8232</v>
      </c>
      <c r="D31" s="5" t="n">
        <f aca="false">D22*0.02</f>
        <v>1031.498448</v>
      </c>
      <c r="E31" s="5" t="n">
        <f aca="false">E22*0.02</f>
        <v>1165.59324624</v>
      </c>
      <c r="F31" s="5" t="n">
        <f aca="false">F22*0.02</f>
        <v>1305.4644357888</v>
      </c>
      <c r="G31" s="5" t="n">
        <f aca="false">G22*0.02</f>
        <v>1449.06552372557</v>
      </c>
      <c r="H31" s="5" t="n">
        <f aca="false">H22*0.02</f>
        <v>1593.97207609813</v>
      </c>
    </row>
    <row r="32" customFormat="false" ht="15" hidden="false" customHeight="false" outlineLevel="0" collapsed="false">
      <c r="A32" s="0" t="s">
        <v>33</v>
      </c>
      <c r="B32" s="5" t="n">
        <f aca="false">-B22*0.015</f>
        <v>-585.015</v>
      </c>
      <c r="C32" s="5" t="n">
        <f aca="false">-C22*0.015</f>
        <v>-678.6174</v>
      </c>
      <c r="D32" s="5" t="n">
        <f aca="false">-D22*0.015</f>
        <v>-773.623836</v>
      </c>
      <c r="E32" s="5" t="n">
        <f aca="false">-E22*0.015</f>
        <v>-874.19493468</v>
      </c>
      <c r="F32" s="5" t="n">
        <f aca="false">-F22*0.015</f>
        <v>-979.0983268416</v>
      </c>
      <c r="G32" s="5" t="n">
        <f aca="false">-G22*0.015</f>
        <v>-1086.79914279418</v>
      </c>
      <c r="H32" s="5" t="n">
        <f aca="false">-H22*0.015</f>
        <v>-1195.47905707359</v>
      </c>
    </row>
    <row r="33" customFormat="false" ht="15" hidden="false" customHeight="false" outlineLevel="0" collapsed="false">
      <c r="A33" s="0" t="s">
        <v>34</v>
      </c>
      <c r="B33" s="0" t="n">
        <v>0</v>
      </c>
      <c r="C33" s="5" t="n">
        <f aca="false">-(C22-B22)*0.05</f>
        <v>-312.008</v>
      </c>
      <c r="D33" s="5" t="n">
        <f aca="false">-(D22-C22)*0.05</f>
        <v>-316.68812</v>
      </c>
      <c r="E33" s="5" t="n">
        <f aca="false">-(E22-D22)*0.05</f>
        <v>-335.2369956</v>
      </c>
      <c r="F33" s="5" t="n">
        <f aca="false">-(F22-E22)*0.05</f>
        <v>-349.677973872</v>
      </c>
      <c r="G33" s="5" t="n">
        <f aca="false">-(G22-F22)*0.05</f>
        <v>-359.00271984192</v>
      </c>
      <c r="H33" s="5" t="n">
        <f aca="false">-(H22-G22)*0.05</f>
        <v>-362.266380931393</v>
      </c>
    </row>
    <row r="34" customFormat="false" ht="15" hidden="false" customHeight="false" outlineLevel="0" collapsed="false">
      <c r="A34" s="2" t="s">
        <v>35</v>
      </c>
      <c r="B34" s="13" t="n">
        <f aca="false">B30+B31+B32+B33</f>
        <v>9046.28195</v>
      </c>
      <c r="C34" s="13" t="n">
        <f aca="false">C30+C31+C32+C33</f>
        <v>11450.6936</v>
      </c>
      <c r="D34" s="13" t="n">
        <f aca="false">D30+D31+D32+D33</f>
        <v>13969.5653848</v>
      </c>
      <c r="E34" s="13" t="n">
        <f aca="false">E30+E31+E32+E33</f>
        <v>16303.606594476</v>
      </c>
      <c r="F34" s="13" t="n">
        <f aca="false">F30+F31+F32+F33</f>
        <v>18840.6492322234</v>
      </c>
      <c r="G34" s="13" t="n">
        <f aca="false">G30+G31+G32+G33</f>
        <v>21558.1133265073</v>
      </c>
      <c r="H34" s="13" t="n">
        <f aca="false">H30+H31+H32+H33</f>
        <v>24423.9994023945</v>
      </c>
    </row>
    <row r="35" customFormat="false" ht="15" hidden="false" customHeight="false" outlineLevel="0" collapsed="false">
      <c r="A35" s="0" t="s">
        <v>36</v>
      </c>
      <c r="C35" s="12" t="n">
        <f aca="false">(C34-B34)/B34</f>
        <v>0.265790040957103</v>
      </c>
      <c r="D35" s="12" t="n">
        <f aca="false">(D34-C34)/C34</f>
        <v>0.219975476839237</v>
      </c>
      <c r="E35" s="12" t="n">
        <f aca="false">(E34-D34)/D34</f>
        <v>0.167080445624717</v>
      </c>
      <c r="F35" s="12" t="n">
        <f aca="false">(F34-E34)/E34</f>
        <v>0.155612356262753</v>
      </c>
      <c r="G35" s="12" t="n">
        <f aca="false">(G34-F34)/F34</f>
        <v>0.14423410047018</v>
      </c>
      <c r="H35" s="12" t="n">
        <f aca="false">(H34-G34)/G34</f>
        <v>0.132937703428961</v>
      </c>
    </row>
    <row r="37" customFormat="false" ht="15" hidden="false" customHeight="false" outlineLevel="0" collapsed="false">
      <c r="A37" s="2" t="s">
        <v>37</v>
      </c>
    </row>
    <row r="38" customFormat="false" ht="15" hidden="false" customHeight="false" outlineLevel="0" collapsed="false">
      <c r="A38" s="0" t="s">
        <v>38</v>
      </c>
      <c r="B38" s="14" t="n">
        <v>1</v>
      </c>
      <c r="C38" s="14" t="n">
        <f aca="false">1/(1+$B$14)^1</f>
        <v>0.921658986175115</v>
      </c>
      <c r="D38" s="14" t="n">
        <f aca="false">1/(1+$B$14)^2</f>
        <v>0.849455286797341</v>
      </c>
      <c r="E38" s="14" t="n">
        <f aca="false">1/(1+$B$14)^3</f>
        <v>0.782908098430729</v>
      </c>
      <c r="F38" s="14" t="n">
        <f aca="false">1/(1+$B$14)^4</f>
        <v>0.721574284267953</v>
      </c>
      <c r="G38" s="14" t="n">
        <f aca="false">1/(1+$B$14)^5</f>
        <v>0.665045423288436</v>
      </c>
      <c r="H38" s="14" t="n">
        <f aca="false">1/(1+$B$14)^6</f>
        <v>0.612945090588421</v>
      </c>
    </row>
    <row r="39" customFormat="false" ht="15" hidden="false" customHeight="false" outlineLevel="0" collapsed="false">
      <c r="A39" s="0" t="s">
        <v>39</v>
      </c>
      <c r="B39" s="5" t="n">
        <f aca="false">B34*B38</f>
        <v>9046.28195</v>
      </c>
      <c r="C39" s="5" t="n">
        <f aca="false">C34*C38</f>
        <v>10553.6346543779</v>
      </c>
      <c r="D39" s="5" t="n">
        <f aca="false">D34*D38</f>
        <v>11866.5211703795</v>
      </c>
      <c r="E39" s="5" t="n">
        <f aca="false">E34*E38</f>
        <v>12764.2256364439</v>
      </c>
      <c r="F39" s="5" t="n">
        <f aca="false">F34*F38</f>
        <v>13594.9279848851</v>
      </c>
      <c r="G39" s="5" t="n">
        <f aca="false">G34*G38</f>
        <v>14337.1246025271</v>
      </c>
      <c r="H39" s="5" t="n">
        <f aca="false">H34*H38</f>
        <v>14970.5705262322</v>
      </c>
    </row>
    <row r="42" customFormat="false" ht="15" hidden="false" customHeight="false" outlineLevel="0" collapsed="false">
      <c r="A42" s="15" t="s">
        <v>40</v>
      </c>
    </row>
    <row r="43" customFormat="false" ht="15" hidden="false" customHeight="false" outlineLevel="0" collapsed="false">
      <c r="A43" s="0" t="s">
        <v>41</v>
      </c>
      <c r="B43" s="5" t="n">
        <f aca="false">SUM(C39:H39)</f>
        <v>78087.0045748457</v>
      </c>
    </row>
    <row r="44" customFormat="false" ht="15" hidden="false" customHeight="false" outlineLevel="0" collapsed="false">
      <c r="A44" s="0" t="s">
        <v>42</v>
      </c>
      <c r="B44" s="5" t="n">
        <f aca="false">H34*(1+$B$15)/($B$14-$B$15)</f>
        <v>505576.787629565</v>
      </c>
    </row>
    <row r="45" customFormat="false" ht="15" hidden="false" customHeight="false" outlineLevel="0" collapsed="false">
      <c r="A45" s="0" t="s">
        <v>43</v>
      </c>
      <c r="B45" s="5" t="n">
        <f aca="false">B44/(1+$B$14)^6</f>
        <v>309890.809893006</v>
      </c>
    </row>
    <row r="46" customFormat="false" ht="15" hidden="false" customHeight="false" outlineLevel="0" collapsed="false">
      <c r="A46" s="0" t="s">
        <v>44</v>
      </c>
      <c r="B46" s="13" t="n">
        <f aca="false">B43+B45</f>
        <v>387977.814467852</v>
      </c>
    </row>
    <row r="47" customFormat="false" ht="15" hidden="false" customHeight="false" outlineLevel="0" collapsed="false">
      <c r="A47" s="0" t="s">
        <v>45</v>
      </c>
      <c r="B47" s="5" t="n">
        <f aca="false">-B9</f>
        <v>-6300</v>
      </c>
    </row>
    <row r="48" customFormat="false" ht="15" hidden="false" customHeight="false" outlineLevel="0" collapsed="false">
      <c r="A48" s="0" t="s">
        <v>46</v>
      </c>
      <c r="B48" s="13" t="n">
        <f aca="false">B46+B47</f>
        <v>381677.814467852</v>
      </c>
    </row>
    <row r="50" customFormat="false" ht="19.7" hidden="false" customHeight="false" outlineLevel="0" collapsed="false">
      <c r="A50" s="0" t="s">
        <v>47</v>
      </c>
      <c r="B50" s="16" t="n">
        <f aca="false">B48/B7</f>
        <v>90.018352468833</v>
      </c>
    </row>
    <row r="51" customFormat="false" ht="15" hidden="false" customHeight="false" outlineLevel="0" collapsed="false">
      <c r="A51" s="0" t="s">
        <v>48</v>
      </c>
      <c r="B51" s="17" t="n">
        <f aca="false">B6</f>
        <v>90.65</v>
      </c>
    </row>
    <row r="52" customFormat="false" ht="17.35" hidden="false" customHeight="false" outlineLevel="0" collapsed="false">
      <c r="A52" s="0" t="s">
        <v>49</v>
      </c>
      <c r="B52" s="18" t="n">
        <f aca="false">(B50-B51)/B51</f>
        <v>-0.00696798159036913</v>
      </c>
    </row>
    <row r="55" customFormat="false" ht="15" hidden="false" customHeight="false" outlineLevel="0" collapsed="false">
      <c r="A55" s="2" t="s">
        <v>50</v>
      </c>
    </row>
    <row r="56" customFormat="false" ht="15" hidden="false" customHeight="false" outlineLevel="0" collapsed="false">
      <c r="A56" s="0" t="s">
        <v>51</v>
      </c>
      <c r="B56" s="12" t="n">
        <f aca="false">(H22/B22)^(1/6)-1</f>
        <v>0.126494723363105</v>
      </c>
    </row>
    <row r="57" customFormat="false" ht="15" hidden="false" customHeight="false" outlineLevel="0" collapsed="false">
      <c r="A57" s="0" t="s">
        <v>52</v>
      </c>
      <c r="B57" s="12" t="n">
        <f aca="false">(H26/B26)^(1/6)-1</f>
        <v>0.184025443439513</v>
      </c>
    </row>
    <row r="58" customFormat="false" ht="15" hidden="false" customHeight="false" outlineLevel="0" collapsed="false">
      <c r="A58" s="0" t="s">
        <v>53</v>
      </c>
      <c r="B58" s="12" t="n">
        <f aca="false">(H34/B34)^(1/6)-1</f>
        <v>0.180024733267081</v>
      </c>
    </row>
    <row r="59" customFormat="false" ht="15" hidden="false" customHeight="false" outlineLevel="0" collapsed="false">
      <c r="A59" s="0" t="s">
        <v>54</v>
      </c>
      <c r="B59" s="19" t="n">
        <f aca="false">H25-B25</f>
        <v>0.093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4"/>
  </cols>
  <sheetData>
    <row r="1" customFormat="false" ht="19.7" hidden="false" customHeight="false" outlineLevel="0" collapsed="false">
      <c r="A1" s="1" t="s">
        <v>55</v>
      </c>
    </row>
    <row r="3" customFormat="false" ht="15" hidden="false" customHeight="false" outlineLevel="0" collapsed="false">
      <c r="A3" s="20" t="s">
        <v>56</v>
      </c>
      <c r="B3" s="20" t="s">
        <v>57</v>
      </c>
      <c r="C3" s="20" t="s">
        <v>58</v>
      </c>
      <c r="D3" s="20" t="s">
        <v>10</v>
      </c>
      <c r="E3" s="20" t="s">
        <v>59</v>
      </c>
      <c r="F3" s="20" t="s">
        <v>60</v>
      </c>
      <c r="G3" s="20" t="s">
        <v>61</v>
      </c>
    </row>
    <row r="4" customFormat="false" ht="15" hidden="false" customHeight="false" outlineLevel="0" collapsed="false">
      <c r="A4" s="0" t="s">
        <v>62</v>
      </c>
      <c r="B4" s="12" t="n">
        <v>0.1</v>
      </c>
      <c r="C4" s="12" t="n">
        <v>0.32</v>
      </c>
      <c r="D4" s="12" t="n">
        <v>0.09</v>
      </c>
      <c r="E4" s="12" t="n">
        <v>0.03</v>
      </c>
      <c r="F4" s="21" t="n">
        <v>66</v>
      </c>
      <c r="G4" s="22" t="n">
        <f aca="false">(F4-90.65)/90.65</f>
        <v>-0.271924986210701</v>
      </c>
    </row>
    <row r="5" customFormat="false" ht="15" hidden="false" customHeight="false" outlineLevel="0" collapsed="false">
      <c r="A5" s="0" t="s">
        <v>63</v>
      </c>
      <c r="B5" s="12" t="n">
        <v>0.12</v>
      </c>
      <c r="C5" s="12" t="n">
        <v>0.35</v>
      </c>
      <c r="D5" s="12" t="n">
        <v>0.085</v>
      </c>
      <c r="E5" s="12" t="n">
        <v>0.03</v>
      </c>
      <c r="F5" s="21" t="n">
        <v>81</v>
      </c>
      <c r="G5" s="22" t="n">
        <f aca="false">(F5-90.65)/90.65</f>
        <v>-0.106453392167678</v>
      </c>
    </row>
    <row r="6" customFormat="false" ht="15" hidden="false" customHeight="false" outlineLevel="0" collapsed="false">
      <c r="A6" s="23" t="s">
        <v>64</v>
      </c>
      <c r="B6" s="12" t="n">
        <v>0.126</v>
      </c>
      <c r="C6" s="12" t="n">
        <v>0.36</v>
      </c>
      <c r="D6" s="12" t="n">
        <v>0.085</v>
      </c>
      <c r="E6" s="12" t="n">
        <v>0.035</v>
      </c>
      <c r="F6" s="24" t="n">
        <f aca="false">'DCF - Margin Expansion'!B50</f>
        <v>90.018352468833</v>
      </c>
      <c r="G6" s="25" t="n">
        <f aca="false">(F6-90.65)/90.65</f>
        <v>-0.00696798159036913</v>
      </c>
    </row>
    <row r="7" customFormat="false" ht="15" hidden="false" customHeight="false" outlineLevel="0" collapsed="false">
      <c r="A7" s="0" t="s">
        <v>65</v>
      </c>
      <c r="B7" s="12" t="n">
        <v>0.14</v>
      </c>
      <c r="C7" s="12" t="n">
        <v>0.38</v>
      </c>
      <c r="D7" s="12" t="n">
        <v>0.08</v>
      </c>
      <c r="E7" s="12" t="n">
        <v>0.035</v>
      </c>
      <c r="F7" s="21" t="n">
        <v>125</v>
      </c>
      <c r="G7" s="22" t="n">
        <f aca="false">(F7-90.65)/90.65</f>
        <v>0.378929950358522</v>
      </c>
    </row>
    <row r="10" customFormat="false" ht="15" hidden="false" customHeight="false" outlineLevel="0" collapsed="false">
      <c r="A10" s="2" t="s">
        <v>66</v>
      </c>
    </row>
    <row r="11" customFormat="false" ht="15" hidden="false" customHeight="false" outlineLevel="0" collapsed="false">
      <c r="A11" s="0" t="s">
        <v>67</v>
      </c>
    </row>
    <row r="12" customFormat="false" ht="15" hidden="false" customHeight="false" outlineLevel="0" collapsed="false">
      <c r="A12" s="0" t="s">
        <v>68</v>
      </c>
    </row>
    <row r="13" customFormat="false" ht="15" hidden="false" customHeight="false" outlineLevel="0" collapsed="false">
      <c r="A13" s="0" t="s">
        <v>69</v>
      </c>
    </row>
    <row r="14" customFormat="false" ht="15" hidden="false" customHeight="false" outlineLevel="0" collapsed="false">
      <c r="A14" s="0" t="s">
        <v>70</v>
      </c>
    </row>
    <row r="15" customFormat="false" ht="15" hidden="false" customHeight="false" outlineLevel="0" collapsed="false">
      <c r="A15" s="0" t="s">
        <v>71</v>
      </c>
    </row>
    <row r="17" customFormat="false" ht="15" hidden="false" customHeight="false" outlineLevel="0" collapsed="false">
      <c r="A17" s="2" t="s">
        <v>72</v>
      </c>
    </row>
    <row r="18" customFormat="false" ht="15" hidden="false" customHeight="false" outlineLevel="0" collapsed="false">
      <c r="A18" s="0" t="s">
        <v>73</v>
      </c>
    </row>
    <row r="19" customFormat="false" ht="15" hidden="false" customHeight="false" outlineLevel="0" collapsed="false">
      <c r="A19" s="0" t="s">
        <v>74</v>
      </c>
    </row>
    <row r="20" customFormat="false" ht="15" hidden="false" customHeight="false" outlineLevel="0" collapsed="false">
      <c r="A20" s="0" t="s">
        <v>75</v>
      </c>
    </row>
    <row r="21" customFormat="false" ht="15" hidden="false" customHeight="false" outlineLevel="0" collapsed="false">
      <c r="A21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8" min="4" style="0" width="12"/>
  </cols>
  <sheetData>
    <row r="1" customFormat="false" ht="17.35" hidden="false" customHeight="false" outlineLevel="0" collapsed="false">
      <c r="A1" s="26" t="s">
        <v>77</v>
      </c>
    </row>
    <row r="3" customFormat="false" ht="15" hidden="false" customHeight="false" outlineLevel="0" collapsed="false">
      <c r="A3" s="0" t="s">
        <v>78</v>
      </c>
      <c r="B3" s="5" t="n">
        <v>8847</v>
      </c>
    </row>
    <row r="4" customFormat="false" ht="15" hidden="false" customHeight="false" outlineLevel="0" collapsed="false">
      <c r="A4" s="0" t="s">
        <v>79</v>
      </c>
      <c r="B4" s="5" t="n">
        <v>80000</v>
      </c>
    </row>
    <row r="5" customFormat="false" ht="15" hidden="false" customHeight="false" outlineLevel="0" collapsed="false">
      <c r="A5" s="0" t="s">
        <v>7</v>
      </c>
      <c r="B5" s="5" t="n">
        <v>6300</v>
      </c>
    </row>
    <row r="6" customFormat="false" ht="15" hidden="false" customHeight="false" outlineLevel="0" collapsed="false">
      <c r="A6" s="0" t="s">
        <v>80</v>
      </c>
      <c r="B6" s="0" t="n">
        <v>4240</v>
      </c>
    </row>
    <row r="7" customFormat="false" ht="15" hidden="false" customHeight="false" outlineLevel="0" collapsed="false">
      <c r="A7" s="0" t="s">
        <v>81</v>
      </c>
      <c r="B7" s="12" t="n">
        <v>0.035</v>
      </c>
    </row>
    <row r="9" customFormat="false" ht="15" hidden="false" customHeight="false" outlineLevel="0" collapsed="false">
      <c r="D9" s="0" t="s">
        <v>82</v>
      </c>
    </row>
    <row r="10" customFormat="false" ht="15" hidden="false" customHeight="false" outlineLevel="0" collapsed="false">
      <c r="C10" s="0" t="s">
        <v>10</v>
      </c>
      <c r="D10" s="27" t="n">
        <v>0.32</v>
      </c>
      <c r="E10" s="27" t="n">
        <v>0.34</v>
      </c>
      <c r="F10" s="27" t="n">
        <v>0.36</v>
      </c>
      <c r="G10" s="27" t="n">
        <v>0.38</v>
      </c>
      <c r="H10" s="27" t="n">
        <v>0.4</v>
      </c>
    </row>
    <row r="11" customFormat="false" ht="15" hidden="false" customHeight="false" outlineLevel="0" collapsed="false">
      <c r="C11" s="27" t="n">
        <v>0.075</v>
      </c>
      <c r="D11" s="21" t="n">
        <f aca="false">(($B$4*D$10*(1-0.15)*1.005)*(1+$B$7)/($C11-$B$7)/(1+$C11)^6+75000-$B$5)/$B$6</f>
        <v>102.677451562133</v>
      </c>
      <c r="E11" s="21" t="n">
        <f aca="false">(($B$4*E$10*(1-0.15)*1.005)*(1+$B$7)/($C11-$B$7)/(1+$C11)^6+75000-$B$5)/$B$6</f>
        <v>108.082115397974</v>
      </c>
      <c r="F11" s="21" t="n">
        <f aca="false">(($B$4*F$10*(1-0.15)*1.005)*(1+$B$7)/($C11-$B$7)/(1+$C11)^6+75000-$B$5)/$B$6</f>
        <v>113.486779233815</v>
      </c>
      <c r="G11" s="21" t="n">
        <f aca="false">(($B$4*G$10*(1-0.15)*1.005)*(1+$B$7)/($C11-$B$7)/(1+$C11)^6+75000-$B$5)/$B$6</f>
        <v>118.891443069655</v>
      </c>
      <c r="H11" s="21" t="n">
        <f aca="false">(($B$4*H$10*(1-0.15)*1.005)*(1+$B$7)/($C11-$B$7)/(1+$C11)^6+75000-$B$5)/$B$6</f>
        <v>124.296106905496</v>
      </c>
    </row>
    <row r="12" customFormat="false" ht="15" hidden="false" customHeight="false" outlineLevel="0" collapsed="false">
      <c r="C12" s="27" t="n">
        <v>0.08</v>
      </c>
      <c r="D12" s="21" t="n">
        <f aca="false">(($B$4*D$10*(1-0.15)*1.005)*(1+$B$7)/($C12-$B$7)/(1+$C12)^6+75000-$B$5)/$B$6</f>
        <v>90.9585451265963</v>
      </c>
      <c r="E12" s="21" t="n">
        <f aca="false">(($B$4*E$10*(1-0.15)*1.005)*(1+$B$7)/($C12-$B$7)/(1+$C12)^6+75000-$B$5)/$B$6</f>
        <v>95.6307773102162</v>
      </c>
      <c r="F12" s="21" t="n">
        <f aca="false">(($B$4*F$10*(1-0.15)*1.005)*(1+$B$7)/($C12-$B$7)/(1+$C12)^6+75000-$B$5)/$B$6</f>
        <v>100.303009493836</v>
      </c>
      <c r="G12" s="21" t="n">
        <f aca="false">(($B$4*G$10*(1-0.15)*1.005)*(1+$B$7)/($C12-$B$7)/(1+$C12)^6+75000-$B$5)/$B$6</f>
        <v>104.975241677456</v>
      </c>
      <c r="H12" s="21" t="n">
        <f aca="false">(($B$4*H$10*(1-0.15)*1.005)*(1+$B$7)/($C12-$B$7)/(1+$C12)^6+75000-$B$5)/$B$6</f>
        <v>109.647473861076</v>
      </c>
    </row>
    <row r="13" customFormat="false" ht="15" hidden="false" customHeight="false" outlineLevel="0" collapsed="false">
      <c r="C13" s="27" t="n">
        <v>0.085</v>
      </c>
      <c r="D13" s="21" t="n">
        <f aca="false">(($B$4*D$10*(1-0.15)*1.005)*(1+$B$7)/($C13-$B$7)/(1+$C13)^6+75000-$B$5)/$B$6</f>
        <v>81.6439937403639</v>
      </c>
      <c r="E13" s="21" t="n">
        <f aca="false">(($B$4*E$10*(1-0.15)*1.005)*(1+$B$7)/($C13-$B$7)/(1+$C13)^6+75000-$B$5)/$B$6</f>
        <v>85.7340664623442</v>
      </c>
      <c r="F13" s="28" t="n">
        <f aca="false">(($B$4*F$10*(1-0.15)*1.005)*(1+$B$7)/($C13-$B$7)/(1+$C13)^6+75000-$B$5)/$B$6</f>
        <v>89.8241391843245</v>
      </c>
      <c r="G13" s="21" t="n">
        <f aca="false">(($B$4*G$10*(1-0.15)*1.005)*(1+$B$7)/($C13-$B$7)/(1+$C13)^6+75000-$B$5)/$B$6</f>
        <v>93.9142119063048</v>
      </c>
      <c r="H13" s="21" t="n">
        <f aca="false">(($B$4*H$10*(1-0.15)*1.005)*(1+$B$7)/($C13-$B$7)/(1+$C13)^6+75000-$B$5)/$B$6</f>
        <v>98.0042846282851</v>
      </c>
    </row>
    <row r="14" customFormat="false" ht="15" hidden="false" customHeight="false" outlineLevel="0" collapsed="false">
      <c r="C14" s="27" t="n">
        <v>0.09</v>
      </c>
      <c r="D14" s="21" t="n">
        <f aca="false">(($B$4*D$10*(1-0.15)*1.005)*(1+$B$7)/($C14-$B$7)/(1+$C14)^6+75000-$B$5)/$B$6</f>
        <v>74.0760664673592</v>
      </c>
      <c r="E14" s="21" t="n">
        <f aca="false">(($B$4*E$10*(1-0.15)*1.005)*(1+$B$7)/($C14-$B$7)/(1+$C14)^6+75000-$B$5)/$B$6</f>
        <v>77.6931437347767</v>
      </c>
      <c r="F14" s="21" t="n">
        <f aca="false">(($B$4*F$10*(1-0.15)*1.005)*(1+$B$7)/($C14-$B$7)/(1+$C14)^6+75000-$B$5)/$B$6</f>
        <v>81.3102210021942</v>
      </c>
      <c r="G14" s="21" t="n">
        <f aca="false">(($B$4*G$10*(1-0.15)*1.005)*(1+$B$7)/($C14-$B$7)/(1+$C14)^6+75000-$B$5)/$B$6</f>
        <v>84.9272982696117</v>
      </c>
      <c r="H14" s="21" t="n">
        <f aca="false">(($B$4*H$10*(1-0.15)*1.005)*(1+$B$7)/($C14-$B$7)/(1+$C14)^6+75000-$B$5)/$B$6</f>
        <v>88.5443755370292</v>
      </c>
    </row>
    <row r="15" customFormat="false" ht="15" hidden="false" customHeight="false" outlineLevel="0" collapsed="false">
      <c r="C15" s="27" t="n">
        <v>0.095</v>
      </c>
      <c r="D15" s="21" t="n">
        <f aca="false">(($B$4*D$10*(1-0.15)*1.005)*(1+$B$7)/($C15-$B$7)/(1+$C15)^6+75000-$B$5)/$B$6</f>
        <v>67.8163504183683</v>
      </c>
      <c r="E15" s="21" t="n">
        <f aca="false">(($B$4*E$10*(1-0.15)*1.005)*(1+$B$7)/($C15-$B$7)/(1+$C15)^6+75000-$B$5)/$B$6</f>
        <v>71.0421954327239</v>
      </c>
      <c r="F15" s="21" t="n">
        <f aca="false">(($B$4*F$10*(1-0.15)*1.005)*(1+$B$7)/($C15-$B$7)/(1+$C15)^6+75000-$B$5)/$B$6</f>
        <v>74.2680404470795</v>
      </c>
      <c r="G15" s="21" t="n">
        <f aca="false">(($B$4*G$10*(1-0.15)*1.005)*(1+$B$7)/($C15-$B$7)/(1+$C15)^6+75000-$B$5)/$B$6</f>
        <v>77.493885461435</v>
      </c>
      <c r="H15" s="21" t="n">
        <f aca="false">(($B$4*H$10*(1-0.15)*1.005)*(1+$B$7)/($C15-$B$7)/(1+$C15)^6+75000-$B$5)/$B$6</f>
        <v>80.7197304757906</v>
      </c>
    </row>
    <row r="17" customFormat="false" ht="15" hidden="false" customHeight="false" outlineLevel="0" collapsed="false">
      <c r="C17" s="0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2026-01-12T20:24:26Z</dcterms:created>
  <dc:creator>openpyxl</dc:creator>
  <dc:description/>
  <dc:language>en-US</dc:language>
  <cp:lastModifiedBy/>
  <dcterms:modified xsi:type="dcterms:W3CDTF">2026-01-12T20:24:26Z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