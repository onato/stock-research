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 -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$#,##0"/>
    <numFmt numFmtId="167" formatCode="$#,##0;($#,##0)"/>
    <numFmt numFmtId="168" formatCode="0.0000"/>
  </numFmts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C00000"/>
      <sz val="11"/>
    </font>
    <font>
      <i val="1"/>
      <sz val="10"/>
    </font>
    <font>
      <b val="1"/>
      <color rgb="00FFFFFF"/>
    </font>
    <font>
      <color rgb="000000FF"/>
    </font>
    <font>
      <i val="1"/>
      <color rgb="00666666"/>
      <sz val="9"/>
    </font>
    <font>
      <color rgb="00000000"/>
    </font>
    <font>
      <i val="1"/>
      <color rgb="00C00000"/>
      <sz val="10"/>
    </font>
    <font>
      <b val="1"/>
      <color rgb="00000000"/>
    </font>
    <font>
      <b val="1"/>
      <color rgb="001F4E79"/>
      <sz val="14"/>
    </font>
    <font>
      <b val="1"/>
      <color rgb="00006400"/>
      <sz val="12"/>
    </font>
    <font>
      <color rgb="000064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7"/>
      </patternFill>
    </fill>
    <fill>
      <patternFill patternType="solid">
        <fgColor rgb="00D6DCE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0" fontId="5" fillId="3" borderId="0" pivotButton="0" quotePrefix="0" xfId="0"/>
    <xf numFmtId="0" fontId="6" fillId="0" borderId="0" pivotButton="0" quotePrefix="0" xfId="0"/>
    <xf numFmtId="2" fontId="5" fillId="3" borderId="0" pivotButton="0" quotePrefix="0" xfId="0"/>
    <xf numFmtId="10" fontId="7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166" fontId="7" fillId="0" borderId="0" pivotButton="0" quotePrefix="0" xfId="0"/>
    <xf numFmtId="166" fontId="5" fillId="3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167" fontId="7" fillId="0" borderId="0" pivotButton="0" quotePrefix="0" xfId="0"/>
    <xf numFmtId="0" fontId="9" fillId="0" borderId="0" pivotButton="0" quotePrefix="0" xfId="0"/>
    <xf numFmtId="166" fontId="9" fillId="5" borderId="0" pivotButton="0" quotePrefix="0" xfId="0"/>
    <xf numFmtId="0" fontId="0" fillId="0" borderId="0" applyAlignment="1" pivotButton="0" quotePrefix="0" xfId="0">
      <alignment horizontal="center"/>
    </xf>
    <xf numFmtId="168" fontId="7" fillId="0" borderId="0" pivotButton="0" quotePrefix="0" xfId="0"/>
    <xf numFmtId="166" fontId="9" fillId="0" borderId="0" pivotButton="0" quotePrefix="0" xfId="0"/>
    <xf numFmtId="0" fontId="9" fillId="4" borderId="0" pivotButton="0" quotePrefix="0" xfId="0"/>
    <xf numFmtId="166" fontId="0" fillId="0" borderId="0" pivotButton="0" quotePrefix="0" xfId="0"/>
    <xf numFmtId="166" fontId="9" fillId="6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165" fontId="10" fillId="6" borderId="0" pivotButton="0" quotePrefix="0" xfId="0"/>
    <xf numFmtId="165" fontId="0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PayPal Holdings, Inc. (PYPL) - Updated DCF Valuation</t>
        </is>
      </c>
    </row>
    <row r="2">
      <c r="A2" s="2" t="inlineStr">
        <is>
          <t>Based on Chriss-Era Trajectory (2024 onward)</t>
        </is>
      </c>
    </row>
    <row r="3">
      <c r="A3" s="3" t="inlineStr">
        <is>
          <t>All figures in millions USD unless otherwise stated</t>
        </is>
      </c>
    </row>
    <row r="5">
      <c r="A5" s="4" t="inlineStr">
        <is>
          <t>KEY ASSUMPTIONS</t>
        </is>
      </c>
    </row>
    <row r="6">
      <c r="A6" t="inlineStr">
        <is>
          <t>Risk-Free Rate</t>
        </is>
      </c>
      <c r="B6" s="5" t="n">
        <v>0.042</v>
      </c>
      <c r="C6" s="6" t="inlineStr">
        <is>
          <t>10-Year Treasury</t>
        </is>
      </c>
    </row>
    <row r="7">
      <c r="A7" t="inlineStr">
        <is>
          <t>Equity Risk Premium</t>
        </is>
      </c>
      <c r="B7" s="5" t="n">
        <v>0.055</v>
      </c>
    </row>
    <row r="8">
      <c r="A8" t="inlineStr">
        <is>
          <t>Beta (Levered)</t>
        </is>
      </c>
      <c r="B8" s="7" t="n">
        <v>1.2</v>
      </c>
    </row>
    <row r="9">
      <c r="A9" t="inlineStr">
        <is>
          <t>Cost of Equity</t>
        </is>
      </c>
      <c r="B9" s="8">
        <f>B6+B8*B7</f>
        <v/>
      </c>
      <c r="C9" s="6" t="inlineStr">
        <is>
          <t>CAPM</t>
        </is>
      </c>
    </row>
    <row r="10">
      <c r="A10" t="inlineStr">
        <is>
          <t>Pre-Tax Cost of Debt</t>
        </is>
      </c>
      <c r="B10" s="5" t="n">
        <v>0.045</v>
      </c>
    </row>
    <row r="11">
      <c r="A11" t="inlineStr">
        <is>
          <t>Tax Rate</t>
        </is>
      </c>
      <c r="B11" s="9" t="n">
        <v>0.22</v>
      </c>
    </row>
    <row r="12">
      <c r="A12" t="inlineStr">
        <is>
          <t>After-Tax Cost of Debt</t>
        </is>
      </c>
      <c r="B12" s="8">
        <f>B10*(1-B11)</f>
        <v/>
      </c>
    </row>
    <row r="13">
      <c r="A13" t="inlineStr">
        <is>
          <t>Debt Weight</t>
        </is>
      </c>
      <c r="B13" s="9" t="n">
        <v>0.16</v>
      </c>
    </row>
    <row r="14">
      <c r="A14" t="inlineStr">
        <is>
          <t>Equity Weight</t>
        </is>
      </c>
      <c r="B14" s="9" t="n">
        <v>0.84</v>
      </c>
    </row>
    <row r="15">
      <c r="A15" t="inlineStr">
        <is>
          <t>WACC</t>
        </is>
      </c>
      <c r="B15" s="8">
        <f>B9*B14+B12*B13</f>
        <v/>
      </c>
    </row>
    <row r="16">
      <c r="A16" t="inlineStr">
        <is>
          <t>Terminal Growth Rate</t>
        </is>
      </c>
      <c r="B16" s="9" t="n">
        <v>0.025</v>
      </c>
      <c r="C16" s="6" t="inlineStr">
        <is>
          <t>Long-term GDP</t>
        </is>
      </c>
    </row>
    <row r="18">
      <c r="A18" s="4" t="inlineStr">
        <is>
          <t>COMPANY DATA</t>
        </is>
      </c>
    </row>
    <row r="19">
      <c r="A19" t="inlineStr">
        <is>
          <t>Current Stock Price</t>
        </is>
      </c>
      <c r="B19" s="10" t="n">
        <v>61</v>
      </c>
    </row>
    <row r="20">
      <c r="A20" t="inlineStr">
        <is>
          <t>Shares Outstanding (mm)</t>
        </is>
      </c>
      <c r="B20" s="11" t="n">
        <v>936</v>
      </c>
    </row>
    <row r="21">
      <c r="A21" t="inlineStr">
        <is>
          <t>Market Cap</t>
        </is>
      </c>
      <c r="B21" s="12">
        <f>B19*B20</f>
        <v/>
      </c>
    </row>
    <row r="22">
      <c r="A22" t="inlineStr">
        <is>
          <t>Total Debt</t>
        </is>
      </c>
      <c r="B22" s="13" t="n">
        <v>11400</v>
      </c>
    </row>
    <row r="23">
      <c r="A23" t="inlineStr">
        <is>
          <t>Cash &amp; Equivalents</t>
        </is>
      </c>
      <c r="B23" s="13" t="n">
        <v>10800</v>
      </c>
    </row>
    <row r="24">
      <c r="A24" t="inlineStr">
        <is>
          <t>Net Debt</t>
        </is>
      </c>
      <c r="B24" s="12">
        <f>B22-B23</f>
        <v/>
      </c>
    </row>
    <row r="26">
      <c r="A26" s="4" t="inlineStr">
        <is>
          <t>BASE YEAR (2024 Actual)</t>
        </is>
      </c>
    </row>
    <row r="27">
      <c r="A27" t="inlineStr">
        <is>
          <t>Revenue</t>
        </is>
      </c>
      <c r="B27" s="13" t="n">
        <v>31797</v>
      </c>
    </row>
    <row r="28">
      <c r="A28" t="inlineStr">
        <is>
          <t>Operating Income</t>
        </is>
      </c>
      <c r="B28" s="13" t="n">
        <v>5325</v>
      </c>
    </row>
    <row r="29">
      <c r="A29" t="inlineStr">
        <is>
          <t>Operating Margin</t>
        </is>
      </c>
      <c r="B29" s="14">
        <f>B28/B27</f>
        <v/>
      </c>
    </row>
    <row r="31">
      <c r="A31" s="4" t="inlineStr">
        <is>
          <t>PROJECTED FINANCIALS (Chriss Trajectory)</t>
        </is>
      </c>
    </row>
    <row r="32">
      <c r="A32" s="15" t="inlineStr">
        <is>
          <t>Key Change: Revenue growth 7% in 2025, trending to 5.5% (vs prior 4%)</t>
        </is>
      </c>
    </row>
    <row r="33">
      <c r="A33" s="16" t="inlineStr"/>
      <c r="B33" s="16" t="inlineStr">
        <is>
          <t>2025E</t>
        </is>
      </c>
      <c r="C33" s="16" t="inlineStr">
        <is>
          <t>2026E</t>
        </is>
      </c>
      <c r="D33" s="16" t="inlineStr">
        <is>
          <t>2027E</t>
        </is>
      </c>
      <c r="E33" s="16" t="inlineStr">
        <is>
          <t>2028E</t>
        </is>
      </c>
      <c r="F33" s="16" t="inlineStr">
        <is>
          <t>2029E</t>
        </is>
      </c>
    </row>
    <row r="34">
      <c r="A34" t="inlineStr">
        <is>
          <t>Revenue Growth %</t>
        </is>
      </c>
      <c r="B34" s="9" t="n">
        <v>0.07000000000000001</v>
      </c>
      <c r="C34" s="9" t="n">
        <v>0.065</v>
      </c>
      <c r="D34" s="9" t="n">
        <v>0.06</v>
      </c>
      <c r="E34" s="9" t="n">
        <v>0.055</v>
      </c>
      <c r="F34" s="9" t="n">
        <v>0.055</v>
      </c>
    </row>
    <row r="35">
      <c r="A35" t="inlineStr">
        <is>
          <t>Revenue</t>
        </is>
      </c>
      <c r="B35" s="12">
        <f>B27*(1+B34)</f>
        <v/>
      </c>
      <c r="C35" s="12">
        <f>B35*(1+C34)</f>
        <v/>
      </c>
      <c r="D35" s="12">
        <f>C35*(1+D34)</f>
        <v/>
      </c>
      <c r="E35" s="12">
        <f>D35*(1+E34)</f>
        <v/>
      </c>
      <c r="F35" s="12">
        <f>E35*(1+F34)</f>
        <v/>
      </c>
    </row>
    <row r="36">
      <c r="A36" t="inlineStr">
        <is>
          <t>Operating Margin %</t>
        </is>
      </c>
      <c r="B36" s="9" t="n">
        <v>0.185</v>
      </c>
      <c r="C36" s="9" t="n">
        <v>0.19</v>
      </c>
      <c r="D36" s="9" t="n">
        <v>0.195</v>
      </c>
      <c r="E36" s="9" t="n">
        <v>0.2</v>
      </c>
      <c r="F36" s="9" t="n">
        <v>0.205</v>
      </c>
    </row>
    <row r="37">
      <c r="A37" t="inlineStr">
        <is>
          <t>Operating Income (EBIT)</t>
        </is>
      </c>
      <c r="B37" s="12">
        <f>B35*B36</f>
        <v/>
      </c>
      <c r="C37" s="12">
        <f>C35*C36</f>
        <v/>
      </c>
      <c r="D37" s="12">
        <f>D35*D36</f>
        <v/>
      </c>
      <c r="E37" s="12">
        <f>E35*E36</f>
        <v/>
      </c>
      <c r="F37" s="12">
        <f>F35*F36</f>
        <v/>
      </c>
    </row>
    <row r="38">
      <c r="A38" t="inlineStr">
        <is>
          <t>Less: Taxes</t>
        </is>
      </c>
      <c r="B38" s="17">
        <f>-B37*$B$11</f>
        <v/>
      </c>
      <c r="C38" s="17">
        <f>-C37*$B$11</f>
        <v/>
      </c>
      <c r="D38" s="17">
        <f>-D37*$B$11</f>
        <v/>
      </c>
      <c r="E38" s="17">
        <f>-E37*$B$11</f>
        <v/>
      </c>
      <c r="F38" s="17">
        <f>-F37*$B$11</f>
        <v/>
      </c>
    </row>
    <row r="39">
      <c r="A39" t="inlineStr">
        <is>
          <t>NOPAT</t>
        </is>
      </c>
      <c r="B39" s="12">
        <f>B37+B38</f>
        <v/>
      </c>
      <c r="C39" s="12">
        <f>C37+C38</f>
        <v/>
      </c>
      <c r="D39" s="12">
        <f>D37+D38</f>
        <v/>
      </c>
      <c r="E39" s="12">
        <f>E37+E38</f>
        <v/>
      </c>
      <c r="F39" s="12">
        <f>F37+F38</f>
        <v/>
      </c>
    </row>
    <row r="40">
      <c r="A40" t="inlineStr">
        <is>
          <t>D&amp;A (% of Revenue)</t>
        </is>
      </c>
      <c r="B40" s="9" t="n">
        <v>0.022</v>
      </c>
      <c r="C40" s="9" t="n">
        <v>0.021</v>
      </c>
      <c r="D40" s="9" t="n">
        <v>0.021</v>
      </c>
      <c r="E40" s="9" t="n">
        <v>0.02</v>
      </c>
      <c r="F40" s="9" t="n">
        <v>0.02</v>
      </c>
    </row>
    <row r="41">
      <c r="A41" t="inlineStr">
        <is>
          <t>Add: D&amp;A</t>
        </is>
      </c>
      <c r="B41" s="12">
        <f>B35*B40</f>
        <v/>
      </c>
      <c r="C41" s="12">
        <f>C35*C40</f>
        <v/>
      </c>
      <c r="D41" s="12">
        <f>D35*D40</f>
        <v/>
      </c>
      <c r="E41" s="12">
        <f>E35*E40</f>
        <v/>
      </c>
      <c r="F41" s="12">
        <f>F35*F40</f>
        <v/>
      </c>
    </row>
    <row r="42">
      <c r="A42" t="inlineStr">
        <is>
          <t>CapEx (% of Revenue)</t>
        </is>
      </c>
      <c r="B42" s="9" t="n">
        <v>0.02</v>
      </c>
      <c r="C42" s="9" t="n">
        <v>0.019</v>
      </c>
      <c r="D42" s="9" t="n">
        <v>0.019</v>
      </c>
      <c r="E42" s="9" t="n">
        <v>0.018</v>
      </c>
      <c r="F42" s="9" t="n">
        <v>0.018</v>
      </c>
    </row>
    <row r="43">
      <c r="A43" t="inlineStr">
        <is>
          <t>Less: CapEx</t>
        </is>
      </c>
      <c r="B43" s="17">
        <f>-B35*B42</f>
        <v/>
      </c>
      <c r="C43" s="17">
        <f>-C35*C42</f>
        <v/>
      </c>
      <c r="D43" s="17">
        <f>-D35*D42</f>
        <v/>
      </c>
      <c r="E43" s="17">
        <f>-E35*E42</f>
        <v/>
      </c>
      <c r="F43" s="17">
        <f>-F35*F42</f>
        <v/>
      </c>
    </row>
    <row r="44">
      <c r="A44" t="inlineStr">
        <is>
          <t>NWC Change (% of Rev Δ)</t>
        </is>
      </c>
      <c r="B44" s="9" t="n">
        <v>0.025</v>
      </c>
      <c r="C44" s="9" t="n">
        <v>0.025</v>
      </c>
      <c r="D44" s="9" t="n">
        <v>0.025</v>
      </c>
      <c r="E44" s="9" t="n">
        <v>0.025</v>
      </c>
      <c r="F44" s="9" t="n">
        <v>0.025</v>
      </c>
    </row>
    <row r="45">
      <c r="A45" t="inlineStr">
        <is>
          <t>Less: Change in NWC</t>
        </is>
      </c>
      <c r="B45" s="17">
        <f>-(B35-B27)*B44</f>
        <v/>
      </c>
      <c r="C45" s="17">
        <f>-(C35-B35)*C44</f>
        <v/>
      </c>
      <c r="D45" s="17">
        <f>-(D35-C35)*D44</f>
        <v/>
      </c>
      <c r="E45" s="17">
        <f>-(E35-D35)*E44</f>
        <v/>
      </c>
      <c r="F45" s="17">
        <f>-(F35-E35)*F44</f>
        <v/>
      </c>
    </row>
    <row r="46">
      <c r="A46" s="18" t="inlineStr">
        <is>
          <t>Unlevered Free Cash Flow</t>
        </is>
      </c>
      <c r="B46" s="19">
        <f>B39+B41+B43+B45</f>
        <v/>
      </c>
      <c r="C46" s="19">
        <f>C39+C41+C43+C45</f>
        <v/>
      </c>
      <c r="D46" s="19">
        <f>D39+D41+D43+D45</f>
        <v/>
      </c>
      <c r="E46" s="19">
        <f>E39+E41+E43+E45</f>
        <v/>
      </c>
      <c r="F46" s="19">
        <f>F39+F41+F43+F45</f>
        <v/>
      </c>
    </row>
    <row r="47">
      <c r="A47" t="inlineStr">
        <is>
          <t>FCF YoY Growth</t>
        </is>
      </c>
      <c r="B47" t="inlineStr"/>
      <c r="C47" s="14">
        <f>(C46-B46)/B46</f>
        <v/>
      </c>
      <c r="D47" s="14">
        <f>(D46-C46)/C46</f>
        <v/>
      </c>
      <c r="E47" s="14">
        <f>(E46-D46)/D46</f>
        <v/>
      </c>
      <c r="F47" s="14">
        <f>(F46-E46)/E46</f>
        <v/>
      </c>
    </row>
    <row r="49">
      <c r="A49" s="4" t="inlineStr">
        <is>
          <t>DCF VALUATION</t>
        </is>
      </c>
    </row>
    <row r="50">
      <c r="A50" t="inlineStr">
        <is>
          <t>Period</t>
        </is>
      </c>
      <c r="B50" s="20" t="n">
        <v>1</v>
      </c>
      <c r="C50" s="20" t="n">
        <v>2</v>
      </c>
      <c r="D50" s="20" t="n">
        <v>3</v>
      </c>
      <c r="E50" s="20" t="n">
        <v>4</v>
      </c>
      <c r="F50" s="20" t="n">
        <v>5</v>
      </c>
    </row>
    <row r="51">
      <c r="A51" t="inlineStr">
        <is>
          <t>Discount Factor</t>
        </is>
      </c>
      <c r="B51" s="21">
        <f>1/((1+$B$15)^B50)</f>
        <v/>
      </c>
      <c r="C51" s="21">
        <f>1/((1+$B$15)^C50)</f>
        <v/>
      </c>
      <c r="D51" s="21">
        <f>1/((1+$B$15)^D50)</f>
        <v/>
      </c>
      <c r="E51" s="21">
        <f>1/((1+$B$15)^E50)</f>
        <v/>
      </c>
      <c r="F51" s="21">
        <f>1/((1+$B$15)^F50)</f>
        <v/>
      </c>
    </row>
    <row r="52">
      <c r="A52" t="inlineStr">
        <is>
          <t>PV of FCF</t>
        </is>
      </c>
      <c r="B52" s="12">
        <f>B46*B51</f>
        <v/>
      </c>
      <c r="C52" s="12">
        <f>C46*C51</f>
        <v/>
      </c>
      <c r="D52" s="12">
        <f>D46*D51</f>
        <v/>
      </c>
      <c r="E52" s="12">
        <f>E46*E51</f>
        <v/>
      </c>
      <c r="F52" s="12">
        <f>F46*F51</f>
        <v/>
      </c>
    </row>
    <row r="54">
      <c r="A54" s="18" t="inlineStr">
        <is>
          <t>Sum of PV of FCFs</t>
        </is>
      </c>
      <c r="B54" s="22">
        <f>SUM(B52:F52)</f>
        <v/>
      </c>
    </row>
    <row r="56">
      <c r="A56" s="23" t="inlineStr">
        <is>
          <t>Terminal Value Calculation</t>
        </is>
      </c>
    </row>
    <row r="57">
      <c r="A57" t="inlineStr">
        <is>
          <t>Final Year FCF (2029E)</t>
        </is>
      </c>
      <c r="B57" s="24">
        <f>F46</f>
        <v/>
      </c>
    </row>
    <row r="58">
      <c r="A58" t="inlineStr">
        <is>
          <t>Terminal Value (Gordon Growth)</t>
        </is>
      </c>
      <c r="B58" s="24">
        <f>B57*(1+$B$16)/($B$15-$B$16)</f>
        <v/>
      </c>
    </row>
    <row r="59">
      <c r="A59" t="inlineStr">
        <is>
          <t>PV of Terminal Value</t>
        </is>
      </c>
      <c r="B59" s="22">
        <f>B58/(1+$B$15)^5</f>
        <v/>
      </c>
    </row>
    <row r="61">
      <c r="A61" s="4" t="inlineStr">
        <is>
          <t>VALUATION SUMMARY</t>
        </is>
      </c>
    </row>
    <row r="62">
      <c r="A62" t="inlineStr">
        <is>
          <t>PV of Forecast FCFs</t>
        </is>
      </c>
      <c r="B62" s="24">
        <f>B54</f>
        <v/>
      </c>
    </row>
    <row r="63">
      <c r="A63" t="inlineStr">
        <is>
          <t>PV of Terminal Value</t>
        </is>
      </c>
      <c r="B63" s="24">
        <f>B59</f>
        <v/>
      </c>
    </row>
    <row r="64">
      <c r="A64" s="18" t="inlineStr">
        <is>
          <t>Enterprise Value</t>
        </is>
      </c>
      <c r="B64" s="25">
        <f>B62+B63</f>
        <v/>
      </c>
    </row>
    <row r="65">
      <c r="A65" t="inlineStr">
        <is>
          <t>Less: Net Debt</t>
        </is>
      </c>
      <c r="B65" s="26">
        <f>-B24</f>
        <v/>
      </c>
    </row>
    <row r="66">
      <c r="A66" s="18" t="inlineStr">
        <is>
          <t>Equity Value</t>
        </is>
      </c>
      <c r="B66" s="25">
        <f>B64+B65</f>
        <v/>
      </c>
    </row>
    <row r="67">
      <c r="A67" t="inlineStr">
        <is>
          <t>Shares Outstanding</t>
        </is>
      </c>
      <c r="B67" s="27">
        <f>B20</f>
        <v/>
      </c>
    </row>
    <row r="68">
      <c r="A68" s="28" t="inlineStr">
        <is>
          <t>Implied Share Price</t>
        </is>
      </c>
      <c r="B68" s="29">
        <f>B66/B67</f>
        <v/>
      </c>
    </row>
    <row r="69">
      <c r="A69" t="inlineStr">
        <is>
          <t>Current Stock Price</t>
        </is>
      </c>
      <c r="B69" s="30">
        <f>B19</f>
        <v/>
      </c>
    </row>
    <row r="70">
      <c r="A70" s="18" t="inlineStr">
        <is>
          <t>Upside / (Downside)</t>
        </is>
      </c>
      <c r="B70" s="31">
        <f>(B68-B69)/B69</f>
        <v/>
      </c>
    </row>
    <row r="72">
      <c r="A72" t="inlineStr">
        <is>
          <t>TV as % of EV</t>
        </is>
      </c>
      <c r="B72" s="32">
        <f>B63/B64</f>
        <v/>
      </c>
    </row>
    <row r="74">
      <c r="A74" s="4" t="inlineStr">
        <is>
          <t>ORIGINAL vs UPDATED ASSUMPTIONS</t>
        </is>
      </c>
    </row>
    <row r="75">
      <c r="A75" s="23" t="inlineStr">
        <is>
          <t>Metric</t>
        </is>
      </c>
      <c r="B75" s="23" t="inlineStr">
        <is>
          <t>Original DCF</t>
        </is>
      </c>
      <c r="C75" s="23" t="inlineStr">
        <is>
          <t>Updated DCF</t>
        </is>
      </c>
      <c r="D75" s="23" t="inlineStr">
        <is>
          <t>Difference</t>
        </is>
      </c>
    </row>
    <row r="76">
      <c r="A76" t="inlineStr">
        <is>
          <t>2025 Revenue Growth</t>
        </is>
      </c>
      <c r="B76" t="inlineStr">
        <is>
          <t>4.0%</t>
        </is>
      </c>
      <c r="C76" t="inlineStr">
        <is>
          <t>7.0%</t>
        </is>
      </c>
      <c r="D76" s="33" t="inlineStr">
        <is>
          <t>+3.0%</t>
        </is>
      </c>
    </row>
    <row r="77">
      <c r="A77" t="inlineStr">
        <is>
          <t>5-Year Avg Revenue Growth</t>
        </is>
      </c>
      <c r="B77" t="inlineStr">
        <is>
          <t>5.0%</t>
        </is>
      </c>
      <c r="C77" t="inlineStr">
        <is>
          <t>6.1%</t>
        </is>
      </c>
      <c r="D77" s="33" t="inlineStr">
        <is>
          <t>+1.1%</t>
        </is>
      </c>
    </row>
    <row r="78">
      <c r="A78" t="inlineStr">
        <is>
          <t>2025 Op Margin</t>
        </is>
      </c>
      <c r="B78" t="inlineStr">
        <is>
          <t>17.5%</t>
        </is>
      </c>
      <c r="C78" t="inlineStr">
        <is>
          <t>18.5%</t>
        </is>
      </c>
      <c r="D78" s="33" t="inlineStr">
        <is>
          <t>+1.0%</t>
        </is>
      </c>
    </row>
    <row r="79">
      <c r="A79" t="inlineStr">
        <is>
          <t>2029 Op Margin</t>
        </is>
      </c>
      <c r="B79" t="inlineStr">
        <is>
          <t>19.5%</t>
        </is>
      </c>
      <c r="C79" t="inlineStr">
        <is>
          <t>20.5%</t>
        </is>
      </c>
      <c r="D79" s="33" t="inlineStr">
        <is>
          <t>+1.0%</t>
        </is>
      </c>
    </row>
    <row r="80">
      <c r="A80" t="inlineStr">
        <is>
          <t>Implied Share Price</t>
        </is>
      </c>
      <c r="B80" t="inlineStr">
        <is>
          <t>$82</t>
        </is>
      </c>
      <c r="C80" t="inlineStr">
        <is>
          <t>See above</t>
        </is>
      </c>
      <c r="D80" s="33" t="inlineStr">
        <is>
          <t>Higher</t>
        </is>
      </c>
    </row>
  </sheetData>
  <mergeCells count="10">
    <mergeCell ref="A32:G32"/>
    <mergeCell ref="A5:D5"/>
    <mergeCell ref="A18:D18"/>
    <mergeCell ref="A56:D56"/>
    <mergeCell ref="A61:D61"/>
    <mergeCell ref="A31:G31"/>
    <mergeCell ref="A26:D26"/>
    <mergeCell ref="A74:E74"/>
    <mergeCell ref="A49:G4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2026-01-23T00:52:41Z</dcterms:created>
  <dcterms:modified xmlns:dcterms="http://purl.org/dc/terms/" xmlns:xsi="http://www.w3.org/2001/XMLSchema-instance" xsi:type="dcterms:W3CDTF">2026-01-23T00:52:41Z</dcterms:modified>
</cp:coreProperties>
</file>