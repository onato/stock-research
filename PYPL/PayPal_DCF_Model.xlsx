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Model" sheetId="1" state="visible" r:id="rId3"/>
    <sheet name="Sensitivity Analysis" sheetId="2" state="visible" r:id="rId4"/>
    <sheet name="Company Over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<sst xmlns="http://schemas.openxmlformats.org/spreadsheetml/2006/main" count="163" uniqueCount="159">
  <si>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PayPal Holdings, Inc. (PYPL) - Discounted Cash Flow Valuation</t>
  </si>
  <si>
    <t xml:space="preserve">As of December 11, 2025</t>
  </si>
  <si>
    <t xml:space="preserve">All figures in millions USD unless otherwise stated</t>
  </si>
  <si>
    <t xml:space="preserve">KEY ASSUMPTIONS</t>
  </si>
  <si>
    <t xml:space="preserve">Risk-Free Rate</t>
  </si>
  <si>
    <t xml:space="preserve">10-Year Treasury</t>
  </si>
  <si>
    <t xml:space="preserve">Equity Risk Premium</t>
  </si>
  <si>
    <t xml:space="preserve">Beta (Levered)</t>
  </si>
  <si>
    <t xml:space="preserve">Cost of Equity</t>
  </si>
  <si>
    <t xml:space="preserve">Pre-Tax Cost of Debt</t>
  </si>
  <si>
    <t xml:space="preserve">Tax Rate</t>
  </si>
  <si>
    <t xml:space="preserve">After-Tax Cost of Debt</t>
  </si>
  <si>
    <t xml:space="preserve">Debt Weight</t>
  </si>
  <si>
    <t xml:space="preserve">Equity Weight</t>
  </si>
  <si>
    <t xml:space="preserve">WACC</t>
  </si>
  <si>
    <t xml:space="preserve">Terminal Growth Rate</t>
  </si>
  <si>
    <t xml:space="preserve">Long-term GDP growth</t>
  </si>
  <si>
    <t xml:space="preserve">COMPANY DATA (as of Dec 2025)</t>
  </si>
  <si>
    <t xml:space="preserve">Current Stock Price</t>
  </si>
  <si>
    <t xml:space="preserve">Shares Outstanding (mm)</t>
  </si>
  <si>
    <t xml:space="preserve">Market Cap</t>
  </si>
  <si>
    <t xml:space="preserve">Total Debt</t>
  </si>
  <si>
    <t xml:space="preserve">Cash &amp; Equivalents</t>
  </si>
  <si>
    <t xml:space="preserve">Net Debt</t>
  </si>
  <si>
    <t xml:space="preserve">Enterprise Value (Market)</t>
  </si>
  <si>
    <t xml:space="preserve">HISTORICAL FINANCIALS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</si>
  <si>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</si>
  <si>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</si>
  <si>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</si>
  <si>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</si>
  <si>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</si>
  <si>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Revenue</t>
  </si>
  <si>
    <t xml:space="preserve">YoY Growth %</t>
  </si>
  <si>
    <t xml:space="preserve">Operating Income</t>
  </si>
  <si>
    <t xml:space="preserve">Operating Margin %</t>
  </si>
  <si>
    <t xml:space="preserve">D&amp;A</t>
  </si>
  <si>
    <t xml:space="preserve">EBITDA</t>
  </si>
  <si>
    <t xml:space="preserve">CapEx</t>
  </si>
  <si>
    <t xml:space="preserve">Free Cash Flow</t>
  </si>
  <si>
    <t xml:space="preserve">PROJECTED FINANCIALS (5-Year Forecast)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</si>
  <si>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</si>
  <si>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</si>
  <si>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</si>
  <si>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</si>
  <si>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</si>
  <si>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Revenue Growth %</t>
  </si>
  <si>
    <t xml:space="preserve">Operating Income (EBIT)</t>
  </si>
  <si>
    <t xml:space="preserve">Less: Taxes</t>
  </si>
  <si>
    <t xml:space="preserve">NOPAT</t>
  </si>
  <si>
    <t xml:space="preserve">D&amp;A (% of Revenue)</t>
  </si>
  <si>
    <t xml:space="preserve">Add: D&amp;A</t>
  </si>
  <si>
    <t xml:space="preserve">CapEx (% of Revenue)</t>
  </si>
  <si>
    <t xml:space="preserve">Less: CapEx</t>
  </si>
  <si>
    <t xml:space="preserve">NWC Change (% of Rev Δ)</t>
  </si>
  <si>
    <t xml:space="preserve">Less: Change in NWC</t>
  </si>
  <si>
    <t xml:space="preserve">Unlevered Free Cash Flow</t>
  </si>
  <si>
    <t xml:space="preserve">DCF VALUATION</t>
  </si>
  <si>
    <t xml:space="preserve">Period</t>
  </si>
  <si>
    <t xml:space="preserve">Discount Factor</t>
  </si>
  <si>
    <t xml:space="preserve">PV of FCF</t>
  </si>
  <si>
    <t xml:space="preserve">Sum of PV of FCFs</t>
  </si>
  <si>
    <t xml:space="preserve">Terminal Value Calculation</t>
  </si>
  <si>
    <t xml:space="preserve">Final Year FCF (2029E)</t>
  </si>
  <si>
    <t xml:space="preserve">Terminal Value (Gordon Growth)</t>
  </si>
  <si>
    <t xml:space="preserve">PV of Terminal Value</t>
  </si>
  <si>
    <t xml:space="preserve">VALUATION SUMMARY</t>
  </si>
  <si>
    <t xml:space="preserve">PV of Forecast FCFs</t>
  </si>
  <si>
    <t xml:space="preserve">Enterprise Value (DCF)</t>
  </si>
  <si>
    <t xml:space="preserve">Less: Net Debt</t>
  </si>
  <si>
    <t xml:space="preserve">Equity Value</t>
  </si>
  <si>
    <t xml:space="preserve">Shares Outstanding</t>
  </si>
  <si>
    <t xml:space="preserve">Implied Share Price</t>
  </si>
  <si>
    <t xml:space="preserve">Upside / (Downside)</t>
  </si>
  <si>
    <t xml:space="preserve">Terminal Value as % of EV</t>
  </si>
  <si>
    <t xml:space="preserve">Implied Exit EV/EBITDA</t>
  </si>
  <si>
    <t xml:space="preserve">SENSITIVITY ANALYSIS - Implied Share Price</t>
  </si>
  <si>
    <t xml:space="preserve">WACC vs Terminal Growth Rate</t>
  </si>
  <si>
    <t xml:space="preserve">WACC \ TGR</t>
  </si>
  <si>
    <t xml:space="preserve">Note: Green cell = base case assumptions (9.0% WACC, 2.5% Terminal Growth)</t>
  </si>
  <si>
    <t xml:space="preserve">Operating Margin vs Revenue CAGR (5-Year)</t>
  </si>
  <si>
    <t xml:space="preserve">Margin \ Growth</t>
  </si>
  <si>
    <t xml:space="preserve">PAYPAL HOLDINGS, INC. (NASDAQ: PYPL)</t>
  </si>
  <si>
    <t xml:space="preserve">COMPANY PROFILE</t>
  </si>
  <si>
    <t xml:space="preserve">Sector</t>
  </si>
  <si>
    <t xml:space="preserve">Financial Services / Fintech</t>
  </si>
  <si>
    <t xml:space="preserve">Industry</t>
  </si>
  <si>
    <t xml:space="preserve">Digital Payments / Credit Services</t>
  </si>
  <si>
    <t xml:space="preserve">Headquarters</t>
  </si>
  <si>
    <t xml:space="preserve">San Jose, California</t>
  </si>
  <si>
    <t xml:space="preserve">CEO</t>
  </si>
  <si>
    <t xml:space="preserve">Alex Chriss (since September 2023)</t>
  </si>
  <si>
    <t xml:space="preserve">Founded</t>
  </si>
  <si>
    <t xml:space="preserve">1998 (spun off from eBay in 2015)</t>
  </si>
  <si>
    <t xml:space="preserve">Employees</t>
  </si>
  <si>
    <t xml:space="preserve">~25,000</t>
  </si>
  <si>
    <t xml:space="preserve">Active Accounts</t>
  </si>
  <si>
    <t xml:space="preserve">434 million (Dec 2024)</t>
  </si>
  <si>
    <t xml:space="preserve">Total Payment Volume (2024)</t>
  </si>
  <si>
    <t xml:space="preserve">$1.68 trillion</t>
  </si>
  <si>
    <t xml:space="preserve">2024 Revenue</t>
  </si>
  <si>
    <t xml:space="preserve">$31.8 billion</t>
  </si>
  <si>
    <t xml:space="preserve">2024 Free Cash Flow</t>
  </si>
  <si>
    <t xml:space="preserve">$6.8 billion</t>
  </si>
  <si>
    <t xml:space="preserve">BUSINESS SEGMENTS</t>
  </si>
  <si>
    <t xml:space="preserve">PayPal Checkout</t>
  </si>
  <si>
    <t xml:space="preserve">Core digital wallet for online/mobile merchant transactions</t>
  </si>
  <si>
    <t xml:space="preserve">Venmo</t>
  </si>
  <si>
    <t xml:space="preserve">P2P payments platform with 90M+ users, Pay with Venmo for merchants</t>
  </si>
  <si>
    <t xml:space="preserve">Braintree</t>
  </si>
  <si>
    <t xml:space="preserve">Full-stack payments for enterprise (Uber, Airbnb, Dropbox)</t>
  </si>
  <si>
    <t xml:space="preserve">Xoom</t>
  </si>
  <si>
    <t xml:space="preserve">International money transfer service</t>
  </si>
  <si>
    <t xml:space="preserve">Buy Now, Pay Later</t>
  </si>
  <si>
    <t xml:space="preserve">Short-term installment products, $33B TPV in 2024 (+21% YoY)</t>
  </si>
  <si>
    <t xml:space="preserve">PayPal Credit</t>
  </si>
  <si>
    <t xml:space="preserve">Consumer credit product in the US</t>
  </si>
  <si>
    <t xml:space="preserve">KEY METRICS &amp; TRENDS</t>
  </si>
  <si>
    <t xml:space="preserve">Q4 2024 Revenue Growth</t>
  </si>
  <si>
    <t xml:space="preserve">4% YoY ($8.4B)</t>
  </si>
  <si>
    <t xml:space="preserve">2024 TPV Growth</t>
  </si>
  <si>
    <t xml:space="preserve">10% YoY to $1.68 trillion</t>
  </si>
  <si>
    <t xml:space="preserve">Q3 2025 Revenue Growth</t>
  </si>
  <si>
    <t xml:space="preserve">7% YoY ($8.4B, beat estimates)</t>
  </si>
  <si>
    <t xml:space="preserve">Non-GAAP EPS (Q3 2025)</t>
  </si>
  <si>
    <t xml:space="preserve">$1.34 (+12% YoY)</t>
  </si>
  <si>
    <t xml:space="preserve">Transaction Margin Trend</t>
  </si>
  <si>
    <t xml:space="preserve">Improving via Braintree repricing strategy</t>
  </si>
  <si>
    <t xml:space="preserve">Active Account Growth</t>
  </si>
  <si>
    <t xml:space="preserve">+8.8 million in 2024 to 434 million</t>
  </si>
  <si>
    <t xml:space="preserve">INVESTMENT THESIS</t>
  </si>
  <si>
    <t xml:space="preserve">BULL CASE</t>
  </si>
  <si>
    <t xml:space="preserve">• Strong FCF generation ($6.8B in 2024) supports buybacks ($15B new authorization)</t>
  </si>
  <si>
    <t xml:space="preserve">• AI commerce partnerships (OpenAI, Perplexity) position for agentic payments</t>
  </si>
  <si>
    <t xml:space="preserve">• Fastlane checkout improving conversion rates (+100bps, 40% latency reduction)</t>
  </si>
  <si>
    <t xml:space="preserve">• Venmo monetization accelerating (+20% debit card/Pay with Venmo growth)</t>
  </si>
  <si>
    <t xml:space="preserve">• Trading at 11-12x forward P/E vs historical 50x average - potential re-rating</t>
  </si>
  <si>
    <t xml:space="preserve">BEAR CASE</t>
  </si>
  <si>
    <t xml:space="preserve">• Branded checkout deceleration (management flagged slower growth Dec 2025)</t>
  </si>
  <si>
    <t xml:space="preserve">• Braintree repricing causing ~5pt revenue headwind in 2025</t>
  </si>
  <si>
    <t xml:space="preserve">• Competition from Apple Pay, Google Pay, Block (Square), traditional card networks</t>
  </si>
  <si>
    <t xml:space="preserve">• Interest rate sensitivity (~$150M headwind from rate cuts in 2025)</t>
  </si>
  <si>
    <t xml:space="preserve">• Execution risk during multi-year business transformation</t>
  </si>
  <si>
    <t xml:space="preserve">CATALYST WATCH</t>
  </si>
  <si>
    <t xml:space="preserve">• Fastlane adoption scaling in 2025</t>
  </si>
  <si>
    <t xml:space="preserve">• Shopify partnership integration (PayPal in Shopify Payments)</t>
  </si>
  <si>
    <t xml:space="preserve">• SMB market share gains via Complete Payments platform</t>
  </si>
  <si>
    <t xml:space="preserve">ANALYST CONSENSUS</t>
  </si>
  <si>
    <t xml:space="preserve">Average Price Target</t>
  </si>
  <si>
    <t xml:space="preserve">$84 (range $61 - $126)</t>
  </si>
  <si>
    <t xml:space="preserve">Consensus Rating</t>
  </si>
  <si>
    <t xml:space="preserve">Moderate Buy / Hold</t>
  </si>
  <si>
    <t xml:space="preserve">2025E Revenue</t>
  </si>
  <si>
    <t xml:space="preserve">$34.0 billion (+7%)</t>
  </si>
  <si>
    <t xml:space="preserve">2025E EPS</t>
  </si>
  <si>
    <t xml:space="preserve">$5.45</t>
  </si>
  <si>
    <t xml:space="preserve">2026E Revenue</t>
  </si>
  <si>
    <t xml:space="preserve">$35.9 billion (+6%)</t>
  </si>
  <si>
    <t xml:space="preserve">2026E EPS</t>
  </si>
  <si>
    <t xml:space="preserve">$5.95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</si>
</sst>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0.00"/>
    <numFmt numFmtId="167" formatCode="0.0%"/>
    <numFmt numFmtId="168" formatCode="\$#,##0.00"/>
    <numFmt numFmtId="169" formatCode="#,##0"/>
    <numFmt numFmtId="170" formatCode="\$#,##0"/>
    <numFmt numFmtId="171" formatCode="\$#,##0;&quot;($&quot;#,##0\)"/>
    <numFmt numFmtId="172" formatCode="0.0000"/>
    <numFmt numFmtId="173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1F4E7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C7"/>
        <bgColor rgb="FFFFFF99"/>
      </patternFill>
    </fill>
    <fill>
      <patternFill patternType="solid">
        <fgColor rgb="FFDDEBF7"/>
        <bgColor rgb="FFE2EFDA"/>
      </patternFill>
    </fill>
    <fill>
      <patternFill patternType="solid">
        <fgColor rgb="FFD6DCE4"/>
        <bgColor rgb="FFDDEBF7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7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0" t="s">
        <v>4</v>
      </c>
      <c r="B6" s="4" t="n">
        <v>0.042</v>
      </c>
      <c r="C6" s="5" t="s">
        <v>5</v>
      </c>
    </row>
    <row r="7" customFormat="false" ht="15" hidden="false" customHeight="false" outlineLevel="0" collapsed="false">
      <c r="A7" s="0" t="s">
        <v>6</v>
      </c>
      <c r="B7" s="4" t="n">
        <v>0.055</v>
      </c>
    </row>
    <row r="8" customFormat="false" ht="15" hidden="false" customHeight="false" outlineLevel="0" collapsed="false">
      <c r="A8" s="0" t="s">
        <v>7</v>
      </c>
      <c r="B8" s="6" t="n">
        <v>1.2</v>
      </c>
    </row>
    <row r="9" customFormat="false" ht="15" hidden="false" customHeight="false" outlineLevel="0" collapsed="false">
      <c r="A9" s="0" t="s">
        <v>8</v>
      </c>
      <c r="B9" s="7" t="n">
        <f aca="false">B6+B8*B7</f>
        <v>0.108</v>
      </c>
    </row>
    <row r="10" customFormat="false" ht="15" hidden="false" customHeight="false" outlineLevel="0" collapsed="false">
      <c r="A10" s="0" t="s">
        <v>9</v>
      </c>
      <c r="B10" s="4" t="n">
        <v>0.045</v>
      </c>
    </row>
    <row r="11" customFormat="false" ht="15" hidden="false" customHeight="false" outlineLevel="0" collapsed="false">
      <c r="A11" s="0" t="s">
        <v>10</v>
      </c>
      <c r="B11" s="8" t="n">
        <v>0.22</v>
      </c>
    </row>
    <row r="12" customFormat="false" ht="15" hidden="false" customHeight="false" outlineLevel="0" collapsed="false">
      <c r="A12" s="0" t="s">
        <v>11</v>
      </c>
      <c r="B12" s="7" t="n">
        <f aca="false">B10*(1-B11)</f>
        <v>0.0351</v>
      </c>
    </row>
    <row r="13" customFormat="false" ht="15" hidden="false" customHeight="false" outlineLevel="0" collapsed="false">
      <c r="A13" s="0" t="s">
        <v>12</v>
      </c>
      <c r="B13" s="8" t="n">
        <v>0.16</v>
      </c>
    </row>
    <row r="14" customFormat="false" ht="15" hidden="false" customHeight="false" outlineLevel="0" collapsed="false">
      <c r="A14" s="0" t="s">
        <v>13</v>
      </c>
      <c r="B14" s="8" t="n">
        <v>0.84</v>
      </c>
    </row>
    <row r="15" customFormat="false" ht="15" hidden="false" customHeight="false" outlineLevel="0" collapsed="false">
      <c r="A15" s="9" t="s">
        <v>14</v>
      </c>
      <c r="B15" s="10" t="n">
        <f aca="false">B9*B14+B12*B13</f>
        <v>0.096336</v>
      </c>
    </row>
    <row r="16" customFormat="false" ht="15" hidden="false" customHeight="false" outlineLevel="0" collapsed="false">
      <c r="A16" s="0" t="s">
        <v>15</v>
      </c>
      <c r="B16" s="8" t="n">
        <v>0.025</v>
      </c>
      <c r="C16" s="5" t="s">
        <v>16</v>
      </c>
    </row>
    <row r="18" customFormat="false" ht="15" hidden="false" customHeight="false" outlineLevel="0" collapsed="false">
      <c r="A18" s="3" t="s">
        <v>17</v>
      </c>
      <c r="B18" s="3"/>
      <c r="C18" s="3"/>
      <c r="D18" s="3"/>
    </row>
    <row r="19" customFormat="false" ht="15" hidden="false" customHeight="false" outlineLevel="0" collapsed="false">
      <c r="A19" s="0" t="s">
        <v>18</v>
      </c>
      <c r="B19" s="11" t="n">
        <v>61</v>
      </c>
    </row>
    <row r="20" customFormat="false" ht="15" hidden="false" customHeight="false" outlineLevel="0" collapsed="false">
      <c r="A20" s="0" t="s">
        <v>19</v>
      </c>
      <c r="B20" s="12" t="n">
        <v>936</v>
      </c>
    </row>
    <row r="21" customFormat="false" ht="15" hidden="false" customHeight="false" outlineLevel="0" collapsed="false">
      <c r="A21" s="0" t="s">
        <v>20</v>
      </c>
      <c r="B21" s="13" t="n">
        <f aca="false">B19*B20</f>
        <v>57096</v>
      </c>
    </row>
    <row r="22" customFormat="false" ht="15" hidden="false" customHeight="false" outlineLevel="0" collapsed="false">
      <c r="A22" s="0" t="s">
        <v>21</v>
      </c>
      <c r="B22" s="14" t="n">
        <v>11400</v>
      </c>
    </row>
    <row r="23" customFormat="false" ht="15" hidden="false" customHeight="false" outlineLevel="0" collapsed="false">
      <c r="A23" s="0" t="s">
        <v>22</v>
      </c>
      <c r="B23" s="14" t="n">
        <v>10800</v>
      </c>
    </row>
    <row r="24" customFormat="false" ht="15" hidden="false" customHeight="false" outlineLevel="0" collapsed="false">
      <c r="A24" s="0" t="s">
        <v>23</v>
      </c>
      <c r="B24" s="13" t="n">
        <f aca="false">B22-B23</f>
        <v>600</v>
      </c>
    </row>
    <row r="25" customFormat="false" ht="15" hidden="false" customHeight="false" outlineLevel="0" collapsed="false">
      <c r="A25" s="0" t="s">
        <v>24</v>
      </c>
      <c r="B25" s="13" t="n">
        <f aca="false">B21+B24</f>
        <v>57696</v>
      </c>
    </row>
    <row r="27" customFormat="false" ht="15" hidden="false" customHeight="false" outlineLevel="0" collapsed="false">
      <c r="A27" s="3" t="s">
        <v>25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15"/>
      <c r="B28" s="15" t="s">
        <v>26</v>
      </c>
      <c r="C28" s="15" t="s">
        <v>27</v>
      </c>
      <c r="D28" s="15" t="s">
        <v>28</v>
      </c>
      <c r="E28" s="15" t="s">
        <v>29</v>
      </c>
      <c r="F28" s="15" t="s">
        <v>30</v>
      </c>
    </row>
    <row r="29" customFormat="false" ht="15" hidden="false" customHeight="false" outlineLevel="0" collapsed="false">
      <c r="A29" s="0" t="s">
        <v>31</v>
      </c>
      <c r="B29" s="16" t="n">
        <v>21454</v>
      </c>
      <c r="C29" s="16" t="n">
        <v>25371</v>
      </c>
      <c r="D29" s="16" t="n">
        <v>27518</v>
      </c>
      <c r="E29" s="16" t="n">
        <v>29771</v>
      </c>
      <c r="F29" s="16" t="n">
        <v>31797</v>
      </c>
    </row>
    <row r="30" customFormat="false" ht="15" hidden="false" customHeight="false" outlineLevel="0" collapsed="false">
      <c r="A30" s="0" t="s">
        <v>32</v>
      </c>
      <c r="C30" s="17" t="n">
        <f aca="false">(C29-B29)/B29</f>
        <v>0.182576675678195</v>
      </c>
      <c r="D30" s="17" t="n">
        <f aca="false">(D29-C29)/C29</f>
        <v>0.0846241772102006</v>
      </c>
      <c r="E30" s="17" t="n">
        <f aca="false">(E29-D29)/D29</f>
        <v>0.0818736826804274</v>
      </c>
      <c r="F30" s="17" t="n">
        <f aca="false">(F29-E29)/E29</f>
        <v>0.0680528030633838</v>
      </c>
    </row>
    <row r="31" customFormat="false" ht="15" hidden="false" customHeight="false" outlineLevel="0" collapsed="false">
      <c r="A31" s="0" t="s">
        <v>33</v>
      </c>
      <c r="B31" s="16" t="n">
        <v>3289</v>
      </c>
      <c r="C31" s="16" t="n">
        <v>4262</v>
      </c>
      <c r="D31" s="16" t="n">
        <v>3837</v>
      </c>
      <c r="E31" s="16" t="n">
        <v>5028</v>
      </c>
      <c r="F31" s="16" t="n">
        <v>5325</v>
      </c>
    </row>
    <row r="32" customFormat="false" ht="15" hidden="false" customHeight="false" outlineLevel="0" collapsed="false">
      <c r="A32" s="0" t="s">
        <v>34</v>
      </c>
      <c r="B32" s="17" t="n">
        <f aca="false">B31/B29</f>
        <v>0.153304745035891</v>
      </c>
      <c r="C32" s="17" t="n">
        <f aca="false">C31/C29</f>
        <v>0.167987071853691</v>
      </c>
      <c r="D32" s="17" t="n">
        <f aca="false">D31/D29</f>
        <v>0.139436005523657</v>
      </c>
      <c r="E32" s="17" t="n">
        <f aca="false">E31/E29</f>
        <v>0.168889187464311</v>
      </c>
      <c r="F32" s="17" t="n">
        <f aca="false">F31/F29</f>
        <v>0.167468629115954</v>
      </c>
    </row>
    <row r="33" customFormat="false" ht="15" hidden="false" customHeight="false" outlineLevel="0" collapsed="false">
      <c r="A33" s="0" t="s">
        <v>35</v>
      </c>
      <c r="B33" s="16" t="n">
        <v>954</v>
      </c>
      <c r="C33" s="16" t="n">
        <v>1050</v>
      </c>
      <c r="D33" s="16" t="n">
        <v>1247</v>
      </c>
      <c r="E33" s="16" t="n">
        <v>705</v>
      </c>
      <c r="F33" s="16" t="n">
        <v>697</v>
      </c>
    </row>
    <row r="34" customFormat="false" ht="15" hidden="false" customHeight="false" outlineLevel="0" collapsed="false">
      <c r="A34" s="0" t="s">
        <v>36</v>
      </c>
      <c r="B34" s="13" t="n">
        <f aca="false">B31+B33</f>
        <v>4243</v>
      </c>
      <c r="C34" s="13" t="n">
        <f aca="false">C31+C33</f>
        <v>5312</v>
      </c>
      <c r="D34" s="13" t="n">
        <f aca="false">D31+D33</f>
        <v>5084</v>
      </c>
      <c r="E34" s="13" t="n">
        <f aca="false">E31+E33</f>
        <v>5733</v>
      </c>
      <c r="F34" s="13" t="n">
        <f aca="false">F31+F33</f>
        <v>6022</v>
      </c>
    </row>
    <row r="35" customFormat="false" ht="15" hidden="false" customHeight="false" outlineLevel="0" collapsed="false">
      <c r="A35" s="0" t="s">
        <v>37</v>
      </c>
      <c r="B35" s="16" t="n">
        <v>866</v>
      </c>
      <c r="C35" s="16" t="n">
        <v>908</v>
      </c>
      <c r="D35" s="16" t="n">
        <v>706</v>
      </c>
      <c r="E35" s="16" t="n">
        <v>611</v>
      </c>
      <c r="F35" s="16" t="n">
        <v>625</v>
      </c>
    </row>
    <row r="36" customFormat="false" ht="15" hidden="false" customHeight="false" outlineLevel="0" collapsed="false">
      <c r="A36" s="0" t="s">
        <v>38</v>
      </c>
      <c r="B36" s="16" t="n">
        <v>5044</v>
      </c>
      <c r="C36" s="16" t="n">
        <v>5400</v>
      </c>
      <c r="D36" s="16" t="n">
        <v>5107</v>
      </c>
      <c r="E36" s="16" t="n">
        <v>4843</v>
      </c>
      <c r="F36" s="16" t="n">
        <v>6800</v>
      </c>
    </row>
    <row r="38" customFormat="false" ht="15" hidden="false" customHeight="false" outlineLevel="0" collapsed="false">
      <c r="A38" s="3" t="s">
        <v>39</v>
      </c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15"/>
      <c r="B39" s="15" t="s">
        <v>40</v>
      </c>
      <c r="C39" s="15" t="s">
        <v>41</v>
      </c>
      <c r="D39" s="15" t="s">
        <v>42</v>
      </c>
      <c r="E39" s="15" t="s">
        <v>43</v>
      </c>
      <c r="F39" s="15" t="s">
        <v>44</v>
      </c>
    </row>
    <row r="40" customFormat="false" ht="15" hidden="false" customHeight="false" outlineLevel="0" collapsed="false">
      <c r="A40" s="0" t="s">
        <v>45</v>
      </c>
      <c r="B40" s="8" t="n">
        <v>0.04</v>
      </c>
      <c r="C40" s="8" t="n">
        <v>0.055</v>
      </c>
      <c r="D40" s="8" t="n">
        <v>0.06</v>
      </c>
      <c r="E40" s="8" t="n">
        <v>0.055</v>
      </c>
      <c r="F40" s="8" t="n">
        <v>0.05</v>
      </c>
    </row>
    <row r="41" customFormat="false" ht="15" hidden="false" customHeight="false" outlineLevel="0" collapsed="false">
      <c r="A41" s="0" t="s">
        <v>31</v>
      </c>
      <c r="B41" s="13" t="n">
        <f aca="false">F29*(1+B40)</f>
        <v>33068.88</v>
      </c>
      <c r="C41" s="13" t="n">
        <f aca="false">B41*(1+C40)</f>
        <v>34887.6684</v>
      </c>
      <c r="D41" s="13" t="n">
        <f aca="false">C41*(1+D40)</f>
        <v>36980.928504</v>
      </c>
      <c r="E41" s="13" t="n">
        <f aca="false">D41*(1+E40)</f>
        <v>39014.87957172</v>
      </c>
      <c r="F41" s="13" t="n">
        <f aca="false">E41*(1+F40)</f>
        <v>40965.623550306</v>
      </c>
    </row>
    <row r="42" customFormat="false" ht="15" hidden="false" customHeight="false" outlineLevel="0" collapsed="false">
      <c r="A42" s="0" t="s">
        <v>34</v>
      </c>
      <c r="B42" s="8" t="n">
        <v>0.175</v>
      </c>
      <c r="C42" s="8" t="n">
        <v>0.18</v>
      </c>
      <c r="D42" s="8" t="n">
        <v>0.185</v>
      </c>
      <c r="E42" s="8" t="n">
        <v>0.19</v>
      </c>
      <c r="F42" s="8" t="n">
        <v>0.195</v>
      </c>
    </row>
    <row r="43" customFormat="false" ht="15" hidden="false" customHeight="false" outlineLevel="0" collapsed="false">
      <c r="A43" s="0" t="s">
        <v>46</v>
      </c>
      <c r="B43" s="13" t="n">
        <f aca="false">B41*B42</f>
        <v>5787.054</v>
      </c>
      <c r="C43" s="13" t="n">
        <f aca="false">C41*C42</f>
        <v>6279.780312</v>
      </c>
      <c r="D43" s="13" t="n">
        <f aca="false">D41*D42</f>
        <v>6841.47177324</v>
      </c>
      <c r="E43" s="13" t="n">
        <f aca="false">E41*E42</f>
        <v>7412.8271186268</v>
      </c>
      <c r="F43" s="13" t="n">
        <f aca="false">F41*F42</f>
        <v>7988.29659230967</v>
      </c>
    </row>
    <row r="44" customFormat="false" ht="15" hidden="false" customHeight="false" outlineLevel="0" collapsed="false">
      <c r="A44" s="0" t="s">
        <v>47</v>
      </c>
      <c r="B44" s="18" t="n">
        <f aca="false">-B43*$B$11</f>
        <v>-1273.15188</v>
      </c>
      <c r="C44" s="18" t="n">
        <f aca="false">-C43*$B$11</f>
        <v>-1381.55166864</v>
      </c>
      <c r="D44" s="18" t="n">
        <f aca="false">-D43*$B$11</f>
        <v>-1505.1237901128</v>
      </c>
      <c r="E44" s="18" t="n">
        <f aca="false">-E43*$B$11</f>
        <v>-1630.8219660979</v>
      </c>
      <c r="F44" s="18" t="n">
        <f aca="false">-F43*$B$11</f>
        <v>-1757.42525030813</v>
      </c>
    </row>
    <row r="45" customFormat="false" ht="15" hidden="false" customHeight="false" outlineLevel="0" collapsed="false">
      <c r="A45" s="0" t="s">
        <v>48</v>
      </c>
      <c r="B45" s="13" t="n">
        <f aca="false">B43+B44</f>
        <v>4513.90212</v>
      </c>
      <c r="C45" s="13" t="n">
        <f aca="false">C43+C44</f>
        <v>4898.22864336</v>
      </c>
      <c r="D45" s="13" t="n">
        <f aca="false">D43+D44</f>
        <v>5336.3479831272</v>
      </c>
      <c r="E45" s="13" t="n">
        <f aca="false">E43+E44</f>
        <v>5782.00515252891</v>
      </c>
      <c r="F45" s="13" t="n">
        <f aca="false">F43+F44</f>
        <v>6230.87134200154</v>
      </c>
    </row>
    <row r="46" customFormat="false" ht="15" hidden="false" customHeight="false" outlineLevel="0" collapsed="false">
      <c r="A46" s="0" t="s">
        <v>49</v>
      </c>
      <c r="B46" s="8" t="n">
        <v>0.022</v>
      </c>
      <c r="C46" s="8" t="n">
        <v>0.022</v>
      </c>
      <c r="D46" s="8" t="n">
        <v>0.021</v>
      </c>
      <c r="E46" s="8" t="n">
        <v>0.021</v>
      </c>
      <c r="F46" s="8" t="n">
        <v>0.02</v>
      </c>
    </row>
    <row r="47" customFormat="false" ht="15" hidden="false" customHeight="false" outlineLevel="0" collapsed="false">
      <c r="A47" s="0" t="s">
        <v>50</v>
      </c>
      <c r="B47" s="13" t="n">
        <f aca="false">B41*B46</f>
        <v>727.51536</v>
      </c>
      <c r="C47" s="13" t="n">
        <f aca="false">C41*C46</f>
        <v>767.5287048</v>
      </c>
      <c r="D47" s="13" t="n">
        <f aca="false">D41*D46</f>
        <v>776.599498584</v>
      </c>
      <c r="E47" s="13" t="n">
        <f aca="false">E41*E46</f>
        <v>819.31247100612</v>
      </c>
      <c r="F47" s="13" t="n">
        <f aca="false">F41*F46</f>
        <v>819.31247100612</v>
      </c>
    </row>
    <row r="48" customFormat="false" ht="15" hidden="false" customHeight="false" outlineLevel="0" collapsed="false">
      <c r="A48" s="0" t="s">
        <v>51</v>
      </c>
      <c r="B48" s="8" t="n">
        <v>0.02</v>
      </c>
      <c r="C48" s="8" t="n">
        <v>0.02</v>
      </c>
      <c r="D48" s="8" t="n">
        <v>0.019</v>
      </c>
      <c r="E48" s="8" t="n">
        <v>0.019</v>
      </c>
      <c r="F48" s="8" t="n">
        <v>0.018</v>
      </c>
    </row>
    <row r="49" customFormat="false" ht="15" hidden="false" customHeight="false" outlineLevel="0" collapsed="false">
      <c r="A49" s="0" t="s">
        <v>52</v>
      </c>
      <c r="B49" s="18" t="n">
        <f aca="false">-B41*B48</f>
        <v>-661.3776</v>
      </c>
      <c r="C49" s="18" t="n">
        <f aca="false">-C41*C48</f>
        <v>-697.753368</v>
      </c>
      <c r="D49" s="18" t="n">
        <f aca="false">-D41*D48</f>
        <v>-702.637641576</v>
      </c>
      <c r="E49" s="18" t="n">
        <f aca="false">-E41*E48</f>
        <v>-741.28271186268</v>
      </c>
      <c r="F49" s="18" t="n">
        <f aca="false">-F41*F48</f>
        <v>-737.381223905508</v>
      </c>
    </row>
    <row r="50" customFormat="false" ht="15" hidden="false" customHeight="false" outlineLevel="0" collapsed="false">
      <c r="A50" s="0" t="s">
        <v>53</v>
      </c>
      <c r="B50" s="8" t="n">
        <v>0.03</v>
      </c>
      <c r="C50" s="8" t="n">
        <v>0.03</v>
      </c>
      <c r="D50" s="8" t="n">
        <v>0.03</v>
      </c>
      <c r="E50" s="8" t="n">
        <v>0.03</v>
      </c>
      <c r="F50" s="8" t="n">
        <v>0.03</v>
      </c>
    </row>
    <row r="51" customFormat="false" ht="15" hidden="false" customHeight="false" outlineLevel="0" collapsed="false">
      <c r="A51" s="0" t="s">
        <v>54</v>
      </c>
      <c r="B51" s="18" t="n">
        <f aca="false">-(B41-F29)*B50</f>
        <v>-38.1564000000001</v>
      </c>
      <c r="C51" s="18" t="n">
        <f aca="false">-(C41-B41)*C50</f>
        <v>-54.5636519999999</v>
      </c>
      <c r="D51" s="18" t="n">
        <f aca="false">-(D41-C41)*D50</f>
        <v>-62.79780312</v>
      </c>
      <c r="E51" s="18" t="n">
        <f aca="false">-(E41-D41)*E50</f>
        <v>-61.0185320316</v>
      </c>
      <c r="F51" s="18" t="n">
        <f aca="false">-(F41-E41)*F50</f>
        <v>-58.5223193575801</v>
      </c>
    </row>
    <row r="52" customFormat="false" ht="15" hidden="false" customHeight="false" outlineLevel="0" collapsed="false">
      <c r="A52" s="9" t="s">
        <v>55</v>
      </c>
      <c r="B52" s="19" t="n">
        <f aca="false">B45+B47+B49+B51</f>
        <v>4541.88348</v>
      </c>
      <c r="C52" s="19" t="n">
        <f aca="false">C45+C47+C49+C51</f>
        <v>4913.44032816</v>
      </c>
      <c r="D52" s="19" t="n">
        <f aca="false">D45+D47+D49+D51</f>
        <v>5347.5120370152</v>
      </c>
      <c r="E52" s="19" t="n">
        <f aca="false">E45+E47+E49+E51</f>
        <v>5799.01637964075</v>
      </c>
      <c r="F52" s="19" t="n">
        <f aca="false">F45+F47+F49+F51</f>
        <v>6254.28026974458</v>
      </c>
    </row>
    <row r="54" customFormat="false" ht="15" hidden="false" customHeight="false" outlineLevel="0" collapsed="false">
      <c r="A54" s="3" t="s">
        <v>56</v>
      </c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0" t="s">
        <v>57</v>
      </c>
      <c r="B55" s="20" t="n">
        <v>1</v>
      </c>
      <c r="C55" s="20" t="n">
        <v>2</v>
      </c>
      <c r="D55" s="20" t="n">
        <v>3</v>
      </c>
      <c r="E55" s="20" t="n">
        <v>4</v>
      </c>
      <c r="F55" s="20" t="n">
        <v>5</v>
      </c>
    </row>
    <row r="56" customFormat="false" ht="15" hidden="false" customHeight="false" outlineLevel="0" collapsed="false">
      <c r="A56" s="0" t="s">
        <v>58</v>
      </c>
      <c r="B56" s="21" t="n">
        <f aca="false">1/((1+$B$15)^B55)</f>
        <v>0.912129128296435</v>
      </c>
      <c r="C56" s="21" t="n">
        <f aca="false">1/((1+$B$15)^C55)</f>
        <v>0.831979546686814</v>
      </c>
      <c r="D56" s="21" t="n">
        <f aca="false">1/((1+$B$15)^D55)</f>
        <v>0.758872778679906</v>
      </c>
      <c r="E56" s="21" t="n">
        <f aca="false">1/((1+$B$15)^E55)</f>
        <v>0.692189966105196</v>
      </c>
      <c r="F56" s="21" t="n">
        <f aca="false">1/((1+$B$15)^F55)</f>
        <v>0.631366630399071</v>
      </c>
    </row>
    <row r="57" customFormat="false" ht="15" hidden="false" customHeight="false" outlineLevel="0" collapsed="false">
      <c r="A57" s="0" t="s">
        <v>59</v>
      </c>
      <c r="B57" s="13" t="n">
        <f aca="false">B52*B56</f>
        <v>4142.78421943638</v>
      </c>
      <c r="C57" s="13" t="n">
        <f aca="false">C52*C56</f>
        <v>4087.88185689527</v>
      </c>
      <c r="D57" s="13" t="n">
        <f aca="false">D52*D56</f>
        <v>4058.08131855397</v>
      </c>
      <c r="E57" s="13" t="n">
        <f aca="false">E52*E56</f>
        <v>4014.02095126701</v>
      </c>
      <c r="F57" s="13" t="n">
        <f aca="false">F52*F56</f>
        <v>3948.74385948003</v>
      </c>
    </row>
    <row r="59" customFormat="false" ht="15" hidden="false" customHeight="false" outlineLevel="0" collapsed="false">
      <c r="A59" s="9" t="s">
        <v>60</v>
      </c>
      <c r="B59" s="22" t="n">
        <f aca="false">SUM(B57:F57)</f>
        <v>20251.5122056326</v>
      </c>
    </row>
    <row r="61" customFormat="false" ht="15" hidden="false" customHeight="false" outlineLevel="0" collapsed="false">
      <c r="A61" s="23" t="s">
        <v>61</v>
      </c>
      <c r="B61" s="23"/>
      <c r="C61" s="23"/>
      <c r="D61" s="23"/>
    </row>
    <row r="62" customFormat="false" ht="15" hidden="false" customHeight="false" outlineLevel="0" collapsed="false">
      <c r="A62" s="0" t="s">
        <v>62</v>
      </c>
      <c r="B62" s="24" t="n">
        <f aca="false">F52</f>
        <v>6254.28026974458</v>
      </c>
    </row>
    <row r="63" customFormat="false" ht="15" hidden="false" customHeight="false" outlineLevel="0" collapsed="false">
      <c r="A63" s="0" t="s">
        <v>63</v>
      </c>
      <c r="B63" s="24" t="n">
        <f aca="false">B62*(1+$B$16)/($B$15-$B$16)</f>
        <v>89865.3874129218</v>
      </c>
    </row>
    <row r="64" customFormat="false" ht="15" hidden="false" customHeight="false" outlineLevel="0" collapsed="false">
      <c r="A64" s="0" t="s">
        <v>64</v>
      </c>
      <c r="B64" s="22" t="n">
        <f aca="false">B63/(1+$B$15)^5</f>
        <v>56738.0068404036</v>
      </c>
    </row>
    <row r="66" customFormat="false" ht="15" hidden="false" customHeight="false" outlineLevel="0" collapsed="false">
      <c r="A66" s="3" t="s">
        <v>65</v>
      </c>
      <c r="B66" s="3"/>
      <c r="C66" s="3"/>
      <c r="D66" s="3"/>
    </row>
    <row r="67" customFormat="false" ht="15" hidden="false" customHeight="false" outlineLevel="0" collapsed="false">
      <c r="A67" s="0" t="s">
        <v>66</v>
      </c>
      <c r="B67" s="24" t="n">
        <f aca="false">B59</f>
        <v>20251.5122056326</v>
      </c>
    </row>
    <row r="68" customFormat="false" ht="15" hidden="false" customHeight="false" outlineLevel="0" collapsed="false">
      <c r="A68" s="0" t="s">
        <v>64</v>
      </c>
      <c r="B68" s="24" t="n">
        <f aca="false">B64</f>
        <v>56738.0068404036</v>
      </c>
    </row>
    <row r="69" customFormat="false" ht="15" hidden="false" customHeight="false" outlineLevel="0" collapsed="false">
      <c r="A69" s="9" t="s">
        <v>67</v>
      </c>
      <c r="B69" s="25" t="n">
        <f aca="false">B67+B68</f>
        <v>76989.5190460362</v>
      </c>
    </row>
    <row r="70" customFormat="false" ht="15" hidden="false" customHeight="false" outlineLevel="0" collapsed="false">
      <c r="A70" s="0" t="s">
        <v>68</v>
      </c>
      <c r="B70" s="26" t="n">
        <f aca="false">-B24</f>
        <v>-600</v>
      </c>
    </row>
    <row r="71" customFormat="false" ht="15" hidden="false" customHeight="false" outlineLevel="0" collapsed="false">
      <c r="A71" s="9" t="s">
        <v>69</v>
      </c>
      <c r="B71" s="25" t="n">
        <f aca="false">B69+B70</f>
        <v>76389.5190460362</v>
      </c>
    </row>
    <row r="72" customFormat="false" ht="15" hidden="false" customHeight="false" outlineLevel="0" collapsed="false">
      <c r="A72" s="0" t="s">
        <v>70</v>
      </c>
      <c r="B72" s="27" t="n">
        <f aca="false">B20</f>
        <v>936</v>
      </c>
    </row>
    <row r="73" customFormat="false" ht="15" hidden="false" customHeight="false" outlineLevel="0" collapsed="false">
      <c r="A73" s="28" t="s">
        <v>71</v>
      </c>
      <c r="B73" s="29" t="n">
        <f aca="false">B71/B72</f>
        <v>81.6127340235429</v>
      </c>
    </row>
    <row r="74" customFormat="false" ht="15" hidden="false" customHeight="false" outlineLevel="0" collapsed="false">
      <c r="A74" s="0" t="s">
        <v>18</v>
      </c>
      <c r="B74" s="30" t="n">
        <f aca="false">B19</f>
        <v>61</v>
      </c>
    </row>
    <row r="75" customFormat="false" ht="15" hidden="false" customHeight="false" outlineLevel="0" collapsed="false">
      <c r="A75" s="9" t="s">
        <v>72</v>
      </c>
      <c r="B75" s="31" t="n">
        <f aca="false">(B73-B74)/B74</f>
        <v>0.337913672517097</v>
      </c>
    </row>
    <row r="77" customFormat="false" ht="15" hidden="false" customHeight="false" outlineLevel="0" collapsed="false">
      <c r="A77" s="0" t="s">
        <v>73</v>
      </c>
      <c r="B77" s="32" t="n">
        <f aca="false">B68/B69</f>
        <v>0.736957543616773</v>
      </c>
    </row>
    <row r="78" customFormat="false" ht="15" hidden="false" customHeight="false" outlineLevel="0" collapsed="false">
      <c r="A78" s="0" t="s">
        <v>74</v>
      </c>
      <c r="B78" s="33" t="n">
        <f aca="false">B63/(F43+F47)</f>
        <v>10.2031535195194</v>
      </c>
    </row>
  </sheetData>
  <mergeCells count="8">
    <mergeCell ref="A1:N1"/>
    <mergeCell ref="A5:D5"/>
    <mergeCell ref="A18:D18"/>
    <mergeCell ref="A27:G27"/>
    <mergeCell ref="A38:G38"/>
    <mergeCell ref="A54:G54"/>
    <mergeCell ref="A61:D61"/>
    <mergeCell ref="A66: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34" t="s">
        <v>75</v>
      </c>
      <c r="B1" s="34"/>
      <c r="C1" s="34"/>
      <c r="D1" s="34"/>
      <c r="E1" s="34"/>
      <c r="F1" s="34"/>
      <c r="G1" s="34"/>
      <c r="H1" s="34"/>
    </row>
    <row r="3" customFormat="false" ht="15" hidden="false" customHeight="false" outlineLevel="0" collapsed="false">
      <c r="A3" s="23" t="s">
        <v>76</v>
      </c>
      <c r="B3" s="23"/>
      <c r="C3" s="23"/>
      <c r="D3" s="23"/>
      <c r="E3" s="23"/>
      <c r="F3" s="23"/>
      <c r="G3" s="23"/>
    </row>
    <row r="5" customFormat="false" ht="15" hidden="false" customHeight="false" outlineLevel="0" collapsed="false">
      <c r="A5" s="35" t="s">
        <v>77</v>
      </c>
      <c r="B5" s="36" t="n">
        <v>0.015</v>
      </c>
      <c r="C5" s="36" t="n">
        <v>0.02</v>
      </c>
      <c r="D5" s="36" t="n">
        <v>0.025</v>
      </c>
      <c r="E5" s="36" t="n">
        <v>0.03</v>
      </c>
      <c r="F5" s="36" t="n">
        <v>0.035</v>
      </c>
    </row>
    <row r="6" customFormat="false" ht="15" hidden="false" customHeight="false" outlineLevel="0" collapsed="false">
      <c r="A6" s="36" t="n">
        <v>0.07</v>
      </c>
      <c r="B6" s="30" t="n">
        <f aca="false">(('DCF Model'!B59+'DCF Model'!F52*(1+0.015)/(0.07-0.015)/(1+0.07)^5)-'DCF Model'!B24)/'DCF Model'!B20</f>
        <v>108.914856200063</v>
      </c>
      <c r="C6" s="30" t="n">
        <f aca="false">(('DCF Model'!B59+'DCF Model'!F52*(1+0.02)/(0.07-0.02)/(1+0.07)^5)-'DCF Model'!B24)/'DCF Model'!B20</f>
        <v>118.183233186449</v>
      </c>
      <c r="D6" s="30" t="n">
        <f aca="false">(('DCF Model'!B59+'DCF Model'!F52*(1+0.025)/(0.07-0.025)/(1+0.07)^5)-'DCF Model'!B24)/'DCF Model'!B20</f>
        <v>129.511249503143</v>
      </c>
      <c r="E6" s="30" t="n">
        <f aca="false">(('DCF Model'!B59+'DCF Model'!F52*(1+0.03)/(0.07-0.03)/(1+0.07)^5)-'DCF Model'!B24)/'DCF Model'!B20</f>
        <v>143.67126989901</v>
      </c>
      <c r="F6" s="30" t="n">
        <f aca="false">(('DCF Model'!B59+'DCF Model'!F52*(1+0.035)/(0.07-0.035)/(1+0.07)^5)-'DCF Model'!B24)/'DCF Model'!B20</f>
        <v>161.877010407982</v>
      </c>
    </row>
    <row r="7" customFormat="false" ht="15" hidden="false" customHeight="false" outlineLevel="0" collapsed="false">
      <c r="A7" s="36" t="n">
        <v>0.08</v>
      </c>
      <c r="B7" s="30" t="n">
        <f aca="false">(('DCF Model'!B59+'DCF Model'!F52*(1+0.015)/(0.08-0.015)/(1+0.08)^5)-'DCF Model'!B24)/'DCF Model'!B20</f>
        <v>92.0078028502782</v>
      </c>
      <c r="C7" s="30" t="n">
        <f aca="false">(('DCF Model'!B59+'DCF Model'!F52*(1+0.02)/(0.08-0.02)/(1+0.08)^5)-'DCF Model'!B24)/'DCF Model'!B20</f>
        <v>98.3044863726568</v>
      </c>
      <c r="D7" s="30" t="n">
        <f aca="false">(('DCF Model'!B59+'DCF Model'!F52*(1+0.025)/(0.08-0.025)/(1+0.08)^5)-'DCF Model'!B24)/'DCF Model'!B20</f>
        <v>105.746021444559</v>
      </c>
      <c r="E7" s="30" t="n">
        <f aca="false">(('DCF Model'!B59+'DCF Model'!F52*(1+0.03)/(0.08-0.03)/(1+0.08)^5)-'DCF Model'!B24)/'DCF Model'!B20</f>
        <v>114.675863530841</v>
      </c>
      <c r="F7" s="30" t="n">
        <f aca="false">(('DCF Model'!B59+'DCF Model'!F52*(1+0.035)/(0.08-0.035)/(1+0.08)^5)-'DCF Model'!B24)/'DCF Model'!B20</f>
        <v>125.59011496963</v>
      </c>
    </row>
    <row r="8" customFormat="false" ht="15" hidden="false" customHeight="false" outlineLevel="0" collapsed="false">
      <c r="A8" s="36" t="n">
        <v>0.09</v>
      </c>
      <c r="B8" s="30" t="n">
        <f aca="false">(('DCF Model'!B59+'DCF Model'!F52*(1+0.015)/(0.09-0.015)/(1+0.09)^5)-'DCF Model'!B24)/'DCF Model'!B20</f>
        <v>79.767653235415</v>
      </c>
      <c r="C8" s="30" t="n">
        <f aca="false">(('DCF Model'!B59+'DCF Model'!F52*(1+0.02)/(0.09-0.02)/(1+0.09)^5)-'DCF Model'!B24)/'DCF Model'!B20</f>
        <v>84.2758846356538</v>
      </c>
      <c r="D8" s="37" t="n">
        <f aca="false">(('DCF Model'!B59+'DCF Model'!F52*(1+0.025)/(0.09-0.025)/(1+0.09)^5)-'DCF Model'!B24)/'DCF Model'!B20</f>
        <v>89.4776900974678</v>
      </c>
      <c r="E8" s="30" t="n">
        <f aca="false">(('DCF Model'!B59+'DCF Model'!F52*(1+0.03)/(0.09-0.03)/(1+0.09)^5)-'DCF Model'!B24)/'DCF Model'!B20</f>
        <v>95.5464631362508</v>
      </c>
      <c r="F8" s="30" t="n">
        <f aca="false">(('DCF Model'!B59+'DCF Model'!F52*(1+0.035)/(0.09-0.035)/(1+0.09)^5)-'DCF Model'!B24)/'DCF Model'!B20</f>
        <v>102.718649454813</v>
      </c>
    </row>
    <row r="9" customFormat="false" ht="15" hidden="false" customHeight="false" outlineLevel="0" collapsed="false">
      <c r="A9" s="36" t="n">
        <v>0.1</v>
      </c>
      <c r="B9" s="30" t="n">
        <f aca="false">(('DCF Model'!B59+'DCF Model'!F52*(1+0.015)/(0.1-0.015)/(1+0.1)^5)-'DCF Model'!B24)/'DCF Model'!B20</f>
        <v>70.5385338995655</v>
      </c>
      <c r="C9" s="30" t="n">
        <f aca="false">(('DCF Model'!B59+'DCF Model'!F52*(1+0.02)/(0.1-0.02)/(1+0.1)^5)-'DCF Model'!B24)/'DCF Model'!B20</f>
        <v>73.8943012275726</v>
      </c>
      <c r="D9" s="30" t="n">
        <f aca="false">(('DCF Model'!B59+'DCF Model'!F52*(1+0.025)/(0.1-0.025)/(1+0.1)^5)-'DCF Model'!B24)/'DCF Model'!B20</f>
        <v>77.6975041993139</v>
      </c>
      <c r="E9" s="30" t="n">
        <f aca="false">(('DCF Model'!B59+'DCF Model'!F52*(1+0.03)/(0.1-0.03)/(1+0.1)^5)-'DCF Model'!B24)/'DCF Model'!B20</f>
        <v>82.0440218813039</v>
      </c>
      <c r="F9" s="30" t="n">
        <f aca="false">(('DCF Model'!B59+'DCF Model'!F52*(1+0.035)/(0.1-0.035)/(1+0.1)^5)-'DCF Model'!B24)/'DCF Model'!B20</f>
        <v>87.0592345912924</v>
      </c>
    </row>
    <row r="10" customFormat="false" ht="15" hidden="false" customHeight="false" outlineLevel="0" collapsed="false">
      <c r="A10" s="36" t="n">
        <v>0.11</v>
      </c>
      <c r="B10" s="30" t="n">
        <f aca="false">(('DCF Model'!B59+'DCF Model'!F52*(1+0.015)/(0.11-0.015)/(1+0.11)^5)-'DCF Model'!B24)/'DCF Model'!B20</f>
        <v>63.362334184069</v>
      </c>
      <c r="C10" s="30" t="n">
        <f aca="false">(('DCF Model'!B59+'DCF Model'!F52*(1+0.02)/(0.11-0.02)/(1+0.11)^5)-'DCF Model'!B24)/'DCF Model'!B20</f>
        <v>65.9363633580236</v>
      </c>
      <c r="D10" s="30" t="n">
        <f aca="false">(('DCF Model'!B59+'DCF Model'!F52*(1+0.025)/(0.11-0.025)/(1+0.11)^5)-'DCF Model'!B24)/'DCF Model'!B20</f>
        <v>68.8132194936198</v>
      </c>
      <c r="E10" s="30" t="n">
        <f aca="false">(('DCF Model'!B59+'DCF Model'!F52*(1+0.03)/(0.11-0.03)/(1+0.11)^5)-'DCF Model'!B24)/'DCF Model'!B20</f>
        <v>72.0496826461656</v>
      </c>
      <c r="F10" s="30" t="n">
        <f aca="false">(('DCF Model'!B59+'DCF Model'!F52*(1+0.035)/(0.11-0.035)/(1+0.11)^5)-'DCF Model'!B24)/'DCF Model'!B20</f>
        <v>75.7176742190509</v>
      </c>
    </row>
    <row r="12" customFormat="false" ht="15" hidden="false" customHeight="false" outlineLevel="0" collapsed="false">
      <c r="A12" s="38" t="s">
        <v>78</v>
      </c>
    </row>
    <row r="15" customFormat="false" ht="15" hidden="false" customHeight="false" outlineLevel="0" collapsed="false">
      <c r="A15" s="23" t="s">
        <v>79</v>
      </c>
      <c r="B15" s="23"/>
      <c r="C15" s="23"/>
      <c r="D15" s="23"/>
      <c r="E15" s="23"/>
      <c r="F15" s="23"/>
      <c r="G15" s="23"/>
    </row>
    <row r="17" customFormat="false" ht="15" hidden="false" customHeight="false" outlineLevel="0" collapsed="false">
      <c r="A17" s="35" t="s">
        <v>80</v>
      </c>
      <c r="B17" s="36" t="n">
        <v>0.03</v>
      </c>
      <c r="C17" s="36" t="n">
        <v>0.04</v>
      </c>
      <c r="D17" s="36" t="n">
        <v>0.05</v>
      </c>
      <c r="E17" s="36" t="n">
        <v>0.06</v>
      </c>
      <c r="F17" s="36" t="n">
        <v>0.07</v>
      </c>
    </row>
    <row r="18" customFormat="false" ht="15" hidden="false" customHeight="false" outlineLevel="0" collapsed="false">
      <c r="A18" s="36" t="n">
        <v>0.16</v>
      </c>
      <c r="B18" s="30" t="n">
        <v>68.36</v>
      </c>
      <c r="C18" s="30" t="n">
        <v>71.39</v>
      </c>
      <c r="D18" s="30" t="n">
        <v>74.53</v>
      </c>
      <c r="E18" s="30" t="n">
        <v>77.79</v>
      </c>
      <c r="F18" s="30" t="n">
        <v>81.17</v>
      </c>
    </row>
    <row r="19" customFormat="false" ht="15" hidden="false" customHeight="false" outlineLevel="0" collapsed="false">
      <c r="A19" s="36" t="n">
        <v>0.175</v>
      </c>
      <c r="B19" s="30" t="n">
        <v>74.83</v>
      </c>
      <c r="C19" s="30" t="n">
        <v>78.14</v>
      </c>
      <c r="D19" s="30" t="n">
        <v>81.58</v>
      </c>
      <c r="E19" s="30" t="n">
        <v>85.15</v>
      </c>
      <c r="F19" s="30" t="n">
        <v>88.84</v>
      </c>
    </row>
    <row r="20" customFormat="false" ht="15" hidden="false" customHeight="false" outlineLevel="0" collapsed="false">
      <c r="A20" s="36" t="n">
        <v>0.19</v>
      </c>
      <c r="B20" s="30" t="n">
        <v>81.3</v>
      </c>
      <c r="C20" s="30" t="n">
        <v>84.9</v>
      </c>
      <c r="D20" s="37" t="n">
        <v>88.63</v>
      </c>
      <c r="E20" s="30" t="n">
        <v>92.5</v>
      </c>
      <c r="F20" s="30" t="n">
        <v>96.51</v>
      </c>
    </row>
    <row r="21" customFormat="false" ht="15" hidden="false" customHeight="false" outlineLevel="0" collapsed="false">
      <c r="A21" s="36" t="n">
        <v>0.205</v>
      </c>
      <c r="B21" s="30" t="n">
        <v>87.76</v>
      </c>
      <c r="C21" s="30" t="n">
        <v>91.65</v>
      </c>
      <c r="D21" s="30" t="n">
        <v>95.68</v>
      </c>
      <c r="E21" s="30" t="n">
        <v>99.85</v>
      </c>
      <c r="F21" s="30" t="n">
        <v>104.18</v>
      </c>
    </row>
    <row r="22" customFormat="false" ht="15" hidden="false" customHeight="false" outlineLevel="0" collapsed="false">
      <c r="A22" s="36" t="n">
        <v>0.22</v>
      </c>
      <c r="B22" s="30" t="n">
        <v>94.23</v>
      </c>
      <c r="C22" s="30" t="n">
        <v>98.4</v>
      </c>
      <c r="D22" s="30" t="n">
        <v>102.73</v>
      </c>
      <c r="E22" s="30" t="n">
        <v>107.21</v>
      </c>
      <c r="F22" s="30" t="n">
        <v>111.85</v>
      </c>
    </row>
  </sheetData>
  <mergeCells count="3">
    <mergeCell ref="A1:H1"/>
    <mergeCell ref="A3:G3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19.7" hidden="false" customHeight="false" outlineLevel="0" collapsed="false">
      <c r="A1" s="1" t="s">
        <v>81</v>
      </c>
      <c r="B1" s="1"/>
      <c r="C1" s="1"/>
      <c r="D1" s="1"/>
      <c r="E1" s="1"/>
    </row>
    <row r="3" customFormat="false" ht="15" hidden="false" customHeight="false" outlineLevel="0" collapsed="false">
      <c r="A3" s="3" t="s">
        <v>82</v>
      </c>
      <c r="B3" s="3"/>
      <c r="C3" s="3"/>
      <c r="D3" s="3"/>
      <c r="E3" s="3"/>
    </row>
    <row r="4" customFormat="false" ht="15" hidden="false" customHeight="false" outlineLevel="0" collapsed="false">
      <c r="A4" s="9" t="s">
        <v>83</v>
      </c>
      <c r="B4" s="39" t="s">
        <v>84</v>
      </c>
    </row>
    <row r="5" customFormat="false" ht="15" hidden="false" customHeight="false" outlineLevel="0" collapsed="false">
      <c r="A5" s="9" t="s">
        <v>85</v>
      </c>
      <c r="B5" s="39" t="s">
        <v>86</v>
      </c>
    </row>
    <row r="6" customFormat="false" ht="15" hidden="false" customHeight="false" outlineLevel="0" collapsed="false">
      <c r="A6" s="9" t="s">
        <v>87</v>
      </c>
      <c r="B6" s="39" t="s">
        <v>88</v>
      </c>
    </row>
    <row r="7" customFormat="false" ht="15" hidden="false" customHeight="false" outlineLevel="0" collapsed="false">
      <c r="A7" s="9" t="s">
        <v>89</v>
      </c>
      <c r="B7" s="39" t="s">
        <v>90</v>
      </c>
    </row>
    <row r="8" customFormat="false" ht="15" hidden="false" customHeight="false" outlineLevel="0" collapsed="false">
      <c r="A8" s="9" t="s">
        <v>91</v>
      </c>
      <c r="B8" s="39" t="s">
        <v>92</v>
      </c>
    </row>
    <row r="9" customFormat="false" ht="15" hidden="false" customHeight="false" outlineLevel="0" collapsed="false">
      <c r="A9" s="9" t="s">
        <v>93</v>
      </c>
      <c r="B9" s="39" t="s">
        <v>94</v>
      </c>
    </row>
    <row r="10" customFormat="false" ht="15" hidden="false" customHeight="false" outlineLevel="0" collapsed="false">
      <c r="A10" s="9" t="s">
        <v>95</v>
      </c>
      <c r="B10" s="39" t="s">
        <v>96</v>
      </c>
    </row>
    <row r="11" customFormat="false" ht="15" hidden="false" customHeight="false" outlineLevel="0" collapsed="false">
      <c r="A11" s="9" t="s">
        <v>97</v>
      </c>
      <c r="B11" s="39" t="s">
        <v>98</v>
      </c>
    </row>
    <row r="12" customFormat="false" ht="15" hidden="false" customHeight="false" outlineLevel="0" collapsed="false">
      <c r="A12" s="9" t="s">
        <v>99</v>
      </c>
      <c r="B12" s="39" t="s">
        <v>100</v>
      </c>
    </row>
    <row r="13" customFormat="false" ht="15" hidden="false" customHeight="false" outlineLevel="0" collapsed="false">
      <c r="A13" s="9" t="s">
        <v>101</v>
      </c>
      <c r="B13" s="39" t="s">
        <v>102</v>
      </c>
    </row>
    <row r="16" customFormat="false" ht="15" hidden="false" customHeight="false" outlineLevel="0" collapsed="false">
      <c r="A16" s="3" t="s">
        <v>103</v>
      </c>
      <c r="B16" s="3"/>
      <c r="C16" s="3"/>
      <c r="D16" s="3"/>
      <c r="E16" s="3"/>
    </row>
    <row r="17" customFormat="false" ht="15" hidden="false" customHeight="false" outlineLevel="0" collapsed="false">
      <c r="A17" s="9" t="s">
        <v>104</v>
      </c>
      <c r="B17" s="39" t="s">
        <v>105</v>
      </c>
    </row>
    <row r="18" customFormat="false" ht="15" hidden="false" customHeight="false" outlineLevel="0" collapsed="false">
      <c r="A18" s="9" t="s">
        <v>106</v>
      </c>
      <c r="B18" s="39" t="s">
        <v>107</v>
      </c>
    </row>
    <row r="19" customFormat="false" ht="15" hidden="false" customHeight="false" outlineLevel="0" collapsed="false">
      <c r="A19" s="9" t="s">
        <v>108</v>
      </c>
      <c r="B19" s="39" t="s">
        <v>109</v>
      </c>
    </row>
    <row r="20" customFormat="false" ht="15" hidden="false" customHeight="false" outlineLevel="0" collapsed="false">
      <c r="A20" s="9" t="s">
        <v>110</v>
      </c>
      <c r="B20" s="39" t="s">
        <v>111</v>
      </c>
    </row>
    <row r="21" customFormat="false" ht="15" hidden="false" customHeight="false" outlineLevel="0" collapsed="false">
      <c r="A21" s="9" t="s">
        <v>112</v>
      </c>
      <c r="B21" s="39" t="s">
        <v>113</v>
      </c>
    </row>
    <row r="22" customFormat="false" ht="15" hidden="false" customHeight="false" outlineLevel="0" collapsed="false">
      <c r="A22" s="9" t="s">
        <v>114</v>
      </c>
      <c r="B22" s="39" t="s">
        <v>115</v>
      </c>
    </row>
    <row r="25" customFormat="false" ht="15" hidden="false" customHeight="false" outlineLevel="0" collapsed="false">
      <c r="A25" s="3" t="s">
        <v>116</v>
      </c>
      <c r="B25" s="3"/>
      <c r="C25" s="3"/>
      <c r="D25" s="3"/>
      <c r="E25" s="3"/>
    </row>
    <row r="26" customFormat="false" ht="15" hidden="false" customHeight="false" outlineLevel="0" collapsed="false">
      <c r="A26" s="9" t="s">
        <v>117</v>
      </c>
      <c r="B26" s="39" t="s">
        <v>118</v>
      </c>
    </row>
    <row r="27" customFormat="false" ht="15" hidden="false" customHeight="false" outlineLevel="0" collapsed="false">
      <c r="A27" s="9" t="s">
        <v>119</v>
      </c>
      <c r="B27" s="39" t="s">
        <v>120</v>
      </c>
    </row>
    <row r="28" customFormat="false" ht="15" hidden="false" customHeight="false" outlineLevel="0" collapsed="false">
      <c r="A28" s="9" t="s">
        <v>121</v>
      </c>
      <c r="B28" s="39" t="s">
        <v>122</v>
      </c>
    </row>
    <row r="29" customFormat="false" ht="15" hidden="false" customHeight="false" outlineLevel="0" collapsed="false">
      <c r="A29" s="9" t="s">
        <v>123</v>
      </c>
      <c r="B29" s="39" t="s">
        <v>124</v>
      </c>
    </row>
    <row r="30" customFormat="false" ht="15" hidden="false" customHeight="false" outlineLevel="0" collapsed="false">
      <c r="A30" s="9" t="s">
        <v>125</v>
      </c>
      <c r="B30" s="39" t="s">
        <v>126</v>
      </c>
    </row>
    <row r="31" customFormat="false" ht="15" hidden="false" customHeight="false" outlineLevel="0" collapsed="false">
      <c r="A31" s="9" t="s">
        <v>127</v>
      </c>
      <c r="B31" s="39" t="s">
        <v>128</v>
      </c>
    </row>
    <row r="34" customFormat="false" ht="15" hidden="false" customHeight="false" outlineLevel="0" collapsed="false">
      <c r="A34" s="3" t="s">
        <v>129</v>
      </c>
      <c r="B34" s="3"/>
      <c r="C34" s="3"/>
      <c r="D34" s="3"/>
      <c r="E34" s="3"/>
    </row>
    <row r="35" customFormat="false" ht="15" hidden="false" customHeight="false" outlineLevel="0" collapsed="false">
      <c r="A35" s="40" t="s">
        <v>130</v>
      </c>
    </row>
    <row r="36" customFormat="false" ht="15" hidden="false" customHeight="false" outlineLevel="0" collapsed="false">
      <c r="B36" s="0" t="s">
        <v>131</v>
      </c>
    </row>
    <row r="37" customFormat="false" ht="15" hidden="false" customHeight="false" outlineLevel="0" collapsed="false">
      <c r="B37" s="0" t="s">
        <v>132</v>
      </c>
    </row>
    <row r="38" customFormat="false" ht="15" hidden="false" customHeight="false" outlineLevel="0" collapsed="false">
      <c r="B38" s="0" t="s">
        <v>133</v>
      </c>
    </row>
    <row r="39" customFormat="false" ht="15" hidden="false" customHeight="false" outlineLevel="0" collapsed="false">
      <c r="B39" s="0" t="s">
        <v>134</v>
      </c>
    </row>
    <row r="40" customFormat="false" ht="15" hidden="false" customHeight="false" outlineLevel="0" collapsed="false">
      <c r="B40" s="0" t="s">
        <v>135</v>
      </c>
    </row>
    <row r="41" customFormat="false" ht="15" hidden="false" customHeight="false" outlineLevel="0" collapsed="false">
      <c r="A41" s="40" t="s">
        <v>136</v>
      </c>
    </row>
    <row r="42" customFormat="false" ht="15" hidden="false" customHeight="false" outlineLevel="0" collapsed="false">
      <c r="B42" s="0" t="s">
        <v>137</v>
      </c>
    </row>
    <row r="43" customFormat="false" ht="15" hidden="false" customHeight="false" outlineLevel="0" collapsed="false">
      <c r="B43" s="0" t="s">
        <v>138</v>
      </c>
    </row>
    <row r="44" customFormat="false" ht="15" hidden="false" customHeight="false" outlineLevel="0" collapsed="false">
      <c r="B44" s="0" t="s">
        <v>139</v>
      </c>
    </row>
    <row r="45" customFormat="false" ht="15" hidden="false" customHeight="false" outlineLevel="0" collapsed="false">
      <c r="B45" s="0" t="s">
        <v>140</v>
      </c>
    </row>
    <row r="46" customFormat="false" ht="15" hidden="false" customHeight="false" outlineLevel="0" collapsed="false">
      <c r="B46" s="0" t="s">
        <v>141</v>
      </c>
    </row>
    <row r="47" customFormat="false" ht="15" hidden="false" customHeight="false" outlineLevel="0" collapsed="false">
      <c r="A47" s="40" t="s">
        <v>142</v>
      </c>
    </row>
    <row r="48" customFormat="false" ht="15" hidden="false" customHeight="false" outlineLevel="0" collapsed="false">
      <c r="B48" s="0" t="s">
        <v>143</v>
      </c>
    </row>
    <row r="49" customFormat="false" ht="15" hidden="false" customHeight="false" outlineLevel="0" collapsed="false">
      <c r="B49" s="0" t="s">
        <v>144</v>
      </c>
    </row>
    <row r="50" customFormat="false" ht="15" hidden="false" customHeight="false" outlineLevel="0" collapsed="false">
      <c r="B50" s="0" t="s">
        <v>145</v>
      </c>
    </row>
    <row r="52" customFormat="false" ht="15" hidden="false" customHeight="false" outlineLevel="0" collapsed="false">
      <c r="A52" s="3" t="s">
        <v>146</v>
      </c>
      <c r="B52" s="3"/>
      <c r="C52" s="3"/>
      <c r="D52" s="3"/>
      <c r="E52" s="3"/>
    </row>
    <row r="53" customFormat="false" ht="15" hidden="false" customHeight="false" outlineLevel="0" collapsed="false">
      <c r="A53" s="9" t="s">
        <v>147</v>
      </c>
      <c r="B53" s="39" t="s">
        <v>148</v>
      </c>
    </row>
    <row r="54" customFormat="false" ht="15" hidden="false" customHeight="false" outlineLevel="0" collapsed="false">
      <c r="A54" s="9" t="s">
        <v>149</v>
      </c>
      <c r="B54" s="39" t="s">
        <v>150</v>
      </c>
    </row>
    <row r="55" customFormat="false" ht="15" hidden="false" customHeight="false" outlineLevel="0" collapsed="false">
      <c r="A55" s="9" t="s">
        <v>151</v>
      </c>
      <c r="B55" s="39" t="s">
        <v>152</v>
      </c>
    </row>
    <row r="56" customFormat="false" ht="15" hidden="false" customHeight="false" outlineLevel="0" collapsed="false">
      <c r="A56" s="9" t="s">
        <v>153</v>
      </c>
      <c r="B56" s="39" t="s">
        <v>154</v>
      </c>
    </row>
    <row r="57" customFormat="false" ht="15" hidden="false" customHeight="false" outlineLevel="0" collapsed="false">
      <c r="A57" s="9" t="s">
        <v>155</v>
      </c>
      <c r="B57" s="39" t="s">
        <v>156</v>
      </c>
    </row>
    <row r="58" customFormat="false" ht="15" hidden="false" customHeight="false" outlineLevel="0" collapsed="false">
      <c r="A58" s="9" t="s">
        <v>157</v>
      </c>
      <c r="B58" s="39" t="s">
        <v>158</v>
      </c>
    </row>
  </sheetData>
  <mergeCells count="6">
    <mergeCell ref="A1:E1"/>
    <mergeCell ref="A3:E3"/>
    <mergeCell ref="A16:E16"/>
    <mergeCell ref="A25:E25"/>
    <mergeCell ref="A34:E34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2025-12-10T19:50:01Z</dcterms:created>
  <dc:creator>openpyxl</dc:creator>
  <dc:description/>
  <dc:language>en-US</dc:language>
  <cp:lastModifiedBy/>
  <dcterms:modified xsi:type="dcterms:W3CDTF">2025-12-10T19:50:01Z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