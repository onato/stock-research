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 Analysis" sheetId="2" r:id="rId2"/>
    <sheet name="Sensitivity" sheetId="3" r:id="rId3"/>
    <sheet name="Historical" sheetId="4" r:id="rId4"/>
  </sheets>
  <calcPr calcId="124519" fullCalcOnLoad="1"/>
</workbook>
</file>

<file path=xl/sharedStrings.xml><?xml version="1.0" encoding="utf-8"?>
<sst xmlns="http://schemas.openxmlformats.org/spreadsheetml/2006/main" count="101" uniqueCount="88">
  <si>
    <t>PYPL DCF Valuation Model</t>
  </si>
  <si>
    <t>Gray cells are INPUTS - adjust to see valuation change</t>
  </si>
  <si>
    <t>Valuation Date: 2026-01-22</t>
  </si>
  <si>
    <t>KEY INPUTS</t>
  </si>
  <si>
    <t>Current Stock Price</t>
  </si>
  <si>
    <t>Shares Outstanding (M)</t>
  </si>
  <si>
    <t>Cash &amp; Equivalents (M)</t>
  </si>
  <si>
    <t>Total Debt (M)</t>
  </si>
  <si>
    <t>Net Debt (M)</t>
  </si>
  <si>
    <t>Base Year Revenue (M)</t>
  </si>
  <si>
    <t>Base Year FCF (M)</t>
  </si>
  <si>
    <t>WACC</t>
  </si>
  <si>
    <t>Terminal Growth Rate</t>
  </si>
  <si>
    <t>GROWTH ASSUMPTIONS</t>
  </si>
  <si>
    <t>Year 1</t>
  </si>
  <si>
    <t>Year 2</t>
  </si>
  <si>
    <t>Year 3</t>
  </si>
  <si>
    <t>Year 4</t>
  </si>
  <si>
    <t>Year 5</t>
  </si>
  <si>
    <t>Revenue Growth Rate</t>
  </si>
  <si>
    <t>FCF Margin</t>
  </si>
  <si>
    <t>PROJECTIONS</t>
  </si>
  <si>
    <t>Base</t>
  </si>
  <si>
    <t>Revenue</t>
  </si>
  <si>
    <t>Free Cash Flow</t>
  </si>
  <si>
    <t>Discount Factor</t>
  </si>
  <si>
    <t>PV of FCF</t>
  </si>
  <si>
    <t>VALUATION</t>
  </si>
  <si>
    <t>Sum of PV of FCF</t>
  </si>
  <si>
    <t>Terminal FCF (Year 5 * (1+g))</t>
  </si>
  <si>
    <t>Terminal Value</t>
  </si>
  <si>
    <t>PV of Terminal Value</t>
  </si>
  <si>
    <t>Enterprise Value</t>
  </si>
  <si>
    <t>Less: Net Debt</t>
  </si>
  <si>
    <t>Equity Value</t>
  </si>
  <si>
    <t>INTRINSIC VALUE/SHARE</t>
  </si>
  <si>
    <t>ENTRY PRICE (15% CAGR Target)</t>
  </si>
  <si>
    <t>Terminal Value per Share</t>
  </si>
  <si>
    <t>Entry Price (15% CAGR)</t>
  </si>
  <si>
    <t>MARKET COMPARISON</t>
  </si>
  <si>
    <t>Upside to IV</t>
  </si>
  <si>
    <t>Discount to Entry Price</t>
  </si>
  <si>
    <t>Scenario Analysis</t>
  </si>
  <si>
    <t>Compare Bull, Base, and Bear case valuations</t>
  </si>
  <si>
    <t>Assumption</t>
  </si>
  <si>
    <t>Bull Case</t>
  </si>
  <si>
    <t>Base Case</t>
  </si>
  <si>
    <t>Bear Case</t>
  </si>
  <si>
    <t>Year 1 Revenue Growth</t>
  </si>
  <si>
    <t>Year 5 Revenue Growth</t>
  </si>
  <si>
    <t>Terminal Growth</t>
  </si>
  <si>
    <t>VALUATION OUTPUTS</t>
  </si>
  <si>
    <t>Intrinsic Value/Share</t>
  </si>
  <si>
    <t>Upside/Downside</t>
  </si>
  <si>
    <t>Probability-Weighted IV</t>
  </si>
  <si>
    <t>Weights: Bull 25% | Base 50% | Bear 25%</t>
  </si>
  <si>
    <t>SCENARIO DESCRIPTIONS</t>
  </si>
  <si>
    <t>Bull Case:</t>
  </si>
  <si>
    <t>Successful turnaround with Fastlane momentum and margin expansion</t>
  </si>
  <si>
    <t>Base Case:</t>
  </si>
  <si>
    <t>Conservative baseline with gradual margin improvement</t>
  </si>
  <si>
    <t>Bear Case:</t>
  </si>
  <si>
    <t>Competitive pressure and market share loss</t>
  </si>
  <si>
    <t>Sensitivity Analysis</t>
  </si>
  <si>
    <t>Intrinsic Value by WACC &amp; Terminal Growth</t>
  </si>
  <si>
    <t>Based on Base Case revenue/FCF projections</t>
  </si>
  <si>
    <t>WACC \ Term Growth</t>
  </si>
  <si>
    <t>Color Legend:</t>
  </si>
  <si>
    <t>&gt;20% upside</t>
  </si>
  <si>
    <t>0-20% upside</t>
  </si>
  <si>
    <t>0-10% downside</t>
  </si>
  <si>
    <t>&gt;10% downside</t>
  </si>
  <si>
    <t>Historical Growth Rates</t>
  </si>
  <si>
    <t>Data from PYPL_Metrics.csv</t>
  </si>
  <si>
    <t>Metric</t>
  </si>
  <si>
    <t>3-Year CAGR</t>
  </si>
  <si>
    <t>5-Year CAGR</t>
  </si>
  <si>
    <t>EPS</t>
  </si>
  <si>
    <t>Shareholders Equity</t>
  </si>
  <si>
    <t>Selected Growth Rate:</t>
  </si>
  <si>
    <t>Source:</t>
  </si>
  <si>
    <t>blended_revenue_fcf</t>
  </si>
  <si>
    <t>Note:</t>
  </si>
  <si>
    <t>Equity CAGR is negative/low due to share buybacks reducing book value. Using revenue/FCF as primary growth indicator.</t>
  </si>
  <si>
    <t>FY2024 ACTUALS</t>
  </si>
  <si>
    <t>Revenue (M)</t>
  </si>
  <si>
    <t>Free Cash Flow (M)</t>
  </si>
  <si>
    <t>Cash (M)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</si>
</sst>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$&quot;#,##0.0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0"/>
      <color rgb="FF636E7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  <fill>
      <patternFill patternType="solid">
        <fgColor rgb="FF55EFC4"/>
        <bgColor indexed="64"/>
      </patternFill>
    </fill>
    <fill>
      <patternFill patternType="solid">
        <fgColor rgb="FFFDCB6E"/>
        <bgColor indexed="64"/>
      </patternFill>
    </fill>
    <fill>
      <patternFill patternType="solid">
        <fgColor rgb="FFD6303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/>
    <xf numFmtId="0" fontId="5" fillId="0" borderId="0" xfId="0" applyFont="1"/>
    <xf numFmtId="166" fontId="4" fillId="4" borderId="2" xfId="0" applyNumberFormat="1" applyFont="1" applyFill="1" applyBorder="1"/>
    <xf numFmtId="166" fontId="0" fillId="0" borderId="2" xfId="0" applyNumberFormat="1" applyBorder="1"/>
    <xf numFmtId="165" fontId="0" fillId="0" borderId="2" xfId="0" applyNumberFormat="1" applyBorder="1"/>
    <xf numFmtId="165" fontId="4" fillId="3" borderId="2" xfId="0" applyNumberFormat="1" applyFont="1" applyFill="1" applyBorder="1"/>
    <xf numFmtId="166" fontId="0" fillId="4" borderId="2" xfId="0" applyNumberFormat="1" applyFill="1" applyBorder="1"/>
    <xf numFmtId="166" fontId="0" fillId="5" borderId="2" xfId="0" applyNumberFormat="1" applyFill="1" applyBorder="1"/>
    <xf numFmtId="0" fontId="0" fillId="4" borderId="2" xfId="0" applyFill="1" applyBorder="1"/>
    <xf numFmtId="0" fontId="0" fillId="5" borderId="2" xfId="0" applyFill="1" applyBorder="1"/>
    <xf numFmtId="0" fontId="0" fillId="6" borderId="2" xfId="0" applyFill="1" applyBorder="1"/>
    <xf numFmtId="0" fontId="6" fillId="7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7"/>
  <sheetViews>
    <sheetView tabSelected="1" workbookViewId="0"/>
  </sheetViews>
  <sheetFormatPr defaultRowHeight="15"/>
  <cols>
    <col min="1" max="1" width="30.7109375" customWidth="1"/>
    <col min="2" max="8" width="14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2" t="s">
        <v>2</v>
      </c>
    </row>
    <row r="5" spans="1:2">
      <c r="A5" s="3" t="s">
        <v>3</v>
      </c>
    </row>
    <row r="6" spans="1:2">
      <c r="A6" t="s">
        <v>4</v>
      </c>
      <c r="B6" s="4">
        <v>87.5</v>
      </c>
    </row>
    <row r="7" spans="1:2">
      <c r="A7" t="s">
        <v>5</v>
      </c>
      <c r="B7" s="4">
        <v>1039</v>
      </c>
    </row>
    <row r="8" spans="1:2">
      <c r="A8" t="s">
        <v>6</v>
      </c>
      <c r="B8" s="4">
        <v>10823</v>
      </c>
    </row>
    <row r="9" spans="1:2">
      <c r="A9" t="s">
        <v>7</v>
      </c>
      <c r="B9" s="4">
        <v>10574</v>
      </c>
    </row>
    <row r="10" spans="1:2">
      <c r="A10" t="s">
        <v>8</v>
      </c>
      <c r="B10" s="5">
        <f>B9-B8</f>
        <v>0</v>
      </c>
    </row>
    <row r="12" spans="1:2">
      <c r="A12" t="s">
        <v>9</v>
      </c>
      <c r="B12" s="4">
        <v>31797</v>
      </c>
    </row>
    <row r="13" spans="1:2">
      <c r="A13" t="s">
        <v>10</v>
      </c>
      <c r="B13" s="4">
        <v>6767</v>
      </c>
    </row>
    <row r="15" spans="1:2">
      <c r="A15" t="s">
        <v>11</v>
      </c>
      <c r="B15" s="6">
        <v>0.09</v>
      </c>
    </row>
    <row r="16" spans="1:2">
      <c r="A16" t="s">
        <v>12</v>
      </c>
      <c r="B16" s="6">
        <v>0.03</v>
      </c>
    </row>
    <row r="18" spans="1:7">
      <c r="A18" s="3" t="s">
        <v>13</v>
      </c>
    </row>
    <row r="19" spans="1:7">
      <c r="A19" s="7"/>
      <c r="B19" s="7" t="s">
        <v>14</v>
      </c>
      <c r="C19" s="7" t="s">
        <v>15</v>
      </c>
      <c r="D19" s="7" t="s">
        <v>16</v>
      </c>
      <c r="E19" s="7" t="s">
        <v>17</v>
      </c>
      <c r="F19" s="7" t="s">
        <v>18</v>
      </c>
    </row>
    <row r="20" spans="1:7">
      <c r="A20" t="s">
        <v>19</v>
      </c>
      <c r="B20" s="6">
        <v>0.07000000000000001</v>
      </c>
      <c r="C20" s="6">
        <v>0.065</v>
      </c>
      <c r="D20" s="6">
        <v>0.06</v>
      </c>
      <c r="E20" s="6">
        <v>0.05</v>
      </c>
      <c r="F20" s="6">
        <v>0.04</v>
      </c>
    </row>
    <row r="21" spans="1:7">
      <c r="A21" t="s">
        <v>20</v>
      </c>
      <c r="B21" s="6">
        <v>0.213</v>
      </c>
      <c r="C21" s="6">
        <v>0.213</v>
      </c>
      <c r="D21" s="6">
        <v>0.213</v>
      </c>
      <c r="E21" s="6">
        <v>0.213</v>
      </c>
      <c r="F21" s="6">
        <v>0.213</v>
      </c>
    </row>
    <row r="23" spans="1:7">
      <c r="A23" s="3" t="s">
        <v>21</v>
      </c>
    </row>
    <row r="24" spans="1:7">
      <c r="A24" s="7"/>
      <c r="B24" s="7" t="s">
        <v>22</v>
      </c>
      <c r="C24" s="7" t="s">
        <v>14</v>
      </c>
      <c r="D24" s="7" t="s">
        <v>15</v>
      </c>
      <c r="E24" s="7" t="s">
        <v>16</v>
      </c>
      <c r="F24" s="7" t="s">
        <v>17</v>
      </c>
      <c r="G24" s="7" t="s">
        <v>18</v>
      </c>
    </row>
    <row r="25" spans="1:7">
      <c r="A25" t="s">
        <v>23</v>
      </c>
      <c r="B25" s="5">
        <f>B12</f>
        <v>0</v>
      </c>
      <c r="C25" s="5">
        <f>B25*(1+B20)</f>
        <v>0</v>
      </c>
      <c r="D25" s="5">
        <f>C25*(1+C20)</f>
        <v>0</v>
      </c>
      <c r="E25" s="5">
        <f>D25*(1+D20)</f>
        <v>0</v>
      </c>
      <c r="F25" s="5">
        <f>E25*(1+E20)</f>
        <v>0</v>
      </c>
      <c r="G25" s="5">
        <f>F25*(1+F20)</f>
        <v>0</v>
      </c>
    </row>
    <row r="26" spans="1:7">
      <c r="A26" t="s">
        <v>24</v>
      </c>
      <c r="B26" s="5">
        <f>B13</f>
        <v>0</v>
      </c>
      <c r="C26" s="5">
        <f>C25*B21</f>
        <v>0</v>
      </c>
      <c r="D26" s="5">
        <f>D25*C21</f>
        <v>0</v>
      </c>
      <c r="E26" s="5">
        <f>E25*D21</f>
        <v>0</v>
      </c>
      <c r="F26" s="5">
        <f>F25*E21</f>
        <v>0</v>
      </c>
      <c r="G26" s="5">
        <f>G25*F21</f>
        <v>0</v>
      </c>
    </row>
    <row r="27" spans="1:7">
      <c r="A27" t="s">
        <v>25</v>
      </c>
      <c r="B27" s="5"/>
      <c r="C27" s="5">
        <f>1/(1+$B$15)^1</f>
        <v>0</v>
      </c>
      <c r="D27" s="5">
        <f>1/(1+$B$15)^2</f>
        <v>0</v>
      </c>
      <c r="E27" s="5">
        <f>1/(1+$B$15)^3</f>
        <v>0</v>
      </c>
      <c r="F27" s="5">
        <f>1/(1+$B$15)^4</f>
        <v>0</v>
      </c>
      <c r="G27" s="5">
        <f>1/(1+$B$15)^5</f>
        <v>0</v>
      </c>
    </row>
    <row r="28" spans="1:7">
      <c r="A28" t="s">
        <v>26</v>
      </c>
      <c r="B28" s="5"/>
      <c r="C28" s="5">
        <f>C26*C27</f>
        <v>0</v>
      </c>
      <c r="D28" s="5">
        <f>D26*D27</f>
        <v>0</v>
      </c>
      <c r="E28" s="5">
        <f>E26*E27</f>
        <v>0</v>
      </c>
      <c r="F28" s="5">
        <f>F26*F27</f>
        <v>0</v>
      </c>
      <c r="G28" s="5">
        <f>G26*G27</f>
        <v>0</v>
      </c>
    </row>
    <row r="30" spans="1:7">
      <c r="A30" s="3" t="s">
        <v>27</v>
      </c>
    </row>
    <row r="31" spans="1:7">
      <c r="A31" t="s">
        <v>28</v>
      </c>
      <c r="B31" s="5">
        <f>SUM(C28:G28)</f>
        <v>0</v>
      </c>
    </row>
    <row r="32" spans="1:7">
      <c r="A32" t="s">
        <v>29</v>
      </c>
      <c r="B32" s="5">
        <f>G26*(1+$B$16)</f>
        <v>0</v>
      </c>
    </row>
    <row r="33" spans="1:2">
      <c r="A33" t="s">
        <v>30</v>
      </c>
      <c r="B33" s="5">
        <f>B32/($B$15-$B$16)</f>
        <v>0</v>
      </c>
    </row>
    <row r="34" spans="1:2">
      <c r="A34" t="s">
        <v>31</v>
      </c>
      <c r="B34" s="5">
        <f>B33*G27</f>
        <v>0</v>
      </c>
    </row>
    <row r="35" spans="1:2">
      <c r="A35" t="s">
        <v>32</v>
      </c>
      <c r="B35" s="5">
        <f>B31+B34</f>
        <v>0</v>
      </c>
    </row>
    <row r="36" spans="1:2">
      <c r="A36" t="s">
        <v>33</v>
      </c>
      <c r="B36" s="5">
        <f>B10</f>
        <v>0</v>
      </c>
    </row>
    <row r="37" spans="1:2">
      <c r="A37" t="s">
        <v>34</v>
      </c>
      <c r="B37" s="5">
        <f>B35-B36</f>
        <v>0</v>
      </c>
    </row>
    <row r="39" spans="1:2">
      <c r="A39" s="8" t="s">
        <v>35</v>
      </c>
      <c r="B39" s="9">
        <f>B37/B7</f>
        <v>0</v>
      </c>
    </row>
    <row r="41" spans="1:2">
      <c r="A41" s="3" t="s">
        <v>36</v>
      </c>
    </row>
    <row r="42" spans="1:2">
      <c r="A42" t="s">
        <v>37</v>
      </c>
      <c r="B42" s="10">
        <f>B33/B7</f>
        <v>0</v>
      </c>
    </row>
    <row r="43" spans="1:2">
      <c r="A43" t="s">
        <v>38</v>
      </c>
      <c r="B43" s="9">
        <f>B42/(1.15^5)</f>
        <v>0</v>
      </c>
    </row>
    <row r="45" spans="1:2">
      <c r="A45" s="3" t="s">
        <v>39</v>
      </c>
    </row>
    <row r="46" spans="1:2">
      <c r="A46" t="s">
        <v>40</v>
      </c>
      <c r="B46" s="11">
        <f>(B39-B6)/B6</f>
        <v>0</v>
      </c>
    </row>
    <row r="47" spans="1:2">
      <c r="A47" t="s">
        <v>41</v>
      </c>
      <c r="B47" s="11">
        <f>(B6-B43)/B43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6"/>
  <sheetViews>
    <sheetView workbookViewId="0"/>
  </sheetViews>
  <sheetFormatPr defaultRowHeight="15"/>
  <cols>
    <col min="1" max="1" width="25.7109375" customWidth="1"/>
    <col min="2" max="5" width="16.7109375" customWidth="1"/>
  </cols>
  <sheetData>
    <row r="1" spans="1:4">
      <c r="A1" s="1" t="s">
        <v>42</v>
      </c>
    </row>
    <row r="2" spans="1:4">
      <c r="A2" s="2" t="s">
        <v>43</v>
      </c>
    </row>
    <row r="4" spans="1:4">
      <c r="A4" s="7" t="s">
        <v>44</v>
      </c>
      <c r="B4" s="7" t="s">
        <v>45</v>
      </c>
      <c r="C4" s="7" t="s">
        <v>46</v>
      </c>
      <c r="D4" s="7" t="s">
        <v>47</v>
      </c>
    </row>
    <row r="5" spans="1:4">
      <c r="A5" t="s">
        <v>48</v>
      </c>
      <c r="B5" s="11">
        <v>0.1</v>
      </c>
      <c r="C5" s="11">
        <v>0.07000000000000001</v>
      </c>
      <c r="D5" s="11">
        <v>0.04</v>
      </c>
    </row>
    <row r="6" spans="1:4">
      <c r="A6" t="s">
        <v>49</v>
      </c>
      <c r="B6" s="11">
        <v>0.06</v>
      </c>
      <c r="C6" s="11">
        <v>0.04</v>
      </c>
      <c r="D6" s="11">
        <v>0.02</v>
      </c>
    </row>
    <row r="7" spans="1:4">
      <c r="A7" t="s">
        <v>20</v>
      </c>
      <c r="B7" s="11">
        <v>0.213</v>
      </c>
      <c r="C7" s="11">
        <v>0.213</v>
      </c>
      <c r="D7" s="11">
        <v>0.213</v>
      </c>
    </row>
    <row r="8" spans="1:4">
      <c r="A8" t="s">
        <v>11</v>
      </c>
      <c r="B8" s="11">
        <v>0.08500000000000001</v>
      </c>
      <c r="C8" s="11">
        <v>0.09</v>
      </c>
      <c r="D8" s="11">
        <v>0.1</v>
      </c>
    </row>
    <row r="9" spans="1:4">
      <c r="A9" t="s">
        <v>50</v>
      </c>
      <c r="B9" s="11">
        <v>0.035</v>
      </c>
      <c r="C9" s="11">
        <v>0.03</v>
      </c>
      <c r="D9" s="11">
        <v>0.025</v>
      </c>
    </row>
    <row r="11" spans="1:4">
      <c r="A11" s="3" t="s">
        <v>51</v>
      </c>
    </row>
    <row r="12" spans="1:4">
      <c r="A12" t="s">
        <v>52</v>
      </c>
      <c r="B12" s="10">
        <v>179.88</v>
      </c>
      <c r="C12" s="10">
        <v>131.59</v>
      </c>
      <c r="D12" s="10">
        <v>86.23999999999999</v>
      </c>
    </row>
    <row r="13" spans="1:4">
      <c r="A13" t="s">
        <v>53</v>
      </c>
      <c r="B13" s="11">
        <v>1.056</v>
      </c>
      <c r="C13" s="11">
        <v>0.504</v>
      </c>
      <c r="D13" s="11">
        <v>-0.014</v>
      </c>
    </row>
    <row r="15" spans="1:4">
      <c r="A15" s="8" t="s">
        <v>54</v>
      </c>
      <c r="B15" s="9">
        <v>132.32</v>
      </c>
    </row>
    <row r="16" spans="1:4">
      <c r="A16" s="2" t="s">
        <v>55</v>
      </c>
    </row>
    <row r="18" spans="1:1">
      <c r="A18" s="3" t="s">
        <v>56</v>
      </c>
    </row>
    <row r="19" spans="1:1">
      <c r="A19" s="8" t="s">
        <v>57</v>
      </c>
    </row>
    <row r="20" spans="1:1">
      <c r="A20" s="2" t="s">
        <v>58</v>
      </c>
    </row>
    <row r="22" spans="1:1">
      <c r="A22" s="8" t="s">
        <v>59</v>
      </c>
    </row>
    <row r="23" spans="1:1">
      <c r="A23" s="2" t="s">
        <v>60</v>
      </c>
    </row>
    <row r="25" spans="1:1">
      <c r="A25" s="8" t="s">
        <v>61</v>
      </c>
    </row>
    <row r="26" spans="1:1">
      <c r="A26" s="2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18.7109375" customWidth="1"/>
    <col min="2" max="7" width="14.7109375" customWidth="1"/>
  </cols>
  <sheetData>
    <row r="1" spans="1:6">
      <c r="A1" s="1" t="s">
        <v>63</v>
      </c>
    </row>
    <row r="2" spans="1:6">
      <c r="A2" s="2" t="s">
        <v>64</v>
      </c>
    </row>
    <row r="3" spans="1:6">
      <c r="A3" s="2" t="s">
        <v>65</v>
      </c>
    </row>
    <row r="5" spans="1:6">
      <c r="A5" s="7" t="s">
        <v>66</v>
      </c>
      <c r="B5" s="12">
        <v>0.02</v>
      </c>
      <c r="C5" s="12">
        <v>0.025</v>
      </c>
      <c r="D5" s="12">
        <v>0.03</v>
      </c>
      <c r="E5" s="12">
        <v>0.035</v>
      </c>
      <c r="F5" s="12">
        <v>0.04</v>
      </c>
    </row>
    <row r="6" spans="1:6">
      <c r="A6" s="12">
        <v>0.075</v>
      </c>
      <c r="B6" s="13">
        <v>148.74</v>
      </c>
      <c r="C6" s="13">
        <v>161</v>
      </c>
      <c r="D6" s="13">
        <v>175.98</v>
      </c>
      <c r="E6" s="13">
        <v>194.7</v>
      </c>
      <c r="F6" s="13">
        <v>218.78</v>
      </c>
    </row>
    <row r="7" spans="1:6">
      <c r="A7" s="12">
        <v>0.08500000000000001</v>
      </c>
      <c r="B7" s="13">
        <v>125.53</v>
      </c>
      <c r="C7" s="13">
        <v>133.85</v>
      </c>
      <c r="D7" s="13">
        <v>143.7</v>
      </c>
      <c r="E7" s="13">
        <v>155.51</v>
      </c>
      <c r="F7" s="13">
        <v>169.94</v>
      </c>
    </row>
    <row r="8" spans="1:6">
      <c r="A8" s="12">
        <v>0.09</v>
      </c>
      <c r="B8" s="13">
        <v>116.41</v>
      </c>
      <c r="C8" s="13">
        <v>123.42</v>
      </c>
      <c r="D8" s="13">
        <v>131.59</v>
      </c>
      <c r="E8" s="13">
        <v>141.26</v>
      </c>
      <c r="F8" s="13">
        <v>152.85</v>
      </c>
    </row>
    <row r="9" spans="1:6">
      <c r="A9" s="12">
        <v>0.095</v>
      </c>
      <c r="B9" s="13">
        <v>108.51</v>
      </c>
      <c r="C9" s="13">
        <v>114.48</v>
      </c>
      <c r="D9" s="13">
        <v>121.36</v>
      </c>
      <c r="E9" s="13">
        <v>129.38</v>
      </c>
      <c r="F9" s="13">
        <v>138.87</v>
      </c>
    </row>
    <row r="10" spans="1:6">
      <c r="A10" s="12">
        <v>0.105</v>
      </c>
      <c r="B10" s="14">
        <v>95.51000000000001</v>
      </c>
      <c r="C10" s="14">
        <v>99.95</v>
      </c>
      <c r="D10" s="14">
        <v>104.98</v>
      </c>
      <c r="E10" s="13">
        <v>110.73</v>
      </c>
      <c r="F10" s="13">
        <v>117.37</v>
      </c>
    </row>
    <row r="13" spans="1:6">
      <c r="A13" s="8" t="s">
        <v>67</v>
      </c>
      <c r="B13" s="15" t="s">
        <v>68</v>
      </c>
      <c r="C13" s="16" t="s">
        <v>69</v>
      </c>
      <c r="D13" s="17" t="s">
        <v>70</v>
      </c>
      <c r="E13" s="1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4"/>
  <sheetViews>
    <sheetView workbookViewId="0"/>
  </sheetViews>
  <sheetFormatPr defaultRowHeight="15"/>
  <cols>
    <col min="1" max="1" width="25.7109375" customWidth="1"/>
    <col min="2" max="3" width="16.7109375" customWidth="1"/>
  </cols>
  <sheetData>
    <row r="1" spans="1:3">
      <c r="A1" s="1" t="s">
        <v>72</v>
      </c>
    </row>
    <row r="2" spans="1:3">
      <c r="A2" s="2" t="s">
        <v>73</v>
      </c>
    </row>
    <row r="4" spans="1:3">
      <c r="A4" s="7" t="s">
        <v>74</v>
      </c>
      <c r="B4" s="7" t="s">
        <v>75</v>
      </c>
      <c r="C4" s="7" t="s">
        <v>76</v>
      </c>
    </row>
    <row r="5" spans="1:3">
      <c r="A5" t="s">
        <v>23</v>
      </c>
      <c r="B5" s="11">
        <v>0.078</v>
      </c>
      <c r="C5" s="11">
        <v>0.123</v>
      </c>
    </row>
    <row r="6" spans="1:3">
      <c r="A6" t="s">
        <v>77</v>
      </c>
      <c r="B6" s="11">
        <v>0.043</v>
      </c>
      <c r="C6" s="11">
        <v>0.14</v>
      </c>
    </row>
    <row r="7" spans="1:3">
      <c r="A7" t="s">
        <v>24</v>
      </c>
      <c r="B7" s="11">
        <v>0.077</v>
      </c>
      <c r="C7" s="11">
        <v>0.07200000000000001</v>
      </c>
    </row>
    <row r="8" spans="1:3">
      <c r="A8" t="s">
        <v>78</v>
      </c>
      <c r="B8" s="11">
        <v>-0.021</v>
      </c>
      <c r="C8" s="11">
        <v>0.035</v>
      </c>
    </row>
    <row r="10" spans="1:3">
      <c r="A10" s="8" t="s">
        <v>79</v>
      </c>
      <c r="B10" s="11">
        <v>0.075</v>
      </c>
    </row>
    <row r="11" spans="1:3">
      <c r="A11" t="s">
        <v>80</v>
      </c>
      <c r="B11" t="s">
        <v>81</v>
      </c>
    </row>
    <row r="13" spans="1:3">
      <c r="A13" s="8" t="s">
        <v>82</v>
      </c>
    </row>
    <row r="14" spans="1:3">
      <c r="A14" s="2" t="s">
        <v>83</v>
      </c>
    </row>
    <row r="17" spans="1:2">
      <c r="A17" s="3" t="s">
        <v>84</v>
      </c>
    </row>
    <row r="18" spans="1:2">
      <c r="A18" t="s">
        <v>85</v>
      </c>
      <c r="B18" s="5">
        <v>31797</v>
      </c>
    </row>
    <row r="19" spans="1:2">
      <c r="A19" t="s">
        <v>86</v>
      </c>
      <c r="B19" s="5">
        <v>6767</v>
      </c>
    </row>
    <row r="20" spans="1:2">
      <c r="A20" t="s">
        <v>20</v>
      </c>
      <c r="B20" s="11">
        <f>B19/B18</f>
        <v>0</v>
      </c>
    </row>
    <row r="21" spans="1:2">
      <c r="A21" t="s">
        <v>7</v>
      </c>
      <c r="B21" s="5">
        <v>10574</v>
      </c>
    </row>
    <row r="22" spans="1:2">
      <c r="A22" t="s">
        <v>87</v>
      </c>
      <c r="B22" s="5">
        <v>10823</v>
      </c>
    </row>
    <row r="23" spans="1:2">
      <c r="A23" t="s">
        <v>8</v>
      </c>
      <c r="B23" s="5">
        <f>B21-B22</f>
        <v>0</v>
      </c>
    </row>
    <row r="24" spans="1:2">
      <c r="A24" t="s">
        <v>5</v>
      </c>
      <c r="B24" s="5">
        <v>1039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DCF Model</vt:lpstr>
      <vt:lpstr>Scenario Analysis</vt:lpstr>
      <vt:lpstr>Sensitivity</vt:lpstr>
      <vt:lpstr>Historical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2026-01-22T06:14:57Z</dcterms:created>
  <dcterms:modified xsi:type="dcterms:W3CDTF">2026-01-22T06:14:57Z</dcterms:modified>
</cp:coreProperties>
</file>