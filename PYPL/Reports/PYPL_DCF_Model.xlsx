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Scenario Comparison" sheetId="4" r:id="rId4"/>
  </sheets>
  <calcPr calcId="124519" fullCalcOnLoad="1"/>
</workbook>
</file>

<file path=xl/sharedStrings.xml><?xml version="1.0" encoding="utf-8"?>
<sst xmlns="http://schemas.openxmlformats.org/spreadsheetml/2006/main" count="72" uniqueCount="64">
  <si>
    <t>PYPL DCF Valuation Model</t>
  </si>
  <si>
    <t>Gray cells are INPUTS - adjust to see valuation change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</si>
  <si>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</si>
  <si>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</si>
  <si>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</si>
  <si>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</si>
  <si>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</si>
  <si>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</si>
  <si>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Base Year FCF (M)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</si>
  <si>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</si>
  <si>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</si>
  <si>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</si>
  <si>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</si>
  <si>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</si>
  <si>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</si>
  <si>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</si>
  <si>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</si>
  <si>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</si>
  <si>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</si>
  <si>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</si>
  <si>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</si>
  <si>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</si>
  <si>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</si>
  <si>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</si>
  <si>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</si>
  <si>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</si>
  <si>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</si>
  <si>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</si>
  <si>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</si>
  <si>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</si>
  <si>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</si>
  <si>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</si>
  <si>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ENTRY PRICE (15% CAGR Target)</t>
  </si>
  <si>
    <t>Terminal Value per Share</t>
  </si>
  <si>
    <t>Entry Price (15% CAGR)</t>
  </si>
  <si>
    <t>Upside to IV</t>
  </si>
  <si>
    <t>Upside to Entry Price</t>
  </si>
  <si>
    <t>Sensitivity Analysis</t>
  </si>
  <si>
    <t>Intrinsic Value by WACC &amp; Terminal Growth</t>
  </si>
  <si>
    <t>WACC \ Term G</t>
  </si>
  <si>
    <t>Historical Growth Rates</t>
  </si>
  <si>
    <t>Metric</t>
  </si>
  <si>
    <t>3-Year CAGR</t>
  </si>
  <si>
    <t>5-Year CAGR</t>
  </si>
  <si>
    <t>Revenue</t>
  </si>
  <si>
    <t>EPS</t>
  </si>
  <si>
    <t>Equity</t>
  </si>
  <si>
    <t>FCF</t>
  </si>
  <si>
    <t>Selected Growth Rate:</t>
  </si>
  <si>
    <t>Source:</t>
  </si>
  <si>
    <t>revenue_3yr_cagr</t>
  </si>
  <si>
    <t>Warning:</t>
  </si>
  <si>
    <t>Equity 3yr CAGR is negative (-2.1%) due to aggressive share buybacks reducing book value. Using revenue 3yr CAGR (7.8%) as primary growth indicator given competitive headwinds and CEO transition.</t>
  </si>
  <si>
    <t>Scenario Comparison</t>
  </si>
  <si>
    <t>Scenario</t>
  </si>
  <si>
    <t>Bear</t>
  </si>
  <si>
    <t>Bull</t>
  </si>
  <si>
    <t>ASSUMPTIONS</t>
  </si>
  <si>
    <t>Year 1 Growth</t>
  </si>
  <si>
    <t>Terminal Growth</t>
  </si>
  <si>
    <t>VALUATION RESULTS</t>
  </si>
  <si>
    <t>Intrinsic Value</t>
  </si>
  <si>
    <t>Upside / (Downside)</t>
  </si>
  <si>
    <t>Probability Weighted IV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</si>
</sst>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6" fontId="0" fillId="0" borderId="2" xfId="0" applyNumberFormat="1" applyBorder="1"/>
    <xf numFmtId="165" fontId="0" fillId="0" borderId="2" xfId="0" applyNumberFormat="1" applyBorder="1"/>
    <xf numFmtId="165" fontId="4" fillId="3" borderId="0" xfId="0" applyNumberFormat="1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width="25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41</v>
      </c>
    </row>
    <row r="6" spans="1:6">
      <c r="A6" t="s">
        <v>4</v>
      </c>
      <c r="B6" s="4">
        <v>1039</v>
      </c>
    </row>
    <row r="7" spans="1:6">
      <c r="A7" t="s">
        <v>5</v>
      </c>
      <c r="B7" s="4">
        <v>6561</v>
      </c>
    </row>
    <row r="8" spans="1:6">
      <c r="A8" t="s">
        <v>6</v>
      </c>
      <c r="B8" s="4">
        <v>9879</v>
      </c>
    </row>
    <row r="9" spans="1:6">
      <c r="A9" t="s">
        <v>7</v>
      </c>
      <c r="B9" s="5">
        <f>B8-B7</f>
        <v>0</v>
      </c>
    </row>
    <row r="10" spans="1:6">
      <c r="A10" t="s">
        <v>8</v>
      </c>
      <c r="B10" s="4">
        <v>6767</v>
      </c>
    </row>
    <row r="12" spans="1:6">
      <c r="A12" t="s">
        <v>9</v>
      </c>
      <c r="B12" s="6">
        <v>0.1</v>
      </c>
    </row>
    <row r="13" spans="1:6">
      <c r="A13" t="s">
        <v>10</v>
      </c>
      <c r="B13" s="6">
        <v>0.03</v>
      </c>
    </row>
    <row r="15" spans="1:6">
      <c r="A15" s="3" t="s">
        <v>11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</row>
    <row r="16" spans="1:6">
      <c r="A16" t="s">
        <v>12</v>
      </c>
      <c r="B16" s="6">
        <v>0.06</v>
      </c>
      <c r="C16" s="6">
        <v>0.055</v>
      </c>
      <c r="D16" s="6">
        <v>0.05</v>
      </c>
      <c r="E16" s="6">
        <v>0.045</v>
      </c>
      <c r="F16" s="6">
        <v>0.04</v>
      </c>
    </row>
    <row r="18" spans="1:7">
      <c r="A18" s="3" t="s">
        <v>18</v>
      </c>
    </row>
    <row r="19" spans="1:7">
      <c r="A19" s="7"/>
      <c r="B19" s="7" t="s">
        <v>19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 spans="1:7">
      <c r="A20" t="s">
        <v>20</v>
      </c>
      <c r="B20" s="5">
        <f>B10</f>
        <v>0</v>
      </c>
      <c r="C20" s="5">
        <f>B20*(1+B16)</f>
        <v>0</v>
      </c>
      <c r="D20" s="5">
        <f>C20*(1+C16)</f>
        <v>0</v>
      </c>
      <c r="E20" s="5">
        <f>D20*(1+D16)</f>
        <v>0</v>
      </c>
      <c r="F20" s="5">
        <f>E20*(1+E16)</f>
        <v>0</v>
      </c>
      <c r="G20" s="5">
        <f>F20*(1+F16)</f>
        <v>0</v>
      </c>
    </row>
    <row r="21" spans="1:7">
      <c r="A21" t="s">
        <v>21</v>
      </c>
      <c r="C21" s="5">
        <f>1/(1+$B$12)^1</f>
        <v>0</v>
      </c>
      <c r="D21" s="5">
        <f>1/(1+$B$12)^2</f>
        <v>0</v>
      </c>
      <c r="E21" s="5">
        <f>1/(1+$B$12)^3</f>
        <v>0</v>
      </c>
      <c r="F21" s="5">
        <f>1/(1+$B$12)^4</f>
        <v>0</v>
      </c>
      <c r="G21" s="5">
        <f>1/(1+$B$12)^5</f>
        <v>0</v>
      </c>
    </row>
    <row r="22" spans="1:7">
      <c r="A22" t="s">
        <v>22</v>
      </c>
      <c r="C22" s="5">
        <f>C20*C21</f>
        <v>0</v>
      </c>
      <c r="D22" s="5">
        <f>D20*D21</f>
        <v>0</v>
      </c>
      <c r="E22" s="5">
        <f>E20*E21</f>
        <v>0</v>
      </c>
      <c r="F22" s="5">
        <f>F20*F21</f>
        <v>0</v>
      </c>
      <c r="G22" s="5">
        <f>G20*G21</f>
        <v>0</v>
      </c>
    </row>
    <row r="24" spans="1:7">
      <c r="A24" s="3" t="s">
        <v>23</v>
      </c>
    </row>
    <row r="25" spans="1:7">
      <c r="A25" t="s">
        <v>24</v>
      </c>
      <c r="B25" s="5">
        <f>SUM(C22:G22)</f>
        <v>0</v>
      </c>
    </row>
    <row r="26" spans="1:7">
      <c r="A26" t="s">
        <v>25</v>
      </c>
      <c r="B26" s="5">
        <f>G20*(1+$B$13)</f>
        <v>0</v>
      </c>
    </row>
    <row r="27" spans="1:7">
      <c r="A27" t="s">
        <v>26</v>
      </c>
      <c r="B27" s="5">
        <f>B26/($B$12-$B$13)</f>
        <v>0</v>
      </c>
    </row>
    <row r="28" spans="1:7">
      <c r="A28" t="s">
        <v>27</v>
      </c>
      <c r="B28" s="5">
        <f>B27*G21</f>
        <v>0</v>
      </c>
    </row>
    <row r="29" spans="1:7">
      <c r="A29" t="s">
        <v>28</v>
      </c>
      <c r="B29" s="5">
        <f>B25+B28</f>
        <v>0</v>
      </c>
    </row>
    <row r="30" spans="1:7">
      <c r="A30" t="s">
        <v>29</v>
      </c>
      <c r="B30" s="5">
        <f>B9</f>
        <v>0</v>
      </c>
    </row>
    <row r="31" spans="1:7">
      <c r="A31" t="s">
        <v>30</v>
      </c>
      <c r="B31" s="5">
        <f>B29-B30</f>
        <v>0</v>
      </c>
    </row>
    <row r="32" spans="1:7">
      <c r="A32" s="8" t="s">
        <v>31</v>
      </c>
      <c r="B32" s="9">
        <f>B31/B6</f>
        <v>0</v>
      </c>
    </row>
    <row r="34" spans="1:2">
      <c r="A34" s="3" t="s">
        <v>32</v>
      </c>
    </row>
    <row r="35" spans="1:2">
      <c r="A35" t="s">
        <v>33</v>
      </c>
      <c r="B35" s="10">
        <f>B27/B6</f>
        <v>0</v>
      </c>
    </row>
    <row r="36" spans="1:2">
      <c r="A36" t="s">
        <v>34</v>
      </c>
      <c r="B36" s="9">
        <f>B35/(1.15^5)</f>
        <v>0</v>
      </c>
    </row>
    <row r="38" spans="1:2">
      <c r="A38" t="s">
        <v>35</v>
      </c>
      <c r="B38" s="11">
        <f>(B32-B5)/B5</f>
        <v>0</v>
      </c>
    </row>
    <row r="39" spans="1:2">
      <c r="A39" t="s">
        <v>36</v>
      </c>
      <c r="B39" s="11">
        <f>(B5-B36)/B5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37</v>
      </c>
    </row>
    <row r="2" spans="1:6">
      <c r="A2" t="s">
        <v>38</v>
      </c>
    </row>
    <row r="4" spans="1:6">
      <c r="A4" s="7" t="s">
        <v>39</v>
      </c>
      <c r="B4" s="12">
        <v>0.02</v>
      </c>
      <c r="C4" s="12">
        <v>0.025</v>
      </c>
      <c r="D4" s="12">
        <v>0.03</v>
      </c>
      <c r="E4" s="12">
        <v>0.035</v>
      </c>
      <c r="F4" s="12">
        <v>0.04</v>
      </c>
    </row>
    <row r="5" spans="1:6">
      <c r="A5" s="12">
        <v>0.08</v>
      </c>
      <c r="B5" s="10">
        <f>('DCF Model'!$B$10*(1+'DCF Model'!$B$16)*(1+'DCF Model'!$C$16)*(1+'DCF Model'!$D$16)*(1+'DCF Model'!$E$16)*(1+'DCF Model'!$F$16)*(1+0.02)/(0.08-0.02))/(1+0.08)^5/'DCF Model'!$B$6</f>
        <v>0</v>
      </c>
      <c r="C5" s="10">
        <f>('DCF Model'!$B$10*(1+'DCF Model'!$B$16)*(1+'DCF Model'!$C$16)*(1+'DCF Model'!$D$16)*(1+'DCF Model'!$E$16)*(1+'DCF Model'!$F$16)*(1+0.025)/(0.08-0.025))/(1+0.08)^5/'DCF Model'!$B$6</f>
        <v>0</v>
      </c>
      <c r="D5" s="10">
        <f>('DCF Model'!$B$10*(1+'DCF Model'!$B$16)*(1+'DCF Model'!$C$16)*(1+'DCF Model'!$D$16)*(1+'DCF Model'!$E$16)*(1+'DCF Model'!$F$16)*(1+0.03)/(0.08-0.03))/(1+0.08)^5/'DCF Model'!$B$6</f>
        <v>0</v>
      </c>
      <c r="E5" s="10">
        <f>('DCF Model'!$B$10*(1+'DCF Model'!$B$16)*(1+'DCF Model'!$C$16)*(1+'DCF Model'!$D$16)*(1+'DCF Model'!$E$16)*(1+'DCF Model'!$F$16)*(1+0.035)/(0.08-0.035))/(1+0.08)^5/'DCF Model'!$B$6</f>
        <v>0</v>
      </c>
      <c r="F5" s="10">
        <f>('DCF Model'!$B$10*(1+'DCF Model'!$B$16)*(1+'DCF Model'!$C$16)*(1+'DCF Model'!$D$16)*(1+'DCF Model'!$E$16)*(1+'DCF Model'!$F$16)*(1+0.04)/(0.08-0.04))/(1+0.08)^5/'DCF Model'!$B$6</f>
        <v>0</v>
      </c>
    </row>
    <row r="6" spans="1:6">
      <c r="A6" s="12">
        <v>0.09</v>
      </c>
      <c r="B6" s="10">
        <f>('DCF Model'!$B$10*(1+'DCF Model'!$B$16)*(1+'DCF Model'!$C$16)*(1+'DCF Model'!$D$16)*(1+'DCF Model'!$E$16)*(1+'DCF Model'!$F$16)*(1+0.02)/(0.09-0.02))/(1+0.09)^5/'DCF Model'!$B$6</f>
        <v>0</v>
      </c>
      <c r="C6" s="10">
        <f>('DCF Model'!$B$10*(1+'DCF Model'!$B$16)*(1+'DCF Model'!$C$16)*(1+'DCF Model'!$D$16)*(1+'DCF Model'!$E$16)*(1+'DCF Model'!$F$16)*(1+0.025)/(0.09-0.025))/(1+0.09)^5/'DCF Model'!$B$6</f>
        <v>0</v>
      </c>
      <c r="D6" s="10">
        <f>('DCF Model'!$B$10*(1+'DCF Model'!$B$16)*(1+'DCF Model'!$C$16)*(1+'DCF Model'!$D$16)*(1+'DCF Model'!$E$16)*(1+'DCF Model'!$F$16)*(1+0.03)/(0.09-0.03))/(1+0.09)^5/'DCF Model'!$B$6</f>
        <v>0</v>
      </c>
      <c r="E6" s="10">
        <f>('DCF Model'!$B$10*(1+'DCF Model'!$B$16)*(1+'DCF Model'!$C$16)*(1+'DCF Model'!$D$16)*(1+'DCF Model'!$E$16)*(1+'DCF Model'!$F$16)*(1+0.035)/(0.09-0.035))/(1+0.09)^5/'DCF Model'!$B$6</f>
        <v>0</v>
      </c>
      <c r="F6" s="10">
        <f>('DCF Model'!$B$10*(1+'DCF Model'!$B$16)*(1+'DCF Model'!$C$16)*(1+'DCF Model'!$D$16)*(1+'DCF Model'!$E$16)*(1+'DCF Model'!$F$16)*(1+0.04)/(0.09-0.04))/(1+0.09)^5/'DCF Model'!$B$6</f>
        <v>0</v>
      </c>
    </row>
    <row r="7" spans="1:6">
      <c r="A7" s="12">
        <v>0.1</v>
      </c>
      <c r="B7" s="10">
        <f>('DCF Model'!$B$10*(1+'DCF Model'!$B$16)*(1+'DCF Model'!$C$16)*(1+'DCF Model'!$D$16)*(1+'DCF Model'!$E$16)*(1+'DCF Model'!$F$16)*(1+0.02)/(0.1-0.02))/(1+0.1)^5/'DCF Model'!$B$6</f>
        <v>0</v>
      </c>
      <c r="C7" s="10">
        <f>('DCF Model'!$B$10*(1+'DCF Model'!$B$16)*(1+'DCF Model'!$C$16)*(1+'DCF Model'!$D$16)*(1+'DCF Model'!$E$16)*(1+'DCF Model'!$F$16)*(1+0.025)/(0.1-0.025))/(1+0.1)^5/'DCF Model'!$B$6</f>
        <v>0</v>
      </c>
      <c r="D7" s="10">
        <f>('DCF Model'!$B$10*(1+'DCF Model'!$B$16)*(1+'DCF Model'!$C$16)*(1+'DCF Model'!$D$16)*(1+'DCF Model'!$E$16)*(1+'DCF Model'!$F$16)*(1+0.03)/(0.1-0.03))/(1+0.1)^5/'DCF Model'!$B$6</f>
        <v>0</v>
      </c>
      <c r="E7" s="10">
        <f>('DCF Model'!$B$10*(1+'DCF Model'!$B$16)*(1+'DCF Model'!$C$16)*(1+'DCF Model'!$D$16)*(1+'DCF Model'!$E$16)*(1+'DCF Model'!$F$16)*(1+0.035)/(0.1-0.035))/(1+0.1)^5/'DCF Model'!$B$6</f>
        <v>0</v>
      </c>
      <c r="F7" s="10">
        <f>('DCF Model'!$B$10*(1+'DCF Model'!$B$16)*(1+'DCF Model'!$C$16)*(1+'DCF Model'!$D$16)*(1+'DCF Model'!$E$16)*(1+'DCF Model'!$F$16)*(1+0.04)/(0.1-0.04))/(1+0.1)^5/'DCF Model'!$B$6</f>
        <v>0</v>
      </c>
    </row>
    <row r="8" spans="1:6">
      <c r="A8" s="12">
        <v>0.11</v>
      </c>
      <c r="B8" s="10">
        <f>('DCF Model'!$B$10*(1+'DCF Model'!$B$16)*(1+'DCF Model'!$C$16)*(1+'DCF Model'!$D$16)*(1+'DCF Model'!$E$16)*(1+'DCF Model'!$F$16)*(1+0.02)/(0.11-0.02))/(1+0.11)^5/'DCF Model'!$B$6</f>
        <v>0</v>
      </c>
      <c r="C8" s="10">
        <f>('DCF Model'!$B$10*(1+'DCF Model'!$B$16)*(1+'DCF Model'!$C$16)*(1+'DCF Model'!$D$16)*(1+'DCF Model'!$E$16)*(1+'DCF Model'!$F$16)*(1+0.025)/(0.11-0.025))/(1+0.11)^5/'DCF Model'!$B$6</f>
        <v>0</v>
      </c>
      <c r="D8" s="10">
        <f>('DCF Model'!$B$10*(1+'DCF Model'!$B$16)*(1+'DCF Model'!$C$16)*(1+'DCF Model'!$D$16)*(1+'DCF Model'!$E$16)*(1+'DCF Model'!$F$16)*(1+0.03)/(0.11-0.03))/(1+0.11)^5/'DCF Model'!$B$6</f>
        <v>0</v>
      </c>
      <c r="E8" s="10">
        <f>('DCF Model'!$B$10*(1+'DCF Model'!$B$16)*(1+'DCF Model'!$C$16)*(1+'DCF Model'!$D$16)*(1+'DCF Model'!$E$16)*(1+'DCF Model'!$F$16)*(1+0.035)/(0.11-0.035))/(1+0.11)^5/'DCF Model'!$B$6</f>
        <v>0</v>
      </c>
      <c r="F8" s="10">
        <f>('DCF Model'!$B$10*(1+'DCF Model'!$B$16)*(1+'DCF Model'!$C$16)*(1+'DCF Model'!$D$16)*(1+'DCF Model'!$E$16)*(1+'DCF Model'!$F$16)*(1+0.04)/(0.11-0.04))/(1+0.11)^5/'DCF Model'!$B$6</f>
        <v>0</v>
      </c>
    </row>
    <row r="9" spans="1:6">
      <c r="A9" s="12">
        <v>0.12</v>
      </c>
      <c r="B9" s="10">
        <f>('DCF Model'!$B$10*(1+'DCF Model'!$B$16)*(1+'DCF Model'!$C$16)*(1+'DCF Model'!$D$16)*(1+'DCF Model'!$E$16)*(1+'DCF Model'!$F$16)*(1+0.02)/(0.12-0.02))/(1+0.12)^5/'DCF Model'!$B$6</f>
        <v>0</v>
      </c>
      <c r="C9" s="10">
        <f>('DCF Model'!$B$10*(1+'DCF Model'!$B$16)*(1+'DCF Model'!$C$16)*(1+'DCF Model'!$D$16)*(1+'DCF Model'!$E$16)*(1+'DCF Model'!$F$16)*(1+0.025)/(0.12-0.025))/(1+0.12)^5/'DCF Model'!$B$6</f>
        <v>0</v>
      </c>
      <c r="D9" s="10">
        <f>('DCF Model'!$B$10*(1+'DCF Model'!$B$16)*(1+'DCF Model'!$C$16)*(1+'DCF Model'!$D$16)*(1+'DCF Model'!$E$16)*(1+'DCF Model'!$F$16)*(1+0.03)/(0.12-0.03))/(1+0.12)^5/'DCF Model'!$B$6</f>
        <v>0</v>
      </c>
      <c r="E9" s="10">
        <f>('DCF Model'!$B$10*(1+'DCF Model'!$B$16)*(1+'DCF Model'!$C$16)*(1+'DCF Model'!$D$16)*(1+'DCF Model'!$E$16)*(1+'DCF Model'!$F$16)*(1+0.035)/(0.12-0.035))/(1+0.12)^5/'DCF Model'!$B$6</f>
        <v>0</v>
      </c>
      <c r="F9" s="10">
        <f>('DCF Model'!$B$10*(1+'DCF Model'!$B$16)*(1+'DCF Model'!$C$16)*(1+'DCF Model'!$D$16)*(1+'DCF Model'!$E$16)*(1+'DCF Model'!$F$16)*(1+0.04)/(0.12-0.04))/(1+0.12)^5/'DCF Model'!$B$6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40</v>
      </c>
    </row>
    <row r="3" spans="1:3">
      <c r="A3" s="7" t="s">
        <v>41</v>
      </c>
      <c r="B3" s="7" t="s">
        <v>42</v>
      </c>
      <c r="C3" s="7" t="s">
        <v>43</v>
      </c>
    </row>
    <row r="4" spans="1:3">
      <c r="A4" t="s">
        <v>44</v>
      </c>
      <c r="B4" s="11">
        <v>0.078</v>
      </c>
      <c r="C4" s="11">
        <v>0.123</v>
      </c>
    </row>
    <row r="5" spans="1:3">
      <c r="A5" t="s">
        <v>45</v>
      </c>
      <c r="B5" s="11">
        <v>0.043</v>
      </c>
      <c r="C5" s="11">
        <v>0.141</v>
      </c>
    </row>
    <row r="6" spans="1:3">
      <c r="A6" t="s">
        <v>46</v>
      </c>
      <c r="B6" s="11">
        <v>-0.021</v>
      </c>
      <c r="C6" s="11">
        <v>0.039</v>
      </c>
    </row>
    <row r="7" spans="1:3">
      <c r="A7" t="s">
        <v>47</v>
      </c>
      <c r="B7" s="11">
        <v>0.076</v>
      </c>
      <c r="C7" s="11">
        <v>0.15</v>
      </c>
    </row>
    <row r="9" spans="1:3">
      <c r="A9" s="8" t="s">
        <v>48</v>
      </c>
      <c r="B9" s="11">
        <v>0.078</v>
      </c>
    </row>
    <row r="10" spans="1:3">
      <c r="A10" t="s">
        <v>49</v>
      </c>
      <c r="B10" t="s">
        <v>50</v>
      </c>
    </row>
    <row r="12" spans="1:3">
      <c r="A12" s="13" t="s">
        <v>51</v>
      </c>
      <c r="B1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s="1" t="s">
        <v>53</v>
      </c>
    </row>
    <row r="3" spans="1:4">
      <c r="A3" s="7" t="s">
        <v>54</v>
      </c>
      <c r="B3" s="7" t="s">
        <v>55</v>
      </c>
      <c r="C3" s="7" t="s">
        <v>19</v>
      </c>
      <c r="D3" s="7" t="s">
        <v>56</v>
      </c>
    </row>
    <row r="5" spans="1:4">
      <c r="A5" s="3" t="s">
        <v>57</v>
      </c>
    </row>
    <row r="6" spans="1:4">
      <c r="A6" t="s">
        <v>58</v>
      </c>
      <c r="B6" s="11">
        <v>0.02</v>
      </c>
      <c r="C6" s="11">
        <v>0.06</v>
      </c>
      <c r="D6" s="11">
        <v>0.12</v>
      </c>
    </row>
    <row r="7" spans="1:4">
      <c r="A7" t="s">
        <v>9</v>
      </c>
      <c r="B7" s="11">
        <v>0.11</v>
      </c>
      <c r="C7" s="11">
        <v>0.1</v>
      </c>
      <c r="D7" s="11">
        <v>0.09</v>
      </c>
    </row>
    <row r="8" spans="1:4">
      <c r="A8" t="s">
        <v>59</v>
      </c>
      <c r="B8" s="11">
        <v>0.02</v>
      </c>
      <c r="C8" s="11">
        <v>0.03</v>
      </c>
      <c r="D8" s="11">
        <v>0.035</v>
      </c>
    </row>
    <row r="10" spans="1:4">
      <c r="A10" s="3" t="s">
        <v>60</v>
      </c>
    </row>
    <row r="11" spans="1:4">
      <c r="A11" t="s">
        <v>61</v>
      </c>
      <c r="B11" s="10">
        <v>57.54</v>
      </c>
      <c r="C11" s="10">
        <v>101.48</v>
      </c>
      <c r="D11" s="10">
        <v>173.95</v>
      </c>
    </row>
    <row r="12" spans="1:4">
      <c r="A12" t="s">
        <v>62</v>
      </c>
      <c r="B12" s="11">
        <v>0.403</v>
      </c>
      <c r="C12" s="11">
        <v>1.475</v>
      </c>
      <c r="D12" s="11">
        <v>3.243</v>
      </c>
    </row>
    <row r="14" spans="1:4">
      <c r="A14" t="s">
        <v>34</v>
      </c>
      <c r="B14" s="10">
        <v>33.1</v>
      </c>
      <c r="C14" s="10">
        <v>60.87</v>
      </c>
      <c r="D14" s="10">
        <v>106.63</v>
      </c>
    </row>
    <row r="16" spans="1:4">
      <c r="A16" s="8" t="s">
        <v>63</v>
      </c>
      <c r="C16" s="9">
        <v>108.61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</vt:lpstr>
      <vt:lpstr>Scenario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2026-02-04T23:30:33Z</dcterms:created>
  <dcterms:modified xsi:type="dcterms:W3CDTF">2026-02-04T23:30:33Z</dcterms:modified>
</cp:coreProperties>
</file>