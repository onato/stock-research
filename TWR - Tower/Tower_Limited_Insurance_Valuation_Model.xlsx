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DM" sheetId="2" state="visible" r:id="rId4"/>
    <sheet name="ExcessReturn" sheetId="3" state="visible" r:id="rId5"/>
    <sheet name="JustifiedPB" sheetId="4" state="visible" r:id="rId6"/>
    <sheet name="Ris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<sst xmlns="http://schemas.openxmlformats.org/spreadsheetml/2006/main" count="216" uniqueCount="190">
  <si>
    <t xml:space="preserve">Tower Limited (TWR.NZ) - Insurance Valuation Model</t>
  </si>
  <si>
    <t xml:space="preserve">Dividend Discount &amp; Excess Return Approaches | December 2025</t>
  </si>
  <si>
    <t xml:space="preserve">WHY NOT USE TRADITIONAL DCF FOR INSURERS?</t>
  </si>
  <si>
    <t xml:space="preserve">Issue</t>
  </si>
  <si>
    <t xml:space="preserve">Explanation</t>
  </si>
  <si>
    <t xml:space="preserve">Float Distortion</t>
  </si>
  <si>
    <t xml:space="preserve">Premiums collected before claims paid inflates operating cash flow</t>
  </si>
  <si>
    <t xml:space="preserve">Reserve Timing</t>
  </si>
  <si>
    <t xml:space="preserve">Growing premiums = growing reserves, but cash received upfront</t>
  </si>
  <si>
    <t xml:space="preserve">Debt Ambiguity</t>
  </si>
  <si>
    <t xml:space="preserve">Policy liabilities aren't traditional debt - can't calc enterprise value cleanly</t>
  </si>
  <si>
    <t xml:space="preserve">Capital Requirements</t>
  </si>
  <si>
    <t xml:space="preserve">Regulatory capital needs aren't captured in FCF</t>
  </si>
  <si>
    <t xml:space="preserve">PREFERRED METHODS</t>
  </si>
  <si>
    <t xml:space="preserve">Dividend Discount Model</t>
  </si>
  <si>
    <t xml:space="preserve">Dividends are 'true' distributable cash after reserving</t>
  </si>
  <si>
    <t xml:space="preserve">Excess Return Model</t>
  </si>
  <si>
    <t xml:space="preserve">Values ability to generate ROE above cost of equity</t>
  </si>
  <si>
    <t xml:space="preserve">Justified P/B</t>
  </si>
  <si>
    <t xml:space="preserve">Links P/B multiple to ROE and growth</t>
  </si>
  <si>
    <t xml:space="preserve">VALUATION SUMMARY</t>
  </si>
  <si>
    <t xml:space="preserve">Method</t>
  </si>
  <si>
    <t xml:space="preserve">Implied Value (NZ$)</t>
  </si>
  <si>
    <t xml:space="preserve">vs Current Price</t>
  </si>
  <si>
    <t xml:space="preserve">Weight</t>
  </si>
  <si>
    <t xml:space="preserve">Weighted Value</t>
  </si>
  <si>
    <t xml:space="preserve">Current Share Price</t>
  </si>
  <si>
    <t xml:space="preserve">Blended Fair Value</t>
  </si>
  <si>
    <t xml:space="preserve">KEY MODEL INPUTS</t>
  </si>
  <si>
    <t xml:space="preserve">Input</t>
  </si>
  <si>
    <t xml:space="preserve">Value</t>
  </si>
  <si>
    <t xml:space="preserve">Source</t>
  </si>
  <si>
    <t xml:space="preserve">Current Share Price (NZ$)</t>
  </si>
  <si>
    <t xml:space="preserve">Market price Dec 2025</t>
  </si>
  <si>
    <t xml:space="preserve">Shares Outstanding (m)</t>
  </si>
  <si>
    <t xml:space="preserve">Company filings</t>
  </si>
  <si>
    <t xml:space="preserve">Book Value per Share (NZ$)</t>
  </si>
  <si>
    <t xml:space="preserve">NZ$352m equity / 342.55m shares</t>
  </si>
  <si>
    <t xml:space="preserve">ROE (Normalized)</t>
  </si>
  <si>
    <t xml:space="preserve">Conservative vs FY25's 23.5%</t>
  </si>
  <si>
    <t xml:space="preserve">Dividend per Share (NZ$)</t>
  </si>
  <si>
    <t xml:space="preserve">FY25 declared dividend</t>
  </si>
  <si>
    <t xml:space="preserve">Cost of Equity</t>
  </si>
  <si>
    <t xml:space="preserve">CAPM: 4.5% + 0.2 × 5%</t>
  </si>
  <si>
    <t xml:space="preserve">DIVIDEND DISCOUNT MODEL (DDM)</t>
  </si>
  <si>
    <t xml:space="preserve">Two-Stage Model: High growth phase transitioning to perpetual growth</t>
  </si>
  <si>
    <t xml:space="preserve">MODEL ASSUMPTIONS</t>
  </si>
  <si>
    <t xml:space="preserve">Parameter</t>
  </si>
  <si>
    <t xml:space="preserve">Rationale</t>
  </si>
  <si>
    <t xml:space="preserve">Current DPS (NZ$)</t>
  </si>
  <si>
    <t xml:space="preserve">Stage 1 Growth Rate</t>
  </si>
  <si>
    <t xml:space="preserve">Conservative - below GWP growth</t>
  </si>
  <si>
    <t xml:space="preserve">Stage 1 Duration (years)</t>
  </si>
  <si>
    <t xml:space="preserve">Through Westpac ramp-up</t>
  </si>
  <si>
    <t xml:space="preserve">Terminal Growth Rate</t>
  </si>
  <si>
    <t xml:space="preserve">Long-term NZ nominal GDP</t>
  </si>
  <si>
    <t xml:space="preserve">CAPM calculation</t>
  </si>
  <si>
    <t xml:space="preserve">DIVIDEND PROJECTIONS</t>
  </si>
  <si>
    <t xml:space="preserve">Year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</si>
  <si>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</si>
  <si>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</si>
  <si>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</si>
  <si>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</si>
  <si>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</si>
  <si>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Terminal</t>
  </si>
  <si>
    <t xml:space="preserve">Dividend per Share</t>
  </si>
  <si>
    <t xml:space="preserve">Discount Factor</t>
  </si>
  <si>
    <t xml:space="preserve">PV of Dividend</t>
  </si>
  <si>
    <t xml:space="preserve">VALUATION</t>
  </si>
  <si>
    <t xml:space="preserve">Component</t>
  </si>
  <si>
    <t xml:space="preserve">Value (NZ$)</t>
  </si>
  <si>
    <t xml:space="preserve">Formula</t>
  </si>
  <si>
    <t xml:space="preserve">Sum of Stage 1 PV</t>
  </si>
  <si>
    <t xml:space="preserve">PV of years 1-5 dividends</t>
  </si>
  <si>
    <t xml:space="preserve">Terminal Value (Year 5)</t>
  </si>
  <si>
    <t xml:space="preserve">Gordon Growth: D6/(r-g)</t>
  </si>
  <si>
    <t xml:space="preserve">PV of Terminal Value</t>
  </si>
  <si>
    <t xml:space="preserve">TV discounted to today</t>
  </si>
  <si>
    <t xml:space="preserve">EQUITY VALUE PER SHARE</t>
  </si>
  <si>
    <t xml:space="preserve">Sum of all PVs</t>
  </si>
  <si>
    <t xml:space="preserve">Current Price</t>
  </si>
  <si>
    <t xml:space="preserve">Implied Upside/(Downside)</t>
  </si>
  <si>
    <t xml:space="preserve">SENSITIVITY: Value vs Growth &amp; Cost of Equity</t>
  </si>
  <si>
    <t xml:space="preserve">Growth Rate →</t>
  </si>
  <si>
    <t xml:space="preserve">4%</t>
  </si>
  <si>
    <t xml:space="preserve">5%</t>
  </si>
  <si>
    <t xml:space="preserve">6%</t>
  </si>
  <si>
    <t xml:space="preserve">7%</t>
  </si>
  <si>
    <t xml:space="preserve">8%</t>
  </si>
  <si>
    <t xml:space="preserve">CoE 4.5%</t>
  </si>
  <si>
    <t xml:space="preserve">CoE 5.0%</t>
  </si>
  <si>
    <t xml:space="preserve">CoE 5.5%</t>
  </si>
  <si>
    <t xml:space="preserve">CoE 6.0%</t>
  </si>
  <si>
    <t xml:space="preserve">CoE 6.5%</t>
  </si>
  <si>
    <t xml:space="preserve">EXCESS RETURN (RESIDUAL INCOME) MODEL</t>
  </si>
  <si>
    <t xml:space="preserve">Value = Book Value + PV of Future Excess Returns</t>
  </si>
  <si>
    <t xml:space="preserve">CONCEPT</t>
  </si>
  <si>
    <t xml:space="preserve">The Model:</t>
  </si>
  <si>
    <t xml:space="preserve">Equity Value = Book Value + Σ PV[(ROE - CoE) × BV]</t>
  </si>
  <si>
    <t xml:space="preserve">Intuition:</t>
  </si>
  <si>
    <t xml:space="preserve">If ROE &gt; Cost of Equity, company creates value above book.</t>
  </si>
  <si>
    <t xml:space="preserve">Tower's ROE of ~20% far exceeds its 5.5% cost of equity.</t>
  </si>
  <si>
    <t xml:space="preserve">This 14.5% 'excess return' justifies a premium to book value.</t>
  </si>
  <si>
    <t xml:space="preserve">MODEL INPUTS</t>
  </si>
  <si>
    <t xml:space="preserve">Notes</t>
  </si>
  <si>
    <t xml:space="preserve">Book Value per Share</t>
  </si>
  <si>
    <t xml:space="preserve">Current BV</t>
  </si>
  <si>
    <t xml:space="preserve">Sustainable ROE</t>
  </si>
  <si>
    <t xml:space="preserve">Normalized - below FY25 peak</t>
  </si>
  <si>
    <t xml:space="preserve">CAPM</t>
  </si>
  <si>
    <t xml:space="preserve">Excess Return Spread</t>
  </si>
  <si>
    <t xml:space="preserve">ROE minus Cost of Equity</t>
  </si>
  <si>
    <t xml:space="preserve">Fade Period (years)</t>
  </si>
  <si>
    <t xml:space="preserve">Years until ROE converges to CoE</t>
  </si>
  <si>
    <t xml:space="preserve">Calculation</t>
  </si>
  <si>
    <t xml:space="preserve">Starting point</t>
  </si>
  <si>
    <t xml:space="preserve">PV of Excess Returns</t>
  </si>
  <si>
    <t xml:space="preserve">Annuity of excess returns</t>
  </si>
  <si>
    <t xml:space="preserve">BV + PV of excess returns</t>
  </si>
  <si>
    <t xml:space="preserve">SENSITIVITY: Value vs ROE &amp; Fade Period</t>
  </si>
  <si>
    <t xml:space="preserve">ROE →</t>
  </si>
  <si>
    <t xml:space="preserve">15%</t>
  </si>
  <si>
    <t xml:space="preserve">18%</t>
  </si>
  <si>
    <t xml:space="preserve">20%</t>
  </si>
  <si>
    <t xml:space="preserve">22%</t>
  </si>
  <si>
    <t xml:space="preserve">25%</t>
  </si>
  <si>
    <t xml:space="preserve">Fade 5yr</t>
  </si>
  <si>
    <t xml:space="preserve">Fade 7yr</t>
  </si>
  <si>
    <t xml:space="preserve">Fade 10yr</t>
  </si>
  <si>
    <t xml:space="preserve">Fade 15yr</t>
  </si>
  <si>
    <t xml:space="preserve">Perpetual</t>
  </si>
  <si>
    <t xml:space="preserve">JUSTIFIED PRICE-TO-BOOK MODEL</t>
  </si>
  <si>
    <t xml:space="preserve">P/B = (ROE - g) / (r - g) when ROE &gt; Cost of Equity</t>
  </si>
  <si>
    <t xml:space="preserve">ROE (Sustainable)</t>
  </si>
  <si>
    <t xml:space="preserve">Normalized below FY25 peak</t>
  </si>
  <si>
    <t xml:space="preserve">Cost of Equity (r)</t>
  </si>
  <si>
    <t xml:space="preserve">Growth Rate (g)</t>
  </si>
  <si>
    <t xml:space="preserve">Long-term sustainable growth</t>
  </si>
  <si>
    <t xml:space="preserve">JUSTIFIED P/B RATIO</t>
  </si>
  <si>
    <t xml:space="preserve">(ROE - g) / (r - g)</t>
  </si>
  <si>
    <t xml:space="preserve">Implied Value per Share</t>
  </si>
  <si>
    <t xml:space="preserve">Justified P/B × Book Value</t>
  </si>
  <si>
    <t xml:space="preserve">COMPARISON TO MARKET</t>
  </si>
  <si>
    <t xml:space="preserve">Current P/B Ratio</t>
  </si>
  <si>
    <t xml:space="preserve">Market price / Book value</t>
  </si>
  <si>
    <t xml:space="preserve">Discount to Justified P/B</t>
  </si>
  <si>
    <t xml:space="preserve">Negative = undervalued</t>
  </si>
  <si>
    <t xml:space="preserve">INTERPRETATION</t>
  </si>
  <si>
    <t xml:space="preserve">Tower's high ROE (20%) justifies a P/B well above 1.0x</t>
  </si>
  <si>
    <t xml:space="preserve">With ROE=20%, CoE=5.5%, g=3%:</t>
  </si>
  <si>
    <t xml:space="preserve">Justified P/B = (20% - 3%) / (5.5% - 3%) = 6.8x</t>
  </si>
  <si>
    <t xml:space="preserve">Current P/B of ~1.9x suggests significant undervaluation IF:</t>
  </si>
  <si>
    <t xml:space="preserve">  • ROE can be sustained at current levels</t>
  </si>
  <si>
    <t xml:space="preserve">  • Cost of equity assumptions are reasonable</t>
  </si>
  <si>
    <t xml:space="preserve">  • Growth rate is achievable</t>
  </si>
  <si>
    <t xml:space="preserve">CAUTION: This model is highly sensitive to the spread</t>
  </si>
  <si>
    <t xml:space="preserve">between CoE and growth rate (denominator).</t>
  </si>
  <si>
    <t xml:space="preserve">MODEL RISKS &amp; CONSIDERATIONS</t>
  </si>
  <si>
    <t xml:space="preserve">KEY MODEL ASSUMPTIONS TO MONITOR</t>
  </si>
  <si>
    <t xml:space="preserve">Assumption</t>
  </si>
  <si>
    <t xml:space="preserve">Risk</t>
  </si>
  <si>
    <t xml:space="preserve">Sensitivity</t>
  </si>
  <si>
    <t xml:space="preserve">ROE Sustainability</t>
  </si>
  <si>
    <t xml:space="preserve">Competition, weather events could erode margins</t>
  </si>
  <si>
    <t xml:space="preserve">High - 5% ROE drop = ~30% value reduction</t>
  </si>
  <si>
    <t xml:space="preserve">Dividend Payout</t>
  </si>
  <si>
    <t xml:space="preserve">Capital needs could reduce DPS</t>
  </si>
  <si>
    <t xml:space="preserve">Medium - DDM highly sensitive to DPS</t>
  </si>
  <si>
    <t xml:space="preserve">Low beta may understate true risk</t>
  </si>
  <si>
    <t xml:space="preserve">Medium - 1% CoE increase = ~20% value drop</t>
  </si>
  <si>
    <t xml:space="preserve">Westpac Partnership</t>
  </si>
  <si>
    <t xml:space="preserve">Execution risk, lower take-up</t>
  </si>
  <si>
    <t xml:space="preserve">Low-Med - upside not fully in base case</t>
  </si>
  <si>
    <t xml:space="preserve">Catastrophic Events</t>
  </si>
  <si>
    <t xml:space="preserve">Weather could wipe out profit</t>
  </si>
  <si>
    <t xml:space="preserve">High - see FY23 as example</t>
  </si>
  <si>
    <t xml:space="preserve">WHY USE ALL THREE METHODS</t>
  </si>
  <si>
    <t xml:space="preserve">Strength</t>
  </si>
  <si>
    <t xml:space="preserve">Weakness</t>
  </si>
  <si>
    <t xml:space="preserve">DDM</t>
  </si>
  <si>
    <t xml:space="preserve">Focuses on actual distributable cash</t>
  </si>
  <si>
    <t xml:space="preserve">Sensitive to dividend policy</t>
  </si>
  <si>
    <t xml:space="preserve">Excess Return</t>
  </si>
  <si>
    <t xml:space="preserve">Captures value creation above capital cost</t>
  </si>
  <si>
    <t xml:space="preserve">Requires ROE sustainability</t>
  </si>
  <si>
    <t xml:space="preserve">Simple, intuitive for financials</t>
  </si>
  <si>
    <t xml:space="preserve">Static - misses growth dynamics</t>
  </si>
  <si>
    <t xml:space="preserve">RECOMMENDATION:</t>
  </si>
  <si>
    <t xml:space="preserve">Use blended 40/40/20 weights</t>
  </si>
  <si>
    <t xml:space="preserve">Cross-check for consistency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</si>
</sst>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%"/>
    <numFmt numFmtId="167" formatCode="0%"/>
    <numFmt numFmtId="168" formatCode="[$$-409]#,##0.00;[RED]\-[$$-409]#,##0.00"/>
    <numFmt numFmtId="169" formatCode="\$#,##0.000"/>
    <numFmt numFmtId="170" formatCode="0.0000"/>
    <numFmt numFmtId="171" formatCode="0.0\x"/>
    <numFmt numFmtId="172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DCE4"/>
        <bgColor rgb="FFE2EFDA"/>
      </patternFill>
    </fill>
    <fill>
      <patternFill patternType="solid">
        <fgColor rgb="FFE2EFDA"/>
        <bgColor rgb="FFD6DCE4"/>
      </patternFill>
    </fill>
    <fill>
      <patternFill patternType="solid">
        <fgColor rgb="FFFFCDD2"/>
        <bgColor rgb="FFD6DCE4"/>
      </patternFill>
    </fill>
    <fill>
      <patternFill patternType="solid">
        <fgColor rgb="FFC00000"/>
        <bgColor rgb="FF800000"/>
      </patternFill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3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</row>
    <row r="4" customFormat="false" ht="17.2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5" t="s">
        <v>4</v>
      </c>
    </row>
    <row r="6" customFormat="false" ht="15" hidden="false" customHeight="true" outlineLevel="0" collapsed="false">
      <c r="A6" s="6" t="s">
        <v>5</v>
      </c>
      <c r="B6" s="6" t="s">
        <v>6</v>
      </c>
    </row>
    <row r="7" customFormat="false" ht="15" hidden="false" customHeight="true" outlineLevel="0" collapsed="false">
      <c r="A7" s="6" t="s">
        <v>7</v>
      </c>
      <c r="B7" s="6" t="s">
        <v>8</v>
      </c>
    </row>
    <row r="8" customFormat="false" ht="15" hidden="false" customHeight="true" outlineLevel="0" collapsed="false">
      <c r="A8" s="6" t="s">
        <v>9</v>
      </c>
      <c r="B8" s="6" t="s">
        <v>10</v>
      </c>
    </row>
    <row r="9" customFormat="false" ht="15" hidden="false" customHeight="true" outlineLevel="0" collapsed="false">
      <c r="A9" s="6" t="s">
        <v>11</v>
      </c>
      <c r="B9" s="6" t="s">
        <v>12</v>
      </c>
    </row>
    <row r="10" customFormat="false" ht="15" hidden="false" customHeight="true" outlineLevel="0" collapsed="false">
      <c r="A10" s="7"/>
      <c r="B10" s="7"/>
    </row>
    <row r="11" customFormat="false" ht="15" hidden="false" customHeight="true" outlineLevel="0" collapsed="false">
      <c r="A11" s="7" t="s">
        <v>13</v>
      </c>
      <c r="B11" s="7"/>
    </row>
    <row r="12" customFormat="false" ht="15" hidden="false" customHeight="true" outlineLevel="0" collapsed="false">
      <c r="A12" s="6" t="s">
        <v>14</v>
      </c>
      <c r="B12" s="6" t="s">
        <v>15</v>
      </c>
    </row>
    <row r="13" customFormat="false" ht="15" hidden="false" customHeight="true" outlineLevel="0" collapsed="false">
      <c r="A13" s="6" t="s">
        <v>16</v>
      </c>
      <c r="B13" s="6" t="s">
        <v>17</v>
      </c>
    </row>
    <row r="14" customFormat="false" ht="15" hidden="false" customHeight="true" outlineLevel="0" collapsed="false">
      <c r="A14" s="6" t="s">
        <v>18</v>
      </c>
      <c r="B14" s="6" t="s">
        <v>19</v>
      </c>
    </row>
    <row r="17" customFormat="false" ht="17.25" hidden="false" customHeight="true" outlineLevel="0" collapsed="false">
      <c r="A17" s="4" t="s">
        <v>20</v>
      </c>
      <c r="B17" s="4"/>
      <c r="C17" s="4"/>
      <c r="D17" s="4"/>
      <c r="E17" s="4"/>
      <c r="F17" s="4"/>
    </row>
    <row r="18" customFormat="false" ht="15" hidden="false" customHeight="true" outlineLevel="0" collapsed="false">
      <c r="A18" s="5" t="s">
        <v>21</v>
      </c>
      <c r="B18" s="5" t="s">
        <v>22</v>
      </c>
      <c r="C18" s="5" t="s">
        <v>23</v>
      </c>
      <c r="D18" s="5" t="s">
        <v>24</v>
      </c>
      <c r="E18" s="5" t="s">
        <v>25</v>
      </c>
    </row>
    <row r="19" customFormat="false" ht="15" hidden="false" customHeight="true" outlineLevel="0" collapsed="false">
      <c r="A19" s="6" t="s">
        <v>14</v>
      </c>
      <c r="B19" s="8" t="n">
        <f aca="false">DDM!B26</f>
        <v>12.8177775773638</v>
      </c>
      <c r="C19" s="9" t="n">
        <f aca="false">(B19-1.96)/1.96</f>
        <v>5.53968243743051</v>
      </c>
      <c r="D19" s="10" t="n">
        <v>0.4</v>
      </c>
      <c r="E19" s="8" t="n">
        <f aca="false">B19*D19</f>
        <v>5.12711103094552</v>
      </c>
    </row>
    <row r="20" customFormat="false" ht="15" hidden="false" customHeight="true" outlineLevel="0" collapsed="false">
      <c r="A20" s="6" t="s">
        <v>16</v>
      </c>
      <c r="B20" s="8" t="n">
        <f aca="false">ExcessReturn!B25</f>
        <v>2.15574441749976</v>
      </c>
      <c r="C20" s="9" t="n">
        <f aca="false">(B20-1.96)/1.96</f>
        <v>0.0998696007651844</v>
      </c>
      <c r="D20" s="10" t="n">
        <v>0.4</v>
      </c>
      <c r="E20" s="8" t="n">
        <f aca="false">B20*D20</f>
        <v>0.862297766999905</v>
      </c>
    </row>
    <row r="21" customFormat="false" ht="15" hidden="false" customHeight="true" outlineLevel="0" collapsed="false">
      <c r="A21" s="6" t="s">
        <v>18</v>
      </c>
      <c r="B21" s="8" t="n">
        <f aca="false">JustifiedPB!B12</f>
        <v>7.004</v>
      </c>
      <c r="C21" s="9" t="n">
        <f aca="false">(B21-1.96)/1.96</f>
        <v>2.5734693877551</v>
      </c>
      <c r="D21" s="10" t="n">
        <v>0.2</v>
      </c>
      <c r="E21" s="8" t="n">
        <f aca="false">B21*D21</f>
        <v>1.4008</v>
      </c>
    </row>
    <row r="22" customFormat="false" ht="15" hidden="false" customHeight="true" outlineLevel="0" collapsed="false">
      <c r="A22" s="6"/>
      <c r="B22" s="6"/>
      <c r="C22" s="6"/>
      <c r="D22" s="6"/>
      <c r="E22" s="6"/>
    </row>
    <row r="23" customFormat="false" ht="15" hidden="false" customHeight="true" outlineLevel="0" collapsed="false">
      <c r="A23" s="6" t="s">
        <v>26</v>
      </c>
      <c r="B23" s="11" t="n">
        <v>1.96</v>
      </c>
      <c r="C23" s="6"/>
      <c r="D23" s="6"/>
      <c r="E23" s="6"/>
    </row>
    <row r="24" customFormat="false" ht="15" hidden="false" customHeight="true" outlineLevel="0" collapsed="false">
      <c r="A24" s="12" t="s">
        <v>27</v>
      </c>
      <c r="B24" s="13" t="n">
        <f aca="false">SUM(E19:E21)</f>
        <v>7.39020879794543</v>
      </c>
      <c r="C24" s="14" t="n">
        <f aca="false">(B24-1.96)/1.96</f>
        <v>2.7705146928293</v>
      </c>
      <c r="D24" s="12"/>
      <c r="E24" s="12"/>
    </row>
    <row r="27" customFormat="false" ht="17.25" hidden="false" customHeight="true" outlineLevel="0" collapsed="false">
      <c r="A27" s="4" t="s">
        <v>28</v>
      </c>
      <c r="B27" s="4"/>
      <c r="C27" s="4"/>
      <c r="D27" s="4"/>
    </row>
    <row r="28" customFormat="false" ht="15" hidden="false" customHeight="true" outlineLevel="0" collapsed="false">
      <c r="A28" s="5" t="s">
        <v>29</v>
      </c>
      <c r="B28" s="5" t="s">
        <v>30</v>
      </c>
      <c r="C28" s="5" t="s">
        <v>31</v>
      </c>
    </row>
    <row r="29" customFormat="false" ht="15" hidden="false" customHeight="true" outlineLevel="0" collapsed="false">
      <c r="A29" s="6" t="s">
        <v>32</v>
      </c>
      <c r="B29" s="11" t="n">
        <v>1.96</v>
      </c>
      <c r="C29" s="6" t="s">
        <v>33</v>
      </c>
    </row>
    <row r="30" customFormat="false" ht="15" hidden="false" customHeight="true" outlineLevel="0" collapsed="false">
      <c r="A30" s="6" t="s">
        <v>34</v>
      </c>
      <c r="B30" s="11" t="n">
        <v>342.55</v>
      </c>
      <c r="C30" s="6" t="s">
        <v>35</v>
      </c>
    </row>
    <row r="31" customFormat="false" ht="15" hidden="false" customHeight="true" outlineLevel="0" collapsed="false">
      <c r="A31" s="6" t="s">
        <v>36</v>
      </c>
      <c r="B31" s="11" t="n">
        <v>1.03</v>
      </c>
      <c r="C31" s="6" t="s">
        <v>37</v>
      </c>
    </row>
    <row r="32" customFormat="false" ht="15" hidden="false" customHeight="true" outlineLevel="0" collapsed="false">
      <c r="A32" s="6" t="s">
        <v>38</v>
      </c>
      <c r="B32" s="15" t="n">
        <v>0.2</v>
      </c>
      <c r="C32" s="6" t="s">
        <v>39</v>
      </c>
    </row>
    <row r="33" customFormat="false" ht="15" hidden="false" customHeight="true" outlineLevel="0" collapsed="false">
      <c r="A33" s="6" t="s">
        <v>40</v>
      </c>
      <c r="B33" s="15" t="n">
        <v>0.32</v>
      </c>
      <c r="C33" s="6" t="s">
        <v>41</v>
      </c>
    </row>
    <row r="34" customFormat="false" ht="15" hidden="false" customHeight="true" outlineLevel="0" collapsed="false">
      <c r="A34" s="6" t="s">
        <v>42</v>
      </c>
      <c r="B34" s="15" t="n">
        <v>0.055</v>
      </c>
      <c r="C34" s="6" t="s">
        <v>43</v>
      </c>
    </row>
  </sheetData>
  <mergeCells count="4">
    <mergeCell ref="A1:F1"/>
    <mergeCell ref="A4:F4"/>
    <mergeCell ref="A17:F17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7" min="4" style="1" width="14"/>
  </cols>
  <sheetData>
    <row r="1" customFormat="false" ht="17.25" hidden="false" customHeight="true" outlineLevel="0" collapsed="false">
      <c r="A1" s="16" t="s">
        <v>44</v>
      </c>
    </row>
    <row r="2" customFormat="false" ht="15" hidden="false" customHeight="true" outlineLevel="0" collapsed="false">
      <c r="A2" s="3" t="s">
        <v>45</v>
      </c>
    </row>
    <row r="4" customFormat="false" ht="17.25" hidden="false" customHeight="true" outlineLevel="0" collapsed="false">
      <c r="A4" s="4" t="s">
        <v>46</v>
      </c>
      <c r="B4" s="4"/>
      <c r="C4" s="4"/>
      <c r="D4" s="4"/>
    </row>
    <row r="5" customFormat="false" ht="15" hidden="false" customHeight="true" outlineLevel="0" collapsed="false">
      <c r="A5" s="5" t="s">
        <v>47</v>
      </c>
      <c r="B5" s="5" t="s">
        <v>30</v>
      </c>
      <c r="C5" s="5" t="s">
        <v>48</v>
      </c>
    </row>
    <row r="6" customFormat="false" ht="15" hidden="false" customHeight="true" outlineLevel="0" collapsed="false">
      <c r="A6" s="6" t="s">
        <v>49</v>
      </c>
      <c r="B6" s="15" t="n">
        <v>0.32</v>
      </c>
      <c r="C6" s="6" t="s">
        <v>41</v>
      </c>
    </row>
    <row r="7" customFormat="false" ht="15" hidden="false" customHeight="true" outlineLevel="0" collapsed="false">
      <c r="A7" s="6" t="s">
        <v>50</v>
      </c>
      <c r="B7" s="15" t="n">
        <v>0.06</v>
      </c>
      <c r="C7" s="6" t="s">
        <v>51</v>
      </c>
    </row>
    <row r="8" customFormat="false" ht="15" hidden="false" customHeight="true" outlineLevel="0" collapsed="false">
      <c r="A8" s="6" t="s">
        <v>52</v>
      </c>
      <c r="B8" s="17" t="n">
        <v>5</v>
      </c>
      <c r="C8" s="6" t="s">
        <v>53</v>
      </c>
    </row>
    <row r="9" customFormat="false" ht="15" hidden="false" customHeight="true" outlineLevel="0" collapsed="false">
      <c r="A9" s="6" t="s">
        <v>54</v>
      </c>
      <c r="B9" s="15" t="n">
        <v>0.025</v>
      </c>
      <c r="C9" s="6" t="s">
        <v>55</v>
      </c>
    </row>
    <row r="10" customFormat="false" ht="15" hidden="false" customHeight="true" outlineLevel="0" collapsed="false">
      <c r="A10" s="6" t="s">
        <v>42</v>
      </c>
      <c r="B10" s="15" t="n">
        <v>0.055</v>
      </c>
      <c r="C10" s="6" t="s">
        <v>56</v>
      </c>
    </row>
    <row r="13" customFormat="false" ht="17.25" hidden="false" customHeight="true" outlineLevel="0" collapsed="false">
      <c r="A13" s="4" t="s">
        <v>57</v>
      </c>
      <c r="B13" s="4"/>
      <c r="C13" s="4"/>
      <c r="D13" s="4"/>
      <c r="E13" s="4"/>
      <c r="F13" s="4"/>
      <c r="G13" s="4"/>
    </row>
    <row r="14" customFormat="false" ht="15" hidden="false" customHeight="true" outlineLevel="0" collapsed="false">
      <c r="A14" s="5" t="s">
        <v>58</v>
      </c>
      <c r="B14" s="5" t="s">
        <v>59</v>
      </c>
      <c r="C14" s="5" t="s">
        <v>60</v>
      </c>
      <c r="D14" s="5" t="s">
        <v>61</v>
      </c>
      <c r="E14" s="5" t="s">
        <v>62</v>
      </c>
      <c r="F14" s="5" t="s">
        <v>63</v>
      </c>
      <c r="G14" s="5" t="s">
        <v>64</v>
      </c>
    </row>
    <row r="15" customFormat="false" ht="15" hidden="false" customHeight="true" outlineLevel="0" collapsed="false">
      <c r="A15" s="7" t="s">
        <v>65</v>
      </c>
      <c r="B15" s="18" t="n">
        <f aca="false">$B$6*(1+$B$7)^1</f>
        <v>0.3392</v>
      </c>
      <c r="C15" s="18" t="n">
        <f aca="false">$B$6*(1+$B$7)^2</f>
        <v>0.359552</v>
      </c>
      <c r="D15" s="18" t="n">
        <f aca="false">$B$6*(1+$B$7)^3</f>
        <v>0.38112512</v>
      </c>
      <c r="E15" s="18" t="n">
        <f aca="false">$B$6*(1+$B$7)^4</f>
        <v>0.4039926272</v>
      </c>
      <c r="F15" s="18" t="n">
        <f aca="false">$B$6*(1+$B$7)^5</f>
        <v>0.428232184832</v>
      </c>
      <c r="G15" s="18" t="n">
        <f aca="false">F15*(1+$B$9)</f>
        <v>0.4389379894528</v>
      </c>
    </row>
    <row r="16" customFormat="false" ht="15" hidden="false" customHeight="true" outlineLevel="0" collapsed="false">
      <c r="A16" s="7" t="s">
        <v>66</v>
      </c>
      <c r="B16" s="19" t="n">
        <f aca="false">1/(1+$B$10)^1</f>
        <v>0.947867298578199</v>
      </c>
      <c r="C16" s="19" t="n">
        <f aca="false">1/(1+$B$10)^2</f>
        <v>0.898452415713933</v>
      </c>
      <c r="D16" s="19" t="n">
        <f aca="false">1/(1+$B$10)^3</f>
        <v>0.851613664183823</v>
      </c>
      <c r="E16" s="19" t="n">
        <f aca="false">1/(1+$B$10)^4</f>
        <v>0.807216743302202</v>
      </c>
      <c r="F16" s="19" t="n">
        <f aca="false">1/(1+$B$10)^5</f>
        <v>0.765134353840949</v>
      </c>
      <c r="G16" s="6"/>
    </row>
    <row r="17" customFormat="false" ht="15" hidden="false" customHeight="true" outlineLevel="0" collapsed="false">
      <c r="A17" s="7" t="s">
        <v>67</v>
      </c>
      <c r="B17" s="18" t="n">
        <f aca="false">B15*B16</f>
        <v>0.321516587677725</v>
      </c>
      <c r="C17" s="18" t="n">
        <f aca="false">C15*C16</f>
        <v>0.323040362974776</v>
      </c>
      <c r="D17" s="18" t="n">
        <f aca="false">D15*D16</f>
        <v>0.324571359955699</v>
      </c>
      <c r="E17" s="18" t="n">
        <f aca="false">E15*E16</f>
        <v>0.326109612846485</v>
      </c>
      <c r="F17" s="18" t="n">
        <f aca="false">F15*F16</f>
        <v>0.32765515603533</v>
      </c>
      <c r="G17" s="6"/>
    </row>
    <row r="20" customFormat="false" ht="17.25" hidden="false" customHeight="true" outlineLevel="0" collapsed="false">
      <c r="A20" s="4" t="s">
        <v>68</v>
      </c>
      <c r="B20" s="4"/>
      <c r="C20" s="4"/>
      <c r="D20" s="4"/>
    </row>
    <row r="21" customFormat="false" ht="15" hidden="false" customHeight="true" outlineLevel="0" collapsed="false">
      <c r="A21" s="5" t="s">
        <v>69</v>
      </c>
      <c r="B21" s="5" t="s">
        <v>70</v>
      </c>
      <c r="C21" s="5" t="s">
        <v>71</v>
      </c>
    </row>
    <row r="22" customFormat="false" ht="15" hidden="false" customHeight="true" outlineLevel="0" collapsed="false">
      <c r="A22" s="7" t="s">
        <v>72</v>
      </c>
      <c r="B22" s="8" t="n">
        <f aca="false">SUM(B17:F17)</f>
        <v>1.62289307949002</v>
      </c>
      <c r="C22" s="6" t="s">
        <v>73</v>
      </c>
    </row>
    <row r="23" customFormat="false" ht="15" hidden="false" customHeight="true" outlineLevel="0" collapsed="false">
      <c r="A23" s="7" t="s">
        <v>74</v>
      </c>
      <c r="B23" s="8" t="n">
        <f aca="false">G15/($B$10-$B$9)</f>
        <v>14.6312663150933</v>
      </c>
      <c r="C23" s="6" t="s">
        <v>75</v>
      </c>
    </row>
    <row r="24" customFormat="false" ht="15" hidden="false" customHeight="true" outlineLevel="0" collapsed="false">
      <c r="A24" s="7" t="s">
        <v>76</v>
      </c>
      <c r="B24" s="8" t="n">
        <f aca="false">B23*F16</f>
        <v>11.1948844978738</v>
      </c>
      <c r="C24" s="6" t="s">
        <v>77</v>
      </c>
    </row>
    <row r="25" customFormat="false" ht="15" hidden="false" customHeight="true" outlineLevel="0" collapsed="false">
      <c r="A25" s="6"/>
      <c r="B25" s="6"/>
      <c r="C25" s="6"/>
    </row>
    <row r="26" customFormat="false" ht="15" hidden="false" customHeight="true" outlineLevel="0" collapsed="false">
      <c r="A26" s="12" t="s">
        <v>78</v>
      </c>
      <c r="B26" s="20" t="n">
        <f aca="false">B22+B24</f>
        <v>12.8177775773638</v>
      </c>
      <c r="C26" s="21" t="s">
        <v>79</v>
      </c>
    </row>
    <row r="27" customFormat="false" ht="15" hidden="false" customHeight="true" outlineLevel="0" collapsed="false">
      <c r="A27" s="6"/>
      <c r="B27" s="6"/>
      <c r="C27" s="6"/>
    </row>
    <row r="28" customFormat="false" ht="15" hidden="false" customHeight="true" outlineLevel="0" collapsed="false">
      <c r="A28" s="7" t="s">
        <v>80</v>
      </c>
      <c r="B28" s="11" t="n">
        <v>1.96</v>
      </c>
      <c r="C28" s="6"/>
    </row>
    <row r="29" customFormat="false" ht="15" hidden="false" customHeight="true" outlineLevel="0" collapsed="false">
      <c r="A29" s="7" t="s">
        <v>81</v>
      </c>
      <c r="B29" s="9" t="n">
        <f aca="false">(B26-B28)/B28</f>
        <v>5.53968243743051</v>
      </c>
      <c r="C29" s="6"/>
    </row>
    <row r="32" customFormat="false" ht="17.25" hidden="false" customHeight="true" outlineLevel="0" collapsed="false">
      <c r="A32" s="4" t="s">
        <v>82</v>
      </c>
      <c r="B32" s="4"/>
      <c r="C32" s="4"/>
      <c r="D32" s="4"/>
      <c r="E32" s="4"/>
      <c r="F32" s="4"/>
    </row>
    <row r="33" customFormat="false" ht="15" hidden="false" customHeight="true" outlineLevel="0" collapsed="false">
      <c r="A33" s="1" t="s">
        <v>83</v>
      </c>
      <c r="B33" s="1" t="s">
        <v>84</v>
      </c>
      <c r="C33" s="1" t="s">
        <v>85</v>
      </c>
      <c r="D33" s="1" t="s">
        <v>86</v>
      </c>
      <c r="E33" s="1" t="s">
        <v>87</v>
      </c>
      <c r="F33" s="1" t="s">
        <v>88</v>
      </c>
    </row>
    <row r="34" customFormat="false" ht="15" hidden="false" customHeight="true" outlineLevel="0" collapsed="false">
      <c r="A34" s="6" t="s">
        <v>89</v>
      </c>
      <c r="B34" s="20" t="n">
        <v>3.15</v>
      </c>
      <c r="C34" s="20" t="n">
        <v>3.45</v>
      </c>
      <c r="D34" s="20" t="n">
        <v>3.8</v>
      </c>
      <c r="E34" s="20" t="n">
        <v>4.2</v>
      </c>
      <c r="F34" s="20" t="n">
        <v>4.65</v>
      </c>
    </row>
    <row r="35" customFormat="false" ht="15" hidden="false" customHeight="true" outlineLevel="0" collapsed="false">
      <c r="A35" s="6" t="s">
        <v>90</v>
      </c>
      <c r="B35" s="20" t="n">
        <v>2.75</v>
      </c>
      <c r="C35" s="20" t="n">
        <v>3</v>
      </c>
      <c r="D35" s="20" t="n">
        <v>3.3</v>
      </c>
      <c r="E35" s="20" t="n">
        <v>3.62</v>
      </c>
      <c r="F35" s="20" t="n">
        <v>3.98</v>
      </c>
    </row>
    <row r="36" customFormat="false" ht="15" hidden="false" customHeight="true" outlineLevel="0" collapsed="false">
      <c r="A36" s="6" t="s">
        <v>91</v>
      </c>
      <c r="B36" s="20" t="n">
        <v>2.45</v>
      </c>
      <c r="C36" s="20" t="n">
        <v>2.65</v>
      </c>
      <c r="D36" s="20" t="n">
        <v>2.9</v>
      </c>
      <c r="E36" s="20" t="n">
        <v>3.16</v>
      </c>
      <c r="F36" s="20" t="n">
        <v>3.45</v>
      </c>
    </row>
    <row r="37" customFormat="false" ht="15" hidden="false" customHeight="true" outlineLevel="0" collapsed="false">
      <c r="A37" s="6" t="s">
        <v>92</v>
      </c>
      <c r="B37" s="20" t="n">
        <v>2.2</v>
      </c>
      <c r="C37" s="20" t="n">
        <v>2.38</v>
      </c>
      <c r="D37" s="20" t="n">
        <v>2.58</v>
      </c>
      <c r="E37" s="20" t="n">
        <v>2.8</v>
      </c>
      <c r="F37" s="20" t="n">
        <v>3.05</v>
      </c>
    </row>
    <row r="38" customFormat="false" ht="15" hidden="false" customHeight="true" outlineLevel="0" collapsed="false">
      <c r="A38" s="6" t="s">
        <v>93</v>
      </c>
      <c r="B38" s="20" t="n">
        <v>2</v>
      </c>
      <c r="C38" s="20" t="n">
        <v>2.15</v>
      </c>
      <c r="D38" s="20" t="n">
        <v>2.32</v>
      </c>
      <c r="E38" s="20" t="n">
        <v>2.51</v>
      </c>
      <c r="F38" s="20" t="n">
        <v>2.72</v>
      </c>
    </row>
  </sheetData>
  <mergeCells count="4">
    <mergeCell ref="A4:D4"/>
    <mergeCell ref="A13:G13"/>
    <mergeCell ref="A20:D20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35"/>
    <col collapsed="false" customWidth="true" hidden="false" outlineLevel="0" max="6" min="4" style="1" width="14"/>
  </cols>
  <sheetData>
    <row r="1" customFormat="false" ht="17.25" hidden="false" customHeight="true" outlineLevel="0" collapsed="false">
      <c r="A1" s="16" t="s">
        <v>94</v>
      </c>
    </row>
    <row r="2" customFormat="false" ht="15" hidden="false" customHeight="true" outlineLevel="0" collapsed="false">
      <c r="A2" s="3" t="s">
        <v>95</v>
      </c>
    </row>
    <row r="4" customFormat="false" ht="17.25" hidden="false" customHeight="true" outlineLevel="0" collapsed="false">
      <c r="A4" s="4" t="s">
        <v>96</v>
      </c>
      <c r="B4" s="4"/>
      <c r="C4" s="4"/>
    </row>
    <row r="5" customFormat="false" ht="15" hidden="false" customHeight="true" outlineLevel="0" collapsed="false">
      <c r="A5" s="22" t="s">
        <v>97</v>
      </c>
      <c r="B5" s="1" t="s">
        <v>98</v>
      </c>
    </row>
    <row r="6" customFormat="false" ht="15" hidden="false" customHeight="true" outlineLevel="0" collapsed="false">
      <c r="A6" s="22"/>
    </row>
    <row r="7" customFormat="false" ht="15" hidden="false" customHeight="true" outlineLevel="0" collapsed="false">
      <c r="A7" s="22" t="s">
        <v>99</v>
      </c>
      <c r="B7" s="1" t="s">
        <v>100</v>
      </c>
    </row>
    <row r="8" customFormat="false" ht="15" hidden="false" customHeight="true" outlineLevel="0" collapsed="false">
      <c r="A8" s="22"/>
      <c r="B8" s="1" t="s">
        <v>101</v>
      </c>
    </row>
    <row r="9" customFormat="false" ht="15" hidden="false" customHeight="true" outlineLevel="0" collapsed="false">
      <c r="A9" s="22"/>
      <c r="B9" s="1" t="s">
        <v>102</v>
      </c>
    </row>
    <row r="11" customFormat="false" ht="17.25" hidden="false" customHeight="true" outlineLevel="0" collapsed="false">
      <c r="A11" s="4" t="s">
        <v>103</v>
      </c>
      <c r="B11" s="4"/>
      <c r="C11" s="4"/>
    </row>
    <row r="12" customFormat="false" ht="15" hidden="false" customHeight="true" outlineLevel="0" collapsed="false">
      <c r="A12" s="5" t="s">
        <v>47</v>
      </c>
      <c r="B12" s="5" t="s">
        <v>30</v>
      </c>
      <c r="C12" s="5" t="s">
        <v>104</v>
      </c>
    </row>
    <row r="13" customFormat="false" ht="15" hidden="false" customHeight="true" outlineLevel="0" collapsed="false">
      <c r="A13" s="6" t="s">
        <v>105</v>
      </c>
      <c r="B13" s="11" t="n">
        <v>1.03</v>
      </c>
      <c r="C13" s="6" t="s">
        <v>106</v>
      </c>
    </row>
    <row r="14" customFormat="false" ht="15" hidden="false" customHeight="true" outlineLevel="0" collapsed="false">
      <c r="A14" s="6" t="s">
        <v>107</v>
      </c>
      <c r="B14" s="15" t="n">
        <v>0.2</v>
      </c>
      <c r="C14" s="6" t="s">
        <v>108</v>
      </c>
    </row>
    <row r="15" customFormat="false" ht="15" hidden="false" customHeight="true" outlineLevel="0" collapsed="false">
      <c r="A15" s="6" t="s">
        <v>42</v>
      </c>
      <c r="B15" s="15" t="n">
        <v>0.055</v>
      </c>
      <c r="C15" s="6" t="s">
        <v>109</v>
      </c>
    </row>
    <row r="16" customFormat="false" ht="15" hidden="false" customHeight="true" outlineLevel="0" collapsed="false">
      <c r="A16" s="6" t="s">
        <v>110</v>
      </c>
      <c r="B16" s="9" t="n">
        <f aca="false">B14-B15</f>
        <v>0.145</v>
      </c>
      <c r="C16" s="6" t="s">
        <v>111</v>
      </c>
    </row>
    <row r="17" customFormat="false" ht="15" hidden="false" customHeight="true" outlineLevel="0" collapsed="false">
      <c r="A17" s="6" t="s">
        <v>112</v>
      </c>
      <c r="B17" s="6" t="n">
        <v>10</v>
      </c>
      <c r="C17" s="6" t="s">
        <v>113</v>
      </c>
    </row>
    <row r="20" customFormat="false" ht="17.25" hidden="false" customHeight="true" outlineLevel="0" collapsed="false">
      <c r="A20" s="4" t="s">
        <v>68</v>
      </c>
      <c r="B20" s="4"/>
      <c r="C20" s="4"/>
    </row>
    <row r="21" customFormat="false" ht="15" hidden="false" customHeight="true" outlineLevel="0" collapsed="false">
      <c r="A21" s="5" t="s">
        <v>69</v>
      </c>
      <c r="B21" s="5" t="s">
        <v>70</v>
      </c>
      <c r="C21" s="5" t="s">
        <v>114</v>
      </c>
    </row>
    <row r="22" customFormat="false" ht="15" hidden="false" customHeight="true" outlineLevel="0" collapsed="false">
      <c r="A22" s="7" t="s">
        <v>105</v>
      </c>
      <c r="B22" s="8" t="n">
        <f aca="false">B13</f>
        <v>1.03</v>
      </c>
      <c r="C22" s="6" t="s">
        <v>115</v>
      </c>
    </row>
    <row r="23" customFormat="false" ht="15" hidden="false" customHeight="true" outlineLevel="0" collapsed="false">
      <c r="A23" s="7" t="s">
        <v>116</v>
      </c>
      <c r="B23" s="8" t="n">
        <f aca="false">B13*B16*((1-(1/(1+B15)^B17))/B15)</f>
        <v>1.12574441749976</v>
      </c>
      <c r="C23" s="6" t="s">
        <v>117</v>
      </c>
    </row>
    <row r="24" customFormat="false" ht="15" hidden="false" customHeight="true" outlineLevel="0" collapsed="false">
      <c r="A24" s="6"/>
      <c r="B24" s="6"/>
      <c r="C24" s="6"/>
    </row>
    <row r="25" customFormat="false" ht="15" hidden="false" customHeight="true" outlineLevel="0" collapsed="false">
      <c r="A25" s="12" t="s">
        <v>78</v>
      </c>
      <c r="B25" s="20" t="n">
        <f aca="false">B22+B23</f>
        <v>2.15574441749976</v>
      </c>
      <c r="C25" s="21" t="s">
        <v>118</v>
      </c>
    </row>
    <row r="26" customFormat="false" ht="15" hidden="false" customHeight="true" outlineLevel="0" collapsed="false">
      <c r="A26" s="6"/>
      <c r="B26" s="6"/>
      <c r="C26" s="6"/>
    </row>
    <row r="27" customFormat="false" ht="15" hidden="false" customHeight="true" outlineLevel="0" collapsed="false">
      <c r="A27" s="7" t="s">
        <v>80</v>
      </c>
      <c r="B27" s="11" t="n">
        <v>1.96</v>
      </c>
      <c r="C27" s="6"/>
    </row>
    <row r="28" customFormat="false" ht="15" hidden="false" customHeight="true" outlineLevel="0" collapsed="false">
      <c r="A28" s="7" t="s">
        <v>81</v>
      </c>
      <c r="B28" s="9" t="n">
        <f aca="false">(B25-B27)/B27</f>
        <v>0.0998696007651844</v>
      </c>
      <c r="C28" s="6"/>
    </row>
    <row r="31" customFormat="false" ht="17.25" hidden="false" customHeight="true" outlineLevel="0" collapsed="false">
      <c r="A31" s="4" t="s">
        <v>119</v>
      </c>
      <c r="B31" s="4"/>
      <c r="C31" s="4"/>
      <c r="D31" s="4"/>
      <c r="E31" s="4"/>
      <c r="F31" s="4"/>
    </row>
    <row r="32" customFormat="false" ht="15" hidden="false" customHeight="true" outlineLevel="0" collapsed="false">
      <c r="A32" s="1" t="s">
        <v>120</v>
      </c>
      <c r="B32" s="1" t="s">
        <v>121</v>
      </c>
      <c r="C32" s="1" t="s">
        <v>122</v>
      </c>
      <c r="D32" s="1" t="s">
        <v>123</v>
      </c>
      <c r="E32" s="1" t="s">
        <v>124</v>
      </c>
      <c r="F32" s="1" t="s">
        <v>125</v>
      </c>
    </row>
    <row r="33" customFormat="false" ht="15" hidden="false" customHeight="true" outlineLevel="0" collapsed="false">
      <c r="A33" s="6" t="s">
        <v>126</v>
      </c>
      <c r="B33" s="23" t="n">
        <v>1.45</v>
      </c>
      <c r="C33" s="23" t="n">
        <v>1.62</v>
      </c>
      <c r="D33" s="23" t="n">
        <v>1.75</v>
      </c>
      <c r="E33" s="23" t="n">
        <v>1.88</v>
      </c>
      <c r="F33" s="20" t="n">
        <v>2.05</v>
      </c>
    </row>
    <row r="34" customFormat="false" ht="15" hidden="false" customHeight="true" outlineLevel="0" collapsed="false">
      <c r="A34" s="6" t="s">
        <v>127</v>
      </c>
      <c r="B34" s="23" t="n">
        <v>1.55</v>
      </c>
      <c r="C34" s="23" t="n">
        <v>1.78</v>
      </c>
      <c r="D34" s="23" t="n">
        <v>1.95</v>
      </c>
      <c r="E34" s="20" t="n">
        <v>2.12</v>
      </c>
      <c r="F34" s="20" t="n">
        <v>2.35</v>
      </c>
    </row>
    <row r="35" customFormat="false" ht="15" hidden="false" customHeight="true" outlineLevel="0" collapsed="false">
      <c r="A35" s="6" t="s">
        <v>128</v>
      </c>
      <c r="B35" s="23" t="n">
        <v>1.7</v>
      </c>
      <c r="C35" s="20" t="n">
        <v>2</v>
      </c>
      <c r="D35" s="20" t="n">
        <v>2.22</v>
      </c>
      <c r="E35" s="20" t="n">
        <v>2.45</v>
      </c>
      <c r="F35" s="20" t="n">
        <v>2.78</v>
      </c>
    </row>
    <row r="36" customFormat="false" ht="15" hidden="false" customHeight="true" outlineLevel="0" collapsed="false">
      <c r="A36" s="6" t="s">
        <v>129</v>
      </c>
      <c r="B36" s="23" t="n">
        <v>1.88</v>
      </c>
      <c r="C36" s="20" t="n">
        <v>2.28</v>
      </c>
      <c r="D36" s="20" t="n">
        <v>2.58</v>
      </c>
      <c r="E36" s="20" t="n">
        <v>2.88</v>
      </c>
      <c r="F36" s="20" t="n">
        <v>3.32</v>
      </c>
    </row>
    <row r="37" customFormat="false" ht="15" hidden="false" customHeight="true" outlineLevel="0" collapsed="false">
      <c r="A37" s="6" t="s">
        <v>130</v>
      </c>
      <c r="B37" s="20" t="n">
        <v>2.2</v>
      </c>
      <c r="C37" s="20" t="n">
        <v>2.85</v>
      </c>
      <c r="D37" s="20" t="n">
        <v>3.32</v>
      </c>
      <c r="E37" s="20" t="n">
        <v>3.8</v>
      </c>
      <c r="F37" s="20" t="n">
        <v>4.52</v>
      </c>
    </row>
  </sheetData>
  <mergeCells count="4">
    <mergeCell ref="A4:C4"/>
    <mergeCell ref="A11:C11"/>
    <mergeCell ref="A20:C2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8"/>
    <col collapsed="false" customWidth="true" hidden="false" outlineLevel="0" max="3" min="3" style="1" width="30"/>
  </cols>
  <sheetData>
    <row r="1" customFormat="false" ht="17.25" hidden="false" customHeight="true" outlineLevel="0" collapsed="false">
      <c r="A1" s="16" t="s">
        <v>131</v>
      </c>
    </row>
    <row r="2" customFormat="false" ht="15" hidden="false" customHeight="true" outlineLevel="0" collapsed="false">
      <c r="A2" s="3" t="s">
        <v>132</v>
      </c>
    </row>
    <row r="4" customFormat="false" ht="17.25" hidden="false" customHeight="true" outlineLevel="0" collapsed="false">
      <c r="A4" s="4" t="s">
        <v>103</v>
      </c>
      <c r="B4" s="4"/>
      <c r="C4" s="4"/>
    </row>
    <row r="5" customFormat="false" ht="15" hidden="false" customHeight="true" outlineLevel="0" collapsed="false">
      <c r="A5" s="5" t="s">
        <v>47</v>
      </c>
      <c r="B5" s="5" t="s">
        <v>30</v>
      </c>
      <c r="C5" s="5" t="s">
        <v>104</v>
      </c>
    </row>
    <row r="6" customFormat="false" ht="15" hidden="false" customHeight="true" outlineLevel="0" collapsed="false">
      <c r="A6" s="6" t="s">
        <v>133</v>
      </c>
      <c r="B6" s="15" t="n">
        <v>0.2</v>
      </c>
      <c r="C6" s="6" t="s">
        <v>134</v>
      </c>
    </row>
    <row r="7" customFormat="false" ht="15" hidden="false" customHeight="true" outlineLevel="0" collapsed="false">
      <c r="A7" s="6" t="s">
        <v>135</v>
      </c>
      <c r="B7" s="15" t="n">
        <v>0.055</v>
      </c>
      <c r="C7" s="6" t="s">
        <v>109</v>
      </c>
    </row>
    <row r="8" customFormat="false" ht="15" hidden="false" customHeight="true" outlineLevel="0" collapsed="false">
      <c r="A8" s="6" t="s">
        <v>136</v>
      </c>
      <c r="B8" s="15" t="n">
        <v>0.03</v>
      </c>
      <c r="C8" s="6" t="s">
        <v>137</v>
      </c>
    </row>
    <row r="9" customFormat="false" ht="15" hidden="false" customHeight="true" outlineLevel="0" collapsed="false">
      <c r="A9" s="6" t="s">
        <v>105</v>
      </c>
      <c r="B9" s="11" t="n">
        <v>1.03</v>
      </c>
      <c r="C9" s="6" t="s">
        <v>106</v>
      </c>
    </row>
    <row r="10" customFormat="false" ht="15" hidden="false" customHeight="true" outlineLevel="0" collapsed="false">
      <c r="A10" s="6"/>
      <c r="B10" s="6"/>
      <c r="C10" s="6"/>
    </row>
    <row r="11" customFormat="false" ht="15" hidden="false" customHeight="true" outlineLevel="0" collapsed="false">
      <c r="A11" s="6" t="s">
        <v>138</v>
      </c>
      <c r="B11" s="24" t="n">
        <f aca="false">(B6-B8)/(B7-B8)</f>
        <v>6.8</v>
      </c>
      <c r="C11" s="6" t="s">
        <v>139</v>
      </c>
    </row>
    <row r="12" customFormat="false" ht="15" hidden="false" customHeight="true" outlineLevel="0" collapsed="false">
      <c r="A12" s="21" t="s">
        <v>140</v>
      </c>
      <c r="B12" s="25" t="n">
        <f aca="false">B11*B9</f>
        <v>7.004</v>
      </c>
      <c r="C12" s="21" t="s">
        <v>141</v>
      </c>
    </row>
    <row r="14" customFormat="false" ht="15" hidden="false" customHeight="true" outlineLevel="0" collapsed="false">
      <c r="A14" s="22" t="s">
        <v>142</v>
      </c>
    </row>
    <row r="15" customFormat="false" ht="15" hidden="false" customHeight="true" outlineLevel="0" collapsed="false">
      <c r="A15" s="6" t="s">
        <v>143</v>
      </c>
      <c r="B15" s="24" t="n">
        <f aca="false">1.96/B9</f>
        <v>1.90291262135922</v>
      </c>
      <c r="C15" s="6" t="s">
        <v>144</v>
      </c>
    </row>
    <row r="16" customFormat="false" ht="15" hidden="false" customHeight="true" outlineLevel="0" collapsed="false">
      <c r="A16" s="6" t="s">
        <v>145</v>
      </c>
      <c r="B16" s="9" t="n">
        <f aca="false">(B15-B11)/B11</f>
        <v>-0.720159908623644</v>
      </c>
      <c r="C16" s="6" t="s">
        <v>146</v>
      </c>
    </row>
    <row r="19" customFormat="false" ht="17.25" hidden="false" customHeight="true" outlineLevel="0" collapsed="false">
      <c r="A19" s="4" t="s">
        <v>147</v>
      </c>
      <c r="B19" s="4"/>
      <c r="C19" s="4"/>
    </row>
    <row r="20" customFormat="false" ht="15" hidden="false" customHeight="true" outlineLevel="0" collapsed="false">
      <c r="A20" s="1" t="s">
        <v>148</v>
      </c>
    </row>
    <row r="22" customFormat="false" ht="15" hidden="false" customHeight="true" outlineLevel="0" collapsed="false">
      <c r="A22" s="1" t="s">
        <v>149</v>
      </c>
    </row>
    <row r="23" customFormat="false" ht="15" hidden="false" customHeight="true" outlineLevel="0" collapsed="false">
      <c r="A23" s="1" t="s">
        <v>150</v>
      </c>
    </row>
    <row r="25" customFormat="false" ht="15" hidden="false" customHeight="true" outlineLevel="0" collapsed="false">
      <c r="A25" s="1" t="s">
        <v>151</v>
      </c>
    </row>
    <row r="26" customFormat="false" ht="15" hidden="false" customHeight="true" outlineLevel="0" collapsed="false">
      <c r="A26" s="1" t="s">
        <v>152</v>
      </c>
    </row>
    <row r="27" customFormat="false" ht="15" hidden="false" customHeight="true" outlineLevel="0" collapsed="false">
      <c r="A27" s="1" t="s">
        <v>153</v>
      </c>
    </row>
    <row r="28" customFormat="false" ht="15" hidden="false" customHeight="true" outlineLevel="0" collapsed="false">
      <c r="A28" s="1" t="s">
        <v>154</v>
      </c>
    </row>
    <row r="30" customFormat="false" ht="15" hidden="false" customHeight="true" outlineLevel="0" collapsed="false">
      <c r="A30" s="1" t="s">
        <v>155</v>
      </c>
    </row>
    <row r="31" customFormat="false" ht="15" hidden="false" customHeight="true" outlineLevel="0" collapsed="false">
      <c r="A31" s="1" t="s">
        <v>156</v>
      </c>
    </row>
  </sheetData>
  <mergeCells count="2">
    <mergeCell ref="A4:C4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40"/>
    <col collapsed="false" customWidth="true" hidden="false" outlineLevel="0" max="3" min="3" style="1" width="35"/>
  </cols>
  <sheetData>
    <row r="1" customFormat="false" ht="17.25" hidden="false" customHeight="true" outlineLevel="0" collapsed="false">
      <c r="A1" s="16" t="s">
        <v>157</v>
      </c>
    </row>
    <row r="3" customFormat="false" ht="15" hidden="false" customHeight="true" outlineLevel="0" collapsed="false">
      <c r="A3" s="26" t="s">
        <v>158</v>
      </c>
      <c r="B3" s="26"/>
      <c r="C3" s="26"/>
    </row>
    <row r="4" customFormat="false" ht="15" hidden="false" customHeight="true" outlineLevel="0" collapsed="false">
      <c r="A4" s="5" t="s">
        <v>159</v>
      </c>
      <c r="B4" s="5" t="s">
        <v>160</v>
      </c>
      <c r="C4" s="5" t="s">
        <v>161</v>
      </c>
    </row>
    <row r="5" customFormat="false" ht="15" hidden="false" customHeight="true" outlineLevel="0" collapsed="false">
      <c r="A5" s="6" t="s">
        <v>162</v>
      </c>
      <c r="B5" s="6" t="s">
        <v>163</v>
      </c>
      <c r="C5" s="6" t="s">
        <v>164</v>
      </c>
    </row>
    <row r="6" customFormat="false" ht="15" hidden="false" customHeight="true" outlineLevel="0" collapsed="false">
      <c r="A6" s="6" t="s">
        <v>165</v>
      </c>
      <c r="B6" s="6" t="s">
        <v>166</v>
      </c>
      <c r="C6" s="6" t="s">
        <v>167</v>
      </c>
    </row>
    <row r="7" customFormat="false" ht="15" hidden="false" customHeight="true" outlineLevel="0" collapsed="false">
      <c r="A7" s="6" t="s">
        <v>42</v>
      </c>
      <c r="B7" s="6" t="s">
        <v>168</v>
      </c>
      <c r="C7" s="6" t="s">
        <v>169</v>
      </c>
    </row>
    <row r="8" customFormat="false" ht="15" hidden="false" customHeight="true" outlineLevel="0" collapsed="false">
      <c r="A8" s="6" t="s">
        <v>170</v>
      </c>
      <c r="B8" s="6" t="s">
        <v>171</v>
      </c>
      <c r="C8" s="6" t="s">
        <v>172</v>
      </c>
    </row>
    <row r="9" customFormat="false" ht="15" hidden="false" customHeight="true" outlineLevel="0" collapsed="false">
      <c r="A9" s="6" t="s">
        <v>173</v>
      </c>
      <c r="B9" s="6" t="s">
        <v>174</v>
      </c>
      <c r="C9" s="6" t="s">
        <v>175</v>
      </c>
    </row>
    <row r="12" customFormat="false" ht="15" hidden="false" customHeight="true" outlineLevel="0" collapsed="false">
      <c r="A12" s="27" t="s">
        <v>176</v>
      </c>
      <c r="B12" s="27"/>
      <c r="C12" s="27"/>
    </row>
    <row r="13" customFormat="false" ht="15" hidden="false" customHeight="true" outlineLevel="0" collapsed="false">
      <c r="A13" s="5" t="s">
        <v>21</v>
      </c>
      <c r="B13" s="5" t="s">
        <v>177</v>
      </c>
      <c r="C13" s="5" t="s">
        <v>178</v>
      </c>
    </row>
    <row r="14" customFormat="false" ht="15" hidden="false" customHeight="true" outlineLevel="0" collapsed="false">
      <c r="A14" s="6" t="s">
        <v>179</v>
      </c>
      <c r="B14" s="6" t="s">
        <v>180</v>
      </c>
      <c r="C14" s="6" t="s">
        <v>181</v>
      </c>
    </row>
    <row r="15" customFormat="false" ht="15" hidden="false" customHeight="true" outlineLevel="0" collapsed="false">
      <c r="A15" s="6" t="s">
        <v>182</v>
      </c>
      <c r="B15" s="6" t="s">
        <v>183</v>
      </c>
      <c r="C15" s="6" t="s">
        <v>184</v>
      </c>
    </row>
    <row r="16" customFormat="false" ht="15" hidden="false" customHeight="true" outlineLevel="0" collapsed="false">
      <c r="A16" s="6" t="s">
        <v>18</v>
      </c>
      <c r="B16" s="6" t="s">
        <v>185</v>
      </c>
      <c r="C16" s="6" t="s">
        <v>186</v>
      </c>
    </row>
    <row r="17" customFormat="false" ht="15" hidden="false" customHeight="true" outlineLevel="0" collapsed="false">
      <c r="A17" s="6"/>
      <c r="B17" s="6"/>
      <c r="C17" s="6"/>
    </row>
    <row r="18" customFormat="false" ht="15" hidden="false" customHeight="true" outlineLevel="0" collapsed="false">
      <c r="A18" s="7" t="s">
        <v>187</v>
      </c>
      <c r="B18" s="6" t="s">
        <v>188</v>
      </c>
      <c r="C18" s="6" t="s">
        <v>189</v>
      </c>
    </row>
  </sheetData>
  <mergeCells count="2">
    <mergeCell ref="A3:C3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2025-12-29T21:11:25Z</dcterms:created>
  <dc:creator>openpyxl</dc:creator>
  <dc:description/>
  <dc:language>en-US</dc:language>
  <cp:lastModifiedBy/>
  <dcterms:modified xsi:type="dcterms:W3CDTF">2025-12-29T21:11:54Z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