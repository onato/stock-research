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DCF Model" sheetId="2" state="visible" r:id="rId4"/>
    <sheet name="Assumptions" sheetId="3" state="visible" r:id="rId5"/>
    <sheet name="Historical Financial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<sst xmlns="http://schemas.openxmlformats.org/spreadsheetml/2006/main" count="247" uniqueCount="211">
  <si>
    <t xml:space="preserve">SPROUTS FARMERS MARKET (SFM)</t>
  </si>
  <si>
    <t xml:space="preserve">DCF Valuation Summary</t>
  </si>
  <si>
    <t xml:space="preserve">As of January 12, 2026</t>
  </si>
  <si>
    <t xml:space="preserve">COMPANY PROFILE</t>
  </si>
  <si>
    <t xml:space="preserve">Industry</t>
  </si>
  <si>
    <t xml:space="preserve">Specialty Grocery Retail</t>
  </si>
  <si>
    <t xml:space="preserve">Stores</t>
  </si>
  <si>
    <t xml:space="preserve">464+ (24 states)</t>
  </si>
  <si>
    <t xml:space="preserve">Business</t>
  </si>
  <si>
    <t xml:space="preserve">Natural/Organic Foods</t>
  </si>
  <si>
    <t xml:space="preserve">Employees</t>
  </si>
  <si>
    <t xml:space="preserve">~35,000</t>
  </si>
  <si>
    <t xml:space="preserve">Key Strengths</t>
  </si>
  <si>
    <t xml:space="preserve">Strong brand, health focus, margin expansion</t>
  </si>
  <si>
    <t xml:space="preserve">VALUATION SUMMARY</t>
  </si>
  <si>
    <t xml:space="preserve">Current Stock Price</t>
  </si>
  <si>
    <t xml:space="preserve">WACC</t>
  </si>
  <si>
    <t xml:space="preserve">DCF Implied Share Price</t>
  </si>
  <si>
    <t xml:space="preserve">Terminal Growth</t>
  </si>
  <si>
    <t xml:space="preserve">Upside / (Downside)</t>
  </si>
  <si>
    <t xml:space="preserve">Beta</t>
  </si>
  <si>
    <t xml:space="preserve">Analyst Consensus Target</t>
  </si>
  <si>
    <t xml:space="preserve">Risk-Free Rate</t>
  </si>
  <si>
    <t xml:space="preserve">Market Cap ($M)</t>
  </si>
  <si>
    <t xml:space="preserve">FY26 Revenue Growth</t>
  </si>
  <si>
    <t xml:space="preserve">Enterprise Value ($M)</t>
  </si>
  <si>
    <t xml:space="preserve">5-Yr Rev CAGR</t>
  </si>
  <si>
    <t xml:space="preserve">Shares Outstanding (M)</t>
  </si>
  <si>
    <t xml:space="preserve">Terminal EBITDA Margin</t>
  </si>
  <si>
    <t xml:space="preserve">KEY VALUATION METRICS</t>
  </si>
  <si>
    <t xml:space="preserve">P/E Ratio (TTM)</t>
  </si>
  <si>
    <t xml:space="preserve">Return on Equity</t>
  </si>
  <si>
    <t xml:space="preserve">EV/EBITDA (TTM)</t>
  </si>
  <si>
    <t xml:space="preserve">Profit Margin (TTM)</t>
  </si>
  <si>
    <t xml:space="preserve">EV/Revenue (TTM)</t>
  </si>
  <si>
    <t xml:space="preserve">Debt/Equity</t>
  </si>
  <si>
    <t xml:space="preserve">Price/Book</t>
  </si>
  <si>
    <t xml:space="preserve">Free Cash Flow Yield</t>
  </si>
  <si>
    <t xml:space="preserve">INVESTMENT THESIS</t>
  </si>
  <si>
    <t xml:space="preserve">• Differentiated positioning in growing natural/organic grocery market</t>
  </si>
  <si>
    <t xml:space="preserve">• Strong same-store sales growth (5-7%) driven by health-conscious consumers</t>
  </si>
  <si>
    <t xml:space="preserve">• Expanding EBITDA margins from operational efficiencies</t>
  </si>
  <si>
    <t xml:space="preserve">• Unit growth of ~10% annually with 140+ approved new locations</t>
  </si>
  <si>
    <t xml:space="preserve">• Robust free cash flow generation supporting buybacks</t>
  </si>
  <si>
    <t xml:space="preserve">• Low debt levels provide financial flexibility</t>
  </si>
  <si>
    <t xml:space="preserve">KEY RISKS</t>
  </si>
  <si>
    <t xml:space="preserve">• Grocery industry competition (Whole Foods, Kroger, Costco)</t>
  </si>
  <si>
    <t xml:space="preserve">• Consumer spending sensitivity in economic downturns</t>
  </si>
  <si>
    <t xml:space="preserve">• Inflation impact on food costs and margins</t>
  </si>
  <si>
    <t xml:space="preserve">• Execution risk on aggressive store expansion plan</t>
  </si>
  <si>
    <t xml:space="preserve">• Valuation premium to traditional grocers</t>
  </si>
  <si>
    <t xml:space="preserve">DISCLAIMER: This model is for educational purposes only and should not be considered investment advice.</t>
  </si>
  <si>
    <t xml:space="preserve">Sources: Company filings, Yahoo Finance, Bloomberg, analyst reports</t>
  </si>
  <si>
    <t xml:space="preserve">SPROUTS FARMERS MARKET (SFM) - DISCOUNTED CASH FLOW MODEL</t>
  </si>
  <si>
    <t xml:space="preserve">($ in millions, except per share data)</t>
  </si>
  <si>
    <t xml:space="preserve">Base Year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</si>
  <si>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</si>
  <si>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</si>
  <si>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</si>
  <si>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</si>
  <si>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</si>
  <si>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Terminal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</si>
  <si>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</si>
  <si>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</si>
  <si>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</si>
  <si>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</si>
  <si>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</si>
  <si>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</si>
  <si>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2031+</t>
  </si>
  <si>
    <t xml:space="preserve">REVENUE PROJECTIONS</t>
  </si>
  <si>
    <t xml:space="preserve">Revenue</t>
  </si>
  <si>
    <t xml:space="preserve">Growth Rate</t>
  </si>
  <si>
    <t xml:space="preserve">N/A</t>
  </si>
  <si>
    <t xml:space="preserve">EBITDA CALCULATION</t>
  </si>
  <si>
    <t xml:space="preserve">EBITDA Margin</t>
  </si>
  <si>
    <t xml:space="preserve">EBITDA</t>
  </si>
  <si>
    <t xml:space="preserve">FREE CASH FLOW CALCULATION</t>
  </si>
  <si>
    <t xml:space="preserve">Less: D&amp;A</t>
  </si>
  <si>
    <t xml:space="preserve">EBIT</t>
  </si>
  <si>
    <t xml:space="preserve">Less: Taxes</t>
  </si>
  <si>
    <t xml:space="preserve">EBIAT (NOPAT)</t>
  </si>
  <si>
    <t xml:space="preserve">Add: D&amp;A</t>
  </si>
  <si>
    <t xml:space="preserve">Less: CapEx</t>
  </si>
  <si>
    <t xml:space="preserve">Less: Change in NWC</t>
  </si>
  <si>
    <t xml:space="preserve">Unlevered Free Cash Flow</t>
  </si>
  <si>
    <t xml:space="preserve">DCF VALUATION</t>
  </si>
  <si>
    <t xml:space="preserve">Terminal Growth Rate</t>
  </si>
  <si>
    <t xml:space="preserve">Discount Period</t>
  </si>
  <si>
    <t xml:space="preserve">Discount Factor</t>
  </si>
  <si>
    <t xml:space="preserve">Present Value of FCF</t>
  </si>
  <si>
    <t xml:space="preserve">Sum of PV of FCFs</t>
  </si>
  <si>
    <t xml:space="preserve">TERMINAL VALUE CALCULATION</t>
  </si>
  <si>
    <t xml:space="preserve">Terminal Year FCF</t>
  </si>
  <si>
    <t xml:space="preserve">Terminal Value (Gordon Growth)</t>
  </si>
  <si>
    <t xml:space="preserve">PV of Terminal Value</t>
  </si>
  <si>
    <t xml:space="preserve">ENTERPRISE VALUE TO EQUITY VALUE</t>
  </si>
  <si>
    <t xml:space="preserve">PV of Forecast FCFs</t>
  </si>
  <si>
    <t xml:space="preserve">Enterprise Value</t>
  </si>
  <si>
    <t xml:space="preserve">Less: Total Debt</t>
  </si>
  <si>
    <t xml:space="preserve">Add: Cash</t>
  </si>
  <si>
    <t xml:space="preserve">Equity Value</t>
  </si>
  <si>
    <t xml:space="preserve">Implied Share Price</t>
  </si>
  <si>
    <t xml:space="preserve">Current Share Price</t>
  </si>
  <si>
    <t xml:space="preserve">SENSITIVITY ANALYSIS</t>
  </si>
  <si>
    <t xml:space="preserve">Note: Yellow cell represents base case scenario</t>
  </si>
  <si>
    <t xml:space="preserve">SPROUTS FARMERS MARKET (SFM) - DCF ASSUMPTIONS</t>
  </si>
  <si>
    <t xml:space="preserve">Company Information</t>
  </si>
  <si>
    <t xml:space="preserve">Company Name</t>
  </si>
  <si>
    <t xml:space="preserve">Sprouts Farmers Market, Inc.</t>
  </si>
  <si>
    <t xml:space="preserve">Ticker</t>
  </si>
  <si>
    <t xml:space="preserve">SFM</t>
  </si>
  <si>
    <t xml:space="preserve">Exchange</t>
  </si>
  <si>
    <t xml:space="preserve">NASDAQ</t>
  </si>
  <si>
    <t xml:space="preserve">Sector</t>
  </si>
  <si>
    <t xml:space="preserve">Consumer Defensive</t>
  </si>
  <si>
    <t xml:space="preserve">Valuation Date</t>
  </si>
  <si>
    <t xml:space="preserve">January 12, 2026</t>
  </si>
  <si>
    <t xml:space="preserve">Market Data</t>
  </si>
  <si>
    <t xml:space="preserve">Current Stock Price ($)</t>
  </si>
  <si>
    <t xml:space="preserve">Source: NASDAQ, Jan 2026</t>
  </si>
  <si>
    <t xml:space="preserve">Source: Company filings Q3 2025</t>
  </si>
  <si>
    <t xml:space="preserve">WACC Assumptions</t>
  </si>
  <si>
    <t xml:space="preserve">10-Year Treasury Yield, Jan 2026</t>
  </si>
  <si>
    <t xml:space="preserve">Equity Risk Premium</t>
  </si>
  <si>
    <t xml:space="preserve">Historical average</t>
  </si>
  <si>
    <t xml:space="preserve">Beta (5Y Monthly)</t>
  </si>
  <si>
    <t xml:space="preserve">Source: Yahoo Finance</t>
  </si>
  <si>
    <t xml:space="preserve">Cost of Equity</t>
  </si>
  <si>
    <t xml:space="preserve">CAPM: Rf + Beta * ERP</t>
  </si>
  <si>
    <t xml:space="preserve">Cost of Debt (Pre-tax)</t>
  </si>
  <si>
    <t xml:space="preserve">Estimated based on credit facility</t>
  </si>
  <si>
    <t xml:space="preserve">Tax Rate</t>
  </si>
  <si>
    <t xml:space="preserve">Effective tax rate ~25%</t>
  </si>
  <si>
    <t xml:space="preserve">Cost of Debt (After-tax)</t>
  </si>
  <si>
    <t xml:space="preserve">Debt ($M)</t>
  </si>
  <si>
    <t xml:space="preserve">Long-term debt ex. operating leases</t>
  </si>
  <si>
    <t xml:space="preserve">Equity Value ($M)</t>
  </si>
  <si>
    <t xml:space="preserve">Total Capital ($M)</t>
  </si>
  <si>
    <t xml:space="preserve">Debt Weight</t>
  </si>
  <si>
    <t xml:space="preserve">Equity Weight</t>
  </si>
  <si>
    <t xml:space="preserve">Growth Assumptions</t>
  </si>
  <si>
    <t xml:space="preserve">Base Year Revenue ($M)</t>
  </si>
  <si>
    <t xml:space="preserve">TTM as of Sep 2025</t>
  </si>
  <si>
    <t xml:space="preserve">Year 1 Revenue Growth</t>
  </si>
  <si>
    <t xml:space="preserve">Analyst consensus ~12%</t>
  </si>
  <si>
    <t xml:space="preserve">Year 2 Revenue Growth</t>
  </si>
  <si>
    <t xml:space="preserve">Year 3 Revenue Growth</t>
  </si>
  <si>
    <t xml:space="preserve">Year 4 Revenue Growth</t>
  </si>
  <si>
    <t xml:space="preserve">Year 5 Revenue Growth</t>
  </si>
  <si>
    <t xml:space="preserve">Long-term GDP growth proxy</t>
  </si>
  <si>
    <t xml:space="preserve">Margin Assumptions</t>
  </si>
  <si>
    <t xml:space="preserve">EBITDA Margin Year 1</t>
  </si>
  <si>
    <t xml:space="preserve">Expanding from 9.2% TTM</t>
  </si>
  <si>
    <t xml:space="preserve">EBITDA Margin Year 2</t>
  </si>
  <si>
    <t xml:space="preserve">EBITDA Margin Year 3</t>
  </si>
  <si>
    <t xml:space="preserve">EBITDA Margin Year 4</t>
  </si>
  <si>
    <t xml:space="preserve">EBITDA Margin Year 5</t>
  </si>
  <si>
    <t xml:space="preserve">Other Assumptions</t>
  </si>
  <si>
    <t xml:space="preserve">D&amp;A as % of Revenue</t>
  </si>
  <si>
    <t xml:space="preserve">CapEx as % of Revenue</t>
  </si>
  <si>
    <t xml:space="preserve">Net of landlord reimbursement</t>
  </si>
  <si>
    <t xml:space="preserve">Change in NWC as % of Rev Change</t>
  </si>
  <si>
    <t xml:space="preserve">Effective Tax Rate</t>
  </si>
  <si>
    <t xml:space="preserve">HISTORICAL FINANCIALS ($ in millions)</t>
  </si>
  <si>
    <t xml:space="preserve">Metric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</si>
  <si>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</si>
  <si>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</si>
  <si>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</si>
  <si>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</si>
  <si>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</si>
  <si>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Revenue Growth %</t>
  </si>
  <si>
    <t xml:space="preserve">5.0%</t>
  </si>
  <si>
    <t xml:space="preserve">0.0%</t>
  </si>
  <si>
    <t xml:space="preserve">6.8%</t>
  </si>
  <si>
    <t xml:space="preserve">12.9%</t>
  </si>
  <si>
    <t xml:space="preserve">Cost of Revenue</t>
  </si>
  <si>
    <t xml:space="preserve">Gross Profit</t>
  </si>
  <si>
    <t xml:space="preserve">Gross Margin %</t>
  </si>
  <si>
    <t xml:space="preserve">36.2%</t>
  </si>
  <si>
    <t xml:space="preserve">36.7%</t>
  </si>
  <si>
    <t xml:space="preserve">36.9%</t>
  </si>
  <si>
    <t xml:space="preserve">38.1%</t>
  </si>
  <si>
    <t xml:space="preserve">Operating Expenses</t>
  </si>
  <si>
    <t xml:space="preserve">Operating Income</t>
  </si>
  <si>
    <t xml:space="preserve">Operating Margin %</t>
  </si>
  <si>
    <t xml:space="preserve">5.6%</t>
  </si>
  <si>
    <t xml:space="preserve">5.8%</t>
  </si>
  <si>
    <t xml:space="preserve">5.7%</t>
  </si>
  <si>
    <t xml:space="preserve">6.7%</t>
  </si>
  <si>
    <t xml:space="preserve">Net Income</t>
  </si>
  <si>
    <t xml:space="preserve">Net Margin %</t>
  </si>
  <si>
    <t xml:space="preserve">4.0%</t>
  </si>
  <si>
    <t xml:space="preserve">4.1%</t>
  </si>
  <si>
    <t xml:space="preserve">3.8%</t>
  </si>
  <si>
    <t xml:space="preserve">4.9%</t>
  </si>
  <si>
    <t xml:space="preserve">EBITDA (Est.)</t>
  </si>
  <si>
    <t xml:space="preserve">EBITDA Margin %</t>
  </si>
  <si>
    <t xml:space="preserve">8.2%</t>
  </si>
  <si>
    <t xml:space="preserve">8.3%</t>
  </si>
  <si>
    <t xml:space="preserve">8.8%</t>
  </si>
  <si>
    <t xml:space="preserve">Cash Flow Statement</t>
  </si>
  <si>
    <t xml:space="preserve">Operating Cash Flow</t>
  </si>
  <si>
    <t xml:space="preserve">CapEx (net)</t>
  </si>
  <si>
    <t xml:space="preserve">Free Cash Flow</t>
  </si>
  <si>
    <t xml:space="preserve">Balance Sheet Highlights</t>
  </si>
  <si>
    <t xml:space="preserve">Cash &amp; Equivalents</t>
  </si>
  <si>
    <t xml:space="preserve">Total Assets</t>
  </si>
  <si>
    <t xml:space="preserve">Total Debt (incl. leases)</t>
  </si>
  <si>
    <t xml:space="preserve">Long-term Debt (ex. leases)</t>
  </si>
  <si>
    <t xml:space="preserve">Shareholders Equity</t>
  </si>
  <si>
    <t xml:space="preserve">Sources: Company 10-K filings, Yahoo Finance, MacroTrends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</si>
</sst>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.00"/>
    <numFmt numFmtId="166" formatCode="0.0%"/>
    <numFmt numFmtId="167" formatCode="0.00"/>
    <numFmt numFmtId="168" formatCode="#,##0"/>
    <numFmt numFmtId="169" formatCode="#,##0.0"/>
    <numFmt numFmtId="170" formatCode="0.0\x"/>
    <numFmt numFmtId="171" formatCode="0.00\x"/>
    <numFmt numFmtId="172" formatCode="0.00%"/>
    <numFmt numFmtId="173" formatCode="0.000"/>
    <numFmt numFmtId="174" formatCode="\$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Cambria"/>
      <family val="0"/>
      <charset val="1"/>
    </font>
    <font>
      <b val="true"/>
      <sz val="14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i val="true"/>
      <sz val="9"/>
      <name val="Cambria"/>
      <family val="0"/>
      <charset val="1"/>
    </font>
    <font>
      <i val="true"/>
      <sz val="10"/>
      <name val="Cambria"/>
      <family val="0"/>
      <charset val="1"/>
    </font>
    <font>
      <sz val="11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FF00"/>
        <bgColor rgb="FFFFFF00"/>
      </patternFill>
    </fill>
    <fill>
      <patternFill patternType="solid">
        <fgColor rgb="FFD6DCE5"/>
        <bgColor rgb="FFC6EFCE"/>
      </patternFill>
    </fill>
    <fill>
      <patternFill patternType="solid">
        <fgColor rgb="FFC6EFCE"/>
        <bgColor rgb="FFD6DCE5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8"/>
    <col collapsed="false" customWidth="true" hidden="false" outlineLevel="0" max="3" min="3" style="0" width="35"/>
    <col collapsed="false" customWidth="true" hidden="false" outlineLevel="0" max="4" min="4" style="0" width="18"/>
  </cols>
  <sheetData>
    <row r="1" customFormat="false" ht="19.7" hidden="false" customHeight="false" outlineLevel="0" collapsed="false">
      <c r="A1" s="1" t="s">
        <v>0</v>
      </c>
    </row>
    <row r="2" customFormat="false" ht="17.3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4"/>
      <c r="C5" s="4"/>
      <c r="D5" s="4"/>
    </row>
    <row r="6" customFormat="false" ht="15" hidden="false" customHeight="false" outlineLevel="0" collapsed="false">
      <c r="A6" s="0" t="s">
        <v>4</v>
      </c>
      <c r="B6" s="0" t="s">
        <v>5</v>
      </c>
      <c r="C6" s="0" t="s">
        <v>6</v>
      </c>
      <c r="D6" s="0" t="s">
        <v>7</v>
      </c>
    </row>
    <row r="7" customFormat="false" ht="15" hidden="false" customHeight="false" outlineLevel="0" collapsed="false">
      <c r="A7" s="0" t="s">
        <v>8</v>
      </c>
      <c r="B7" s="0" t="s">
        <v>9</v>
      </c>
      <c r="C7" s="0" t="s">
        <v>10</v>
      </c>
      <c r="D7" s="0" t="s">
        <v>11</v>
      </c>
    </row>
    <row r="8" customFormat="false" ht="15" hidden="false" customHeight="false" outlineLevel="0" collapsed="false">
      <c r="A8" s="0" t="s">
        <v>12</v>
      </c>
      <c r="B8" s="5" t="s">
        <v>13</v>
      </c>
      <c r="C8" s="5"/>
      <c r="D8" s="5"/>
    </row>
    <row r="10" customFormat="false" ht="15" hidden="false" customHeight="false" outlineLevel="0" collapsed="false">
      <c r="A10" s="4" t="s">
        <v>14</v>
      </c>
      <c r="B10" s="4"/>
      <c r="C10" s="4"/>
      <c r="D10" s="4"/>
    </row>
    <row r="11" customFormat="false" ht="15" hidden="false" customHeight="false" outlineLevel="0" collapsed="false">
      <c r="A11" s="0" t="s">
        <v>15</v>
      </c>
      <c r="B11" s="6" t="n">
        <f aca="false">'DCF Model'!B50</f>
        <v>77.4</v>
      </c>
      <c r="C11" s="7" t="s">
        <v>16</v>
      </c>
      <c r="D11" s="8" t="n">
        <f aca="false">Assumptions!B29</f>
        <v>0.0817304532186555</v>
      </c>
    </row>
    <row r="12" customFormat="false" ht="15" hidden="false" customHeight="false" outlineLevel="0" collapsed="false">
      <c r="A12" s="0" t="s">
        <v>17</v>
      </c>
      <c r="B12" s="9" t="n">
        <f aca="false">'DCF Model'!B49</f>
        <v>126.421310758573</v>
      </c>
      <c r="C12" s="7" t="s">
        <v>18</v>
      </c>
      <c r="D12" s="8" t="n">
        <f aca="false">Assumptions!B38</f>
        <v>0.025</v>
      </c>
    </row>
    <row r="13" customFormat="false" ht="15" hidden="false" customHeight="false" outlineLevel="0" collapsed="false">
      <c r="A13" s="0" t="s">
        <v>19</v>
      </c>
      <c r="B13" s="10" t="n">
        <f aca="false">'DCF Model'!B51</f>
        <v>0.633350268198623</v>
      </c>
      <c r="C13" s="7" t="s">
        <v>20</v>
      </c>
      <c r="D13" s="11" t="n">
        <f aca="false">Assumptions!B19</f>
        <v>0.73</v>
      </c>
    </row>
    <row r="14" customFormat="false" ht="15" hidden="false" customHeight="false" outlineLevel="0" collapsed="false">
      <c r="A14" s="0" t="s">
        <v>21</v>
      </c>
      <c r="B14" s="12" t="n">
        <v>130</v>
      </c>
      <c r="C14" s="7" t="s">
        <v>22</v>
      </c>
      <c r="D14" s="8" t="n">
        <f aca="false">Assumptions!B17</f>
        <v>0.0418</v>
      </c>
    </row>
    <row r="16" customFormat="false" ht="15" hidden="false" customHeight="false" outlineLevel="0" collapsed="false">
      <c r="A16" s="0" t="s">
        <v>23</v>
      </c>
      <c r="B16" s="13" t="n">
        <f aca="false">Assumptions!B14</f>
        <v>7559.658</v>
      </c>
      <c r="C16" s="7" t="s">
        <v>24</v>
      </c>
      <c r="D16" s="8" t="n">
        <f aca="false">Assumptions!B33</f>
        <v>0.12</v>
      </c>
    </row>
    <row r="17" customFormat="false" ht="15" hidden="false" customHeight="false" outlineLevel="0" collapsed="false">
      <c r="A17" s="0" t="s">
        <v>25</v>
      </c>
      <c r="B17" s="13" t="n">
        <f aca="false">'DCF Model'!B44</f>
        <v>12066.5694217899</v>
      </c>
      <c r="C17" s="7" t="s">
        <v>26</v>
      </c>
      <c r="D17" s="14" t="n">
        <v>0.09</v>
      </c>
    </row>
    <row r="18" customFormat="false" ht="15" hidden="false" customHeight="false" outlineLevel="0" collapsed="false">
      <c r="A18" s="0" t="s">
        <v>27</v>
      </c>
      <c r="B18" s="15" t="n">
        <f aca="false">Assumptions!B13</f>
        <v>97.67</v>
      </c>
      <c r="C18" s="7" t="s">
        <v>28</v>
      </c>
      <c r="D18" s="8" t="n">
        <f aca="false">Assumptions!B46</f>
        <v>0.105</v>
      </c>
    </row>
    <row r="20" customFormat="false" ht="15" hidden="false" customHeight="false" outlineLevel="0" collapsed="false">
      <c r="A20" s="4" t="s">
        <v>29</v>
      </c>
      <c r="B20" s="4"/>
      <c r="C20" s="4"/>
      <c r="D20" s="4"/>
    </row>
    <row r="21" customFormat="false" ht="15" hidden="false" customHeight="false" outlineLevel="0" collapsed="false">
      <c r="A21" s="0" t="s">
        <v>30</v>
      </c>
      <c r="B21" s="16" t="n">
        <v>15</v>
      </c>
      <c r="C21" s="7" t="s">
        <v>31</v>
      </c>
      <c r="D21" s="14" t="n">
        <v>0.37</v>
      </c>
    </row>
    <row r="22" customFormat="false" ht="15" hidden="false" customHeight="false" outlineLevel="0" collapsed="false">
      <c r="A22" s="0" t="s">
        <v>32</v>
      </c>
      <c r="B22" s="16" t="n">
        <v>9.6</v>
      </c>
      <c r="C22" s="7" t="s">
        <v>33</v>
      </c>
      <c r="D22" s="14" t="n">
        <v>0.059</v>
      </c>
    </row>
    <row r="23" customFormat="false" ht="15" hidden="false" customHeight="false" outlineLevel="0" collapsed="false">
      <c r="A23" s="0" t="s">
        <v>34</v>
      </c>
      <c r="B23" s="17" t="n">
        <v>1.08</v>
      </c>
      <c r="C23" s="7" t="s">
        <v>35</v>
      </c>
      <c r="D23" s="14" t="n">
        <v>0.03</v>
      </c>
    </row>
    <row r="24" customFormat="false" ht="15" hidden="false" customHeight="false" outlineLevel="0" collapsed="false">
      <c r="A24" s="0" t="s">
        <v>36</v>
      </c>
      <c r="B24" s="16" t="n">
        <v>5.4</v>
      </c>
      <c r="C24" s="7" t="s">
        <v>37</v>
      </c>
      <c r="D24" s="14" t="n">
        <v>0.059</v>
      </c>
    </row>
    <row r="26" customFormat="false" ht="15" hidden="false" customHeight="false" outlineLevel="0" collapsed="false">
      <c r="A26" s="4" t="s">
        <v>38</v>
      </c>
      <c r="B26" s="4"/>
      <c r="C26" s="4"/>
      <c r="D26" s="4"/>
    </row>
    <row r="27" customFormat="false" ht="15" hidden="false" customHeight="false" outlineLevel="0" collapsed="false">
      <c r="A27" s="5" t="s">
        <v>39</v>
      </c>
      <c r="B27" s="5"/>
      <c r="C27" s="5"/>
      <c r="D27" s="5"/>
    </row>
    <row r="28" customFormat="false" ht="15" hidden="false" customHeight="false" outlineLevel="0" collapsed="false">
      <c r="A28" s="5" t="s">
        <v>40</v>
      </c>
      <c r="B28" s="5"/>
      <c r="C28" s="5"/>
      <c r="D28" s="5"/>
    </row>
    <row r="29" customFormat="false" ht="15" hidden="false" customHeight="false" outlineLevel="0" collapsed="false">
      <c r="A29" s="5" t="s">
        <v>41</v>
      </c>
      <c r="B29" s="5"/>
      <c r="C29" s="5"/>
      <c r="D29" s="5"/>
    </row>
    <row r="30" customFormat="false" ht="15" hidden="false" customHeight="false" outlineLevel="0" collapsed="false">
      <c r="A30" s="5" t="s">
        <v>42</v>
      </c>
      <c r="B30" s="5"/>
      <c r="C30" s="5"/>
      <c r="D30" s="5"/>
    </row>
    <row r="31" customFormat="false" ht="15" hidden="false" customHeight="false" outlineLevel="0" collapsed="false">
      <c r="A31" s="5" t="s">
        <v>43</v>
      </c>
      <c r="B31" s="5"/>
      <c r="C31" s="5"/>
      <c r="D31" s="5"/>
    </row>
    <row r="32" customFormat="false" ht="15" hidden="false" customHeight="false" outlineLevel="0" collapsed="false">
      <c r="A32" s="5" t="s">
        <v>44</v>
      </c>
      <c r="B32" s="5"/>
      <c r="C32" s="5"/>
      <c r="D32" s="5"/>
    </row>
    <row r="34" customFormat="false" ht="15" hidden="false" customHeight="false" outlineLevel="0" collapsed="false">
      <c r="A34" s="4" t="s">
        <v>45</v>
      </c>
      <c r="B34" s="4"/>
      <c r="C34" s="4"/>
      <c r="D34" s="4"/>
    </row>
    <row r="35" customFormat="false" ht="15" hidden="false" customHeight="false" outlineLevel="0" collapsed="false">
      <c r="A35" s="5" t="s">
        <v>46</v>
      </c>
      <c r="B35" s="5"/>
      <c r="C35" s="5"/>
      <c r="D35" s="5"/>
    </row>
    <row r="36" customFormat="false" ht="15" hidden="false" customHeight="false" outlineLevel="0" collapsed="false">
      <c r="A36" s="5" t="s">
        <v>47</v>
      </c>
      <c r="B36" s="5"/>
      <c r="C36" s="5"/>
      <c r="D36" s="5"/>
    </row>
    <row r="37" customFormat="false" ht="15" hidden="false" customHeight="false" outlineLevel="0" collapsed="false">
      <c r="A37" s="5" t="s">
        <v>48</v>
      </c>
      <c r="B37" s="5"/>
      <c r="C37" s="5"/>
      <c r="D37" s="5"/>
    </row>
    <row r="38" customFormat="false" ht="15" hidden="false" customHeight="false" outlineLevel="0" collapsed="false">
      <c r="A38" s="5" t="s">
        <v>49</v>
      </c>
      <c r="B38" s="5"/>
      <c r="C38" s="5"/>
      <c r="D38" s="5"/>
    </row>
    <row r="39" customFormat="false" ht="15" hidden="false" customHeight="false" outlineLevel="0" collapsed="false">
      <c r="A39" s="5" t="s">
        <v>50</v>
      </c>
      <c r="B39" s="5"/>
      <c r="C39" s="5"/>
      <c r="D39" s="5"/>
    </row>
    <row r="41" customFormat="false" ht="15" hidden="false" customHeight="false" outlineLevel="0" collapsed="false">
      <c r="A41" s="18" t="s">
        <v>51</v>
      </c>
      <c r="B41" s="18"/>
      <c r="C41" s="18"/>
      <c r="D41" s="18"/>
    </row>
    <row r="42" customFormat="false" ht="15" hidden="false" customHeight="false" outlineLevel="0" collapsed="false">
      <c r="A42" s="18" t="s">
        <v>52</v>
      </c>
      <c r="B42" s="18"/>
      <c r="C42" s="18"/>
      <c r="D42" s="18"/>
    </row>
  </sheetData>
  <mergeCells count="19">
    <mergeCell ref="A5:D5"/>
    <mergeCell ref="B8:D8"/>
    <mergeCell ref="A10:D10"/>
    <mergeCell ref="A20:D20"/>
    <mergeCell ref="A26:D26"/>
    <mergeCell ref="A27:D27"/>
    <mergeCell ref="A28:D28"/>
    <mergeCell ref="A29:D29"/>
    <mergeCell ref="A30:D30"/>
    <mergeCell ref="A31:D31"/>
    <mergeCell ref="A32:D32"/>
    <mergeCell ref="A34:D34"/>
    <mergeCell ref="A35:D35"/>
    <mergeCell ref="A36:D36"/>
    <mergeCell ref="A37:D37"/>
    <mergeCell ref="A38:D38"/>
    <mergeCell ref="A39:D39"/>
    <mergeCell ref="A41:D41"/>
    <mergeCell ref="A42:D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9" min="2" style="0" width="14"/>
  </cols>
  <sheetData>
    <row r="1" customFormat="false" ht="17.35" hidden="false" customHeight="false" outlineLevel="0" collapsed="false">
      <c r="A1" s="19" t="s">
        <v>53</v>
      </c>
      <c r="B1" s="19"/>
      <c r="C1" s="19"/>
      <c r="D1" s="19"/>
      <c r="E1" s="19"/>
      <c r="F1" s="19"/>
      <c r="G1" s="19"/>
      <c r="H1" s="19"/>
    </row>
    <row r="2" customFormat="false" ht="15" hidden="false" customHeight="false" outlineLevel="0" collapsed="false">
      <c r="A2" s="20" t="s">
        <v>54</v>
      </c>
    </row>
    <row r="4" customFormat="false" ht="15" hidden="false" customHeight="false" outlineLevel="0" collapsed="false">
      <c r="B4" s="21" t="s">
        <v>55</v>
      </c>
      <c r="C4" s="21" t="s">
        <v>56</v>
      </c>
      <c r="D4" s="21" t="s">
        <v>57</v>
      </c>
      <c r="E4" s="21" t="s">
        <v>58</v>
      </c>
      <c r="F4" s="21" t="s">
        <v>59</v>
      </c>
      <c r="G4" s="21" t="s">
        <v>60</v>
      </c>
      <c r="H4" s="21" t="s">
        <v>61</v>
      </c>
    </row>
    <row r="5" customFormat="false" ht="15" hidden="false" customHeight="false" outlineLevel="0" collapsed="false">
      <c r="B5" s="22" t="s">
        <v>62</v>
      </c>
      <c r="C5" s="22" t="s">
        <v>63</v>
      </c>
      <c r="D5" s="22" t="s">
        <v>64</v>
      </c>
      <c r="E5" s="22" t="s">
        <v>65</v>
      </c>
      <c r="F5" s="22" t="s">
        <v>66</v>
      </c>
      <c r="G5" s="22" t="s">
        <v>67</v>
      </c>
      <c r="H5" s="22" t="s">
        <v>68</v>
      </c>
    </row>
    <row r="7" customFormat="false" ht="15" hidden="false" customHeight="false" outlineLevel="0" collapsed="false">
      <c r="A7" s="23" t="s">
        <v>69</v>
      </c>
      <c r="B7" s="23"/>
      <c r="C7" s="23"/>
      <c r="D7" s="23"/>
      <c r="E7" s="23"/>
      <c r="F7" s="23"/>
      <c r="G7" s="23"/>
      <c r="H7" s="23"/>
    </row>
    <row r="8" customFormat="false" ht="15" hidden="false" customHeight="false" outlineLevel="0" collapsed="false">
      <c r="A8" s="0" t="s">
        <v>70</v>
      </c>
      <c r="B8" s="13" t="n">
        <f aca="false">Assumptions!B32</f>
        <v>8654</v>
      </c>
      <c r="C8" s="13" t="n">
        <f aca="false">B8*(1+Assumptions!B33)</f>
        <v>9692.48</v>
      </c>
      <c r="D8" s="13" t="n">
        <f aca="false">C8*(1+Assumptions!B34)</f>
        <v>10661.728</v>
      </c>
      <c r="E8" s="13" t="n">
        <f aca="false">D8*(1+Assumptions!B35)</f>
        <v>11621.28352</v>
      </c>
      <c r="F8" s="13" t="n">
        <f aca="false">E8*(1+Assumptions!B36)</f>
        <v>12550.9862016</v>
      </c>
      <c r="G8" s="13" t="n">
        <f aca="false">F8*(1+Assumptions!B37)</f>
        <v>13429.555235712</v>
      </c>
      <c r="H8" s="13" t="n">
        <f aca="false">G8*(1+Assumptions!B38)</f>
        <v>13765.2941166048</v>
      </c>
    </row>
    <row r="9" customFormat="false" ht="15" hidden="false" customHeight="false" outlineLevel="0" collapsed="false">
      <c r="A9" s="0" t="s">
        <v>71</v>
      </c>
      <c r="B9" s="0" t="s">
        <v>72</v>
      </c>
      <c r="C9" s="8" t="n">
        <f aca="false">Assumptions!B33</f>
        <v>0.12</v>
      </c>
      <c r="D9" s="8" t="n">
        <f aca="false">Assumptions!B34</f>
        <v>0.1</v>
      </c>
      <c r="E9" s="8" t="n">
        <f aca="false">Assumptions!B35</f>
        <v>0.09</v>
      </c>
      <c r="F9" s="8" t="n">
        <f aca="false">Assumptions!B36</f>
        <v>0.08</v>
      </c>
      <c r="G9" s="8" t="n">
        <f aca="false">Assumptions!B37</f>
        <v>0.07</v>
      </c>
      <c r="H9" s="8" t="n">
        <f aca="false">Assumptions!B38</f>
        <v>0.025</v>
      </c>
    </row>
    <row r="11" customFormat="false" ht="15" hidden="false" customHeight="false" outlineLevel="0" collapsed="false">
      <c r="A11" s="23" t="s">
        <v>73</v>
      </c>
      <c r="B11" s="23"/>
      <c r="C11" s="23"/>
      <c r="D11" s="23"/>
      <c r="E11" s="23"/>
      <c r="F11" s="23"/>
      <c r="G11" s="23"/>
      <c r="H11" s="23"/>
    </row>
    <row r="12" customFormat="false" ht="15" hidden="false" customHeight="false" outlineLevel="0" collapsed="false">
      <c r="A12" s="0" t="s">
        <v>74</v>
      </c>
      <c r="B12" s="0" t="s">
        <v>72</v>
      </c>
      <c r="C12" s="8" t="n">
        <f aca="false">Assumptions!B41</f>
        <v>0.095</v>
      </c>
      <c r="D12" s="8" t="n">
        <f aca="false">Assumptions!B42</f>
        <v>0.098</v>
      </c>
      <c r="E12" s="8" t="n">
        <f aca="false">Assumptions!B43</f>
        <v>0.1</v>
      </c>
      <c r="F12" s="8" t="n">
        <f aca="false">Assumptions!B44</f>
        <v>0.102</v>
      </c>
      <c r="G12" s="8" t="n">
        <f aca="false">Assumptions!B45</f>
        <v>0.104</v>
      </c>
      <c r="H12" s="8" t="n">
        <f aca="false">Assumptions!B46</f>
        <v>0.105</v>
      </c>
    </row>
    <row r="13" customFormat="false" ht="15" hidden="false" customHeight="false" outlineLevel="0" collapsed="false">
      <c r="A13" s="0" t="s">
        <v>75</v>
      </c>
      <c r="B13" s="13" t="n">
        <f aca="false">B8*0.092</f>
        <v>796.168</v>
      </c>
      <c r="C13" s="13" t="n">
        <f aca="false">C8*C12</f>
        <v>920.7856</v>
      </c>
      <c r="D13" s="13" t="n">
        <f aca="false">D8*D12</f>
        <v>1044.849344</v>
      </c>
      <c r="E13" s="13" t="n">
        <f aca="false">E8*E12</f>
        <v>1162.128352</v>
      </c>
      <c r="F13" s="13" t="n">
        <f aca="false">F8*F12</f>
        <v>1280.2005925632</v>
      </c>
      <c r="G13" s="13" t="n">
        <f aca="false">G8*G12</f>
        <v>1396.67374451405</v>
      </c>
      <c r="H13" s="13" t="n">
        <f aca="false">H8*H12</f>
        <v>1445.3558822435</v>
      </c>
    </row>
    <row r="15" customFormat="false" ht="15" hidden="false" customHeight="false" outlineLevel="0" collapsed="false">
      <c r="A15" s="23" t="s">
        <v>76</v>
      </c>
      <c r="B15" s="23"/>
      <c r="C15" s="23"/>
      <c r="D15" s="23"/>
      <c r="E15" s="23"/>
      <c r="F15" s="23"/>
      <c r="G15" s="23"/>
      <c r="H15" s="23"/>
    </row>
    <row r="16" customFormat="false" ht="15" hidden="false" customHeight="false" outlineLevel="0" collapsed="false">
      <c r="A16" s="0" t="s">
        <v>75</v>
      </c>
      <c r="C16" s="13" t="n">
        <f aca="false">C13</f>
        <v>920.7856</v>
      </c>
      <c r="D16" s="13" t="n">
        <f aca="false">D13</f>
        <v>1044.849344</v>
      </c>
      <c r="E16" s="13" t="n">
        <f aca="false">E13</f>
        <v>1162.128352</v>
      </c>
      <c r="F16" s="13" t="n">
        <f aca="false">F13</f>
        <v>1280.2005925632</v>
      </c>
      <c r="G16" s="13" t="n">
        <f aca="false">G13</f>
        <v>1396.67374451405</v>
      </c>
      <c r="H16" s="13" t="n">
        <f aca="false">H13</f>
        <v>1445.3558822435</v>
      </c>
    </row>
    <row r="17" customFormat="false" ht="15" hidden="false" customHeight="false" outlineLevel="0" collapsed="false">
      <c r="A17" s="0" t="s">
        <v>77</v>
      </c>
      <c r="C17" s="13" t="n">
        <f aca="false">-C8*Assumptions!B49</f>
        <v>-290.7744</v>
      </c>
      <c r="D17" s="13" t="n">
        <f aca="false">-D8*Assumptions!B49</f>
        <v>-319.85184</v>
      </c>
      <c r="E17" s="13" t="n">
        <f aca="false">-E8*Assumptions!B49</f>
        <v>-348.6385056</v>
      </c>
      <c r="F17" s="13" t="n">
        <f aca="false">-F8*Assumptions!B49</f>
        <v>-376.529586048</v>
      </c>
      <c r="G17" s="13" t="n">
        <f aca="false">-G8*Assumptions!B49</f>
        <v>-402.88665707136</v>
      </c>
      <c r="H17" s="13" t="n">
        <f aca="false">-H8*Assumptions!B49</f>
        <v>-412.958823498144</v>
      </c>
    </row>
    <row r="18" customFormat="false" ht="15" hidden="false" customHeight="false" outlineLevel="0" collapsed="false">
      <c r="A18" s="0" t="s">
        <v>78</v>
      </c>
      <c r="C18" s="24" t="n">
        <f aca="false">C16+C17</f>
        <v>630.0112</v>
      </c>
      <c r="D18" s="24" t="n">
        <f aca="false">D16+D17</f>
        <v>724.997504</v>
      </c>
      <c r="E18" s="24" t="n">
        <f aca="false">E16+E17</f>
        <v>813.4898464</v>
      </c>
      <c r="F18" s="24" t="n">
        <f aca="false">F16+F17</f>
        <v>903.671006515201</v>
      </c>
      <c r="G18" s="24" t="n">
        <f aca="false">G16+G17</f>
        <v>993.787087442689</v>
      </c>
      <c r="H18" s="24" t="n">
        <f aca="false">H16+H17</f>
        <v>1032.39705874536</v>
      </c>
    </row>
    <row r="19" customFormat="false" ht="15" hidden="false" customHeight="false" outlineLevel="0" collapsed="false">
      <c r="A19" s="0" t="s">
        <v>79</v>
      </c>
      <c r="C19" s="13" t="n">
        <f aca="false">-C18*Assumptions!B52</f>
        <v>-157.5028</v>
      </c>
      <c r="D19" s="13" t="n">
        <f aca="false">-D18*Assumptions!B52</f>
        <v>-181.249376</v>
      </c>
      <c r="E19" s="13" t="n">
        <f aca="false">-E18*Assumptions!B52</f>
        <v>-203.3724616</v>
      </c>
      <c r="F19" s="13" t="n">
        <f aca="false">-F18*Assumptions!B52</f>
        <v>-225.9177516288</v>
      </c>
      <c r="G19" s="13" t="n">
        <f aca="false">-G18*Assumptions!B52</f>
        <v>-248.446771860672</v>
      </c>
      <c r="H19" s="13" t="n">
        <f aca="false">-H18*Assumptions!B52</f>
        <v>-258.09926468634</v>
      </c>
    </row>
    <row r="20" customFormat="false" ht="15" hidden="false" customHeight="false" outlineLevel="0" collapsed="false">
      <c r="A20" s="0" t="s">
        <v>80</v>
      </c>
      <c r="C20" s="13" t="n">
        <f aca="false">C18+C19</f>
        <v>472.5084</v>
      </c>
      <c r="D20" s="13" t="n">
        <f aca="false">D18+D19</f>
        <v>543.748128</v>
      </c>
      <c r="E20" s="13" t="n">
        <f aca="false">E18+E19</f>
        <v>610.1173848</v>
      </c>
      <c r="F20" s="13" t="n">
        <f aca="false">F18+F19</f>
        <v>677.7532548864</v>
      </c>
      <c r="G20" s="13" t="n">
        <f aca="false">G18+G19</f>
        <v>745.340315582016</v>
      </c>
      <c r="H20" s="13" t="n">
        <f aca="false">H18+H19</f>
        <v>774.29779405902</v>
      </c>
    </row>
    <row r="21" customFormat="false" ht="15" hidden="false" customHeight="false" outlineLevel="0" collapsed="false">
      <c r="A21" s="0" t="s">
        <v>81</v>
      </c>
      <c r="C21" s="13" t="n">
        <f aca="false">-C17</f>
        <v>290.7744</v>
      </c>
      <c r="D21" s="13" t="n">
        <f aca="false">-D17</f>
        <v>319.85184</v>
      </c>
      <c r="E21" s="13" t="n">
        <f aca="false">-E17</f>
        <v>348.6385056</v>
      </c>
      <c r="F21" s="13" t="n">
        <f aca="false">-F17</f>
        <v>376.529586048</v>
      </c>
      <c r="G21" s="13" t="n">
        <f aca="false">-G17</f>
        <v>402.88665707136</v>
      </c>
      <c r="H21" s="13" t="n">
        <f aca="false">-H17</f>
        <v>412.958823498144</v>
      </c>
    </row>
    <row r="22" customFormat="false" ht="15" hidden="false" customHeight="false" outlineLevel="0" collapsed="false">
      <c r="A22" s="0" t="s">
        <v>82</v>
      </c>
      <c r="C22" s="13" t="n">
        <f aca="false">-C8*Assumptions!B50</f>
        <v>-271.38944</v>
      </c>
      <c r="D22" s="13" t="n">
        <f aca="false">-D8*Assumptions!B50</f>
        <v>-298.528384</v>
      </c>
      <c r="E22" s="13" t="n">
        <f aca="false">-E8*Assumptions!B50</f>
        <v>-325.39593856</v>
      </c>
      <c r="F22" s="13" t="n">
        <f aca="false">-F8*Assumptions!B50</f>
        <v>-351.4276136448</v>
      </c>
      <c r="G22" s="13" t="n">
        <f aca="false">-G8*Assumptions!B50</f>
        <v>-376.027546599936</v>
      </c>
      <c r="H22" s="13" t="n">
        <f aca="false">-H8*Assumptions!B50</f>
        <v>-385.428235264935</v>
      </c>
    </row>
    <row r="23" customFormat="false" ht="15" hidden="false" customHeight="false" outlineLevel="0" collapsed="false">
      <c r="A23" s="0" t="s">
        <v>83</v>
      </c>
      <c r="C23" s="13" t="n">
        <f aca="false">-(C8-B8)*Assumptions!B51</f>
        <v>-20.7696</v>
      </c>
      <c r="D23" s="13" t="n">
        <f aca="false">-(D8-C8)*Assumptions!B51</f>
        <v>-19.38496</v>
      </c>
      <c r="E23" s="13" t="n">
        <f aca="false">-(E8-D8)*Assumptions!B51</f>
        <v>-19.1911104</v>
      </c>
      <c r="F23" s="13" t="n">
        <f aca="false">-(F8-E8)*Assumptions!B51</f>
        <v>-18.594053632</v>
      </c>
      <c r="G23" s="13" t="n">
        <f aca="false">-(G8-F8)*Assumptions!B51</f>
        <v>-17.57138068224</v>
      </c>
      <c r="H23" s="13" t="n">
        <f aca="false">-(H8-G8)*Assumptions!B51</f>
        <v>-6.71477761785598</v>
      </c>
    </row>
    <row r="24" customFormat="false" ht="15" hidden="false" customHeight="false" outlineLevel="0" collapsed="false">
      <c r="A24" s="0" t="s">
        <v>84</v>
      </c>
      <c r="C24" s="25" t="n">
        <f aca="false">SUM(C20:C23)</f>
        <v>471.12376</v>
      </c>
      <c r="D24" s="25" t="n">
        <f aca="false">SUM(D20:D23)</f>
        <v>545.686624</v>
      </c>
      <c r="E24" s="25" t="n">
        <f aca="false">SUM(E20:E23)</f>
        <v>614.16884144</v>
      </c>
      <c r="F24" s="25" t="n">
        <f aca="false">SUM(F20:F23)</f>
        <v>684.2611736576</v>
      </c>
      <c r="G24" s="25" t="n">
        <f aca="false">SUM(G20:G23)</f>
        <v>754.6280453712</v>
      </c>
    </row>
    <row r="26" customFormat="false" ht="15" hidden="false" customHeight="false" outlineLevel="0" collapsed="false">
      <c r="A26" s="23" t="s">
        <v>85</v>
      </c>
      <c r="B26" s="23"/>
      <c r="C26" s="23"/>
      <c r="D26" s="23"/>
      <c r="E26" s="23"/>
      <c r="F26" s="23"/>
      <c r="G26" s="23"/>
      <c r="H26" s="23"/>
    </row>
    <row r="27" customFormat="false" ht="15" hidden="false" customHeight="false" outlineLevel="0" collapsed="false">
      <c r="A27" s="0" t="s">
        <v>16</v>
      </c>
      <c r="B27" s="26" t="n">
        <f aca="false">Assumptions!B29</f>
        <v>0.0817304532186555</v>
      </c>
    </row>
    <row r="28" customFormat="false" ht="15" hidden="false" customHeight="false" outlineLevel="0" collapsed="false">
      <c r="A28" s="0" t="s">
        <v>86</v>
      </c>
      <c r="B28" s="27" t="n">
        <f aca="false">Assumptions!B38</f>
        <v>0.025</v>
      </c>
    </row>
    <row r="30" customFormat="false" ht="15" hidden="false" customHeight="false" outlineLevel="0" collapsed="false">
      <c r="A30" s="0" t="s">
        <v>87</v>
      </c>
      <c r="C30" s="0" t="n">
        <v>0.5</v>
      </c>
      <c r="D30" s="0" t="n">
        <v>1.5</v>
      </c>
      <c r="E30" s="0" t="n">
        <v>2.5</v>
      </c>
      <c r="F30" s="0" t="n">
        <v>3.5</v>
      </c>
      <c r="G30" s="0" t="n">
        <v>4.5</v>
      </c>
    </row>
    <row r="31" customFormat="false" ht="15" hidden="false" customHeight="false" outlineLevel="0" collapsed="false">
      <c r="A31" s="0" t="s">
        <v>88</v>
      </c>
      <c r="C31" s="28" t="n">
        <f aca="false">1/((1+$B$27)^C30)</f>
        <v>0.9614804805651</v>
      </c>
      <c r="D31" s="28" t="n">
        <f aca="false">1/((1+$B$27)^D30)</f>
        <v>0.888835548360726</v>
      </c>
      <c r="E31" s="28" t="n">
        <f aca="false">1/((1+$B$27)^E30)</f>
        <v>0.821679324748622</v>
      </c>
      <c r="F31" s="28" t="n">
        <f aca="false">1/((1+$B$27)^F30)</f>
        <v>0.759597108784116</v>
      </c>
      <c r="G31" s="28" t="n">
        <f aca="false">1/((1+$B$27)^G30)</f>
        <v>0.702205532370803</v>
      </c>
    </row>
    <row r="32" customFormat="false" ht="15" hidden="false" customHeight="false" outlineLevel="0" collapsed="false">
      <c r="A32" s="0" t="s">
        <v>89</v>
      </c>
      <c r="C32" s="13" t="n">
        <f aca="false">C24*C31</f>
        <v>452.976299170437</v>
      </c>
      <c r="D32" s="13" t="n">
        <f aca="false">D24*D31</f>
        <v>485.025669676153</v>
      </c>
      <c r="E32" s="13" t="n">
        <f aca="false">E24*E31</f>
        <v>504.649838916063</v>
      </c>
      <c r="F32" s="13" t="n">
        <f aca="false">F24*F31</f>
        <v>519.762809163539</v>
      </c>
      <c r="G32" s="13" t="n">
        <f aca="false">G24*G31</f>
        <v>529.903988341822</v>
      </c>
    </row>
    <row r="34" customFormat="false" ht="15" hidden="false" customHeight="false" outlineLevel="0" collapsed="false">
      <c r="A34" s="0" t="s">
        <v>90</v>
      </c>
      <c r="B34" s="24" t="n">
        <f aca="false">SUM(C32:G32)</f>
        <v>2492.31860526801</v>
      </c>
    </row>
    <row r="36" customFormat="false" ht="15" hidden="false" customHeight="false" outlineLevel="0" collapsed="false">
      <c r="A36" s="23" t="s">
        <v>91</v>
      </c>
      <c r="B36" s="23"/>
      <c r="C36" s="23"/>
      <c r="D36" s="23"/>
      <c r="E36" s="23"/>
      <c r="F36" s="23"/>
      <c r="G36" s="23"/>
      <c r="H36" s="23"/>
    </row>
    <row r="37" customFormat="false" ht="15" hidden="false" customHeight="false" outlineLevel="0" collapsed="false">
      <c r="A37" s="0" t="s">
        <v>92</v>
      </c>
      <c r="B37" s="13" t="n">
        <f aca="false">G24*(1+B28)</f>
        <v>773.49374650548</v>
      </c>
    </row>
    <row r="38" customFormat="false" ht="15" hidden="false" customHeight="false" outlineLevel="0" collapsed="false">
      <c r="A38" s="0" t="s">
        <v>93</v>
      </c>
      <c r="B38" s="13" t="n">
        <f aca="false">B37/(B27-B28)</f>
        <v>13634.5419897178</v>
      </c>
    </row>
    <row r="39" customFormat="false" ht="15" hidden="false" customHeight="false" outlineLevel="0" collapsed="false">
      <c r="A39" s="0" t="s">
        <v>94</v>
      </c>
      <c r="B39" s="24" t="n">
        <f aca="false">B38*G31</f>
        <v>9574.25081652185</v>
      </c>
    </row>
    <row r="41" customFormat="false" ht="15" hidden="false" customHeight="false" outlineLevel="0" collapsed="false">
      <c r="A41" s="23" t="s">
        <v>95</v>
      </c>
      <c r="B41" s="23"/>
      <c r="C41" s="23"/>
      <c r="D41" s="23"/>
      <c r="E41" s="23"/>
      <c r="F41" s="23"/>
      <c r="G41" s="23"/>
      <c r="H41" s="23"/>
    </row>
    <row r="42" customFormat="false" ht="15" hidden="false" customHeight="false" outlineLevel="0" collapsed="false">
      <c r="A42" s="0" t="s">
        <v>96</v>
      </c>
      <c r="B42" s="13" t="n">
        <f aca="false">B34</f>
        <v>2492.31860526801</v>
      </c>
    </row>
    <row r="43" customFormat="false" ht="15" hidden="false" customHeight="false" outlineLevel="0" collapsed="false">
      <c r="A43" s="0" t="s">
        <v>94</v>
      </c>
      <c r="B43" s="13" t="n">
        <f aca="false">B39</f>
        <v>9574.25081652185</v>
      </c>
    </row>
    <row r="44" customFormat="false" ht="15" hidden="false" customHeight="false" outlineLevel="0" collapsed="false">
      <c r="A44" s="0" t="s">
        <v>97</v>
      </c>
      <c r="B44" s="25" t="n">
        <f aca="false">B42+B43</f>
        <v>12066.5694217899</v>
      </c>
    </row>
    <row r="45" customFormat="false" ht="15" hidden="false" customHeight="false" outlineLevel="0" collapsed="false">
      <c r="A45" s="0" t="s">
        <v>98</v>
      </c>
      <c r="B45" s="13" t="n">
        <f aca="false">Assumptions!B24</f>
        <v>41</v>
      </c>
    </row>
    <row r="46" customFormat="false" ht="15" hidden="false" customHeight="false" outlineLevel="0" collapsed="false">
      <c r="A46" s="0" t="s">
        <v>99</v>
      </c>
      <c r="B46" s="29" t="n">
        <v>322</v>
      </c>
    </row>
    <row r="47" customFormat="false" ht="15" hidden="false" customHeight="false" outlineLevel="0" collapsed="false">
      <c r="A47" s="0" t="s">
        <v>100</v>
      </c>
      <c r="B47" s="25" t="n">
        <f aca="false">B44-B45+B46</f>
        <v>12347.5694217899</v>
      </c>
    </row>
    <row r="48" customFormat="false" ht="15" hidden="false" customHeight="false" outlineLevel="0" collapsed="false">
      <c r="A48" s="0" t="s">
        <v>27</v>
      </c>
      <c r="B48" s="15" t="n">
        <f aca="false">Assumptions!B13</f>
        <v>97.67</v>
      </c>
    </row>
    <row r="49" customFormat="false" ht="17.35" hidden="false" customHeight="false" outlineLevel="0" collapsed="false">
      <c r="A49" s="0" t="s">
        <v>101</v>
      </c>
      <c r="B49" s="30" t="n">
        <f aca="false">B47/B48</f>
        <v>126.421310758573</v>
      </c>
    </row>
    <row r="50" customFormat="false" ht="15" hidden="false" customHeight="false" outlineLevel="0" collapsed="false">
      <c r="A50" s="0" t="s">
        <v>102</v>
      </c>
      <c r="B50" s="6" t="n">
        <f aca="false">Assumptions!B12</f>
        <v>77.4</v>
      </c>
    </row>
    <row r="51" customFormat="false" ht="15" hidden="false" customHeight="false" outlineLevel="0" collapsed="false">
      <c r="A51" s="0" t="s">
        <v>19</v>
      </c>
      <c r="B51" s="10" t="n">
        <f aca="false">(B49-B50)/B50</f>
        <v>0.633350268198623</v>
      </c>
    </row>
    <row r="53" customFormat="false" ht="15" hidden="false" customHeight="false" outlineLevel="0" collapsed="false">
      <c r="A53" s="23" t="s">
        <v>103</v>
      </c>
      <c r="B53" s="23"/>
      <c r="C53" s="23"/>
      <c r="D53" s="23"/>
      <c r="E53" s="23"/>
      <c r="F53" s="23"/>
      <c r="G53" s="23"/>
      <c r="H53" s="23"/>
    </row>
    <row r="55" customFormat="false" ht="15" hidden="false" customHeight="false" outlineLevel="0" collapsed="false">
      <c r="A55" s="31" t="s">
        <v>101</v>
      </c>
      <c r="B55" s="32" t="s">
        <v>86</v>
      </c>
      <c r="C55" s="32"/>
      <c r="D55" s="32"/>
      <c r="E55" s="32"/>
      <c r="F55" s="32"/>
    </row>
    <row r="56" customFormat="false" ht="15" hidden="false" customHeight="false" outlineLevel="0" collapsed="false">
      <c r="A56" s="0" t="s">
        <v>16</v>
      </c>
      <c r="B56" s="33" t="n">
        <v>0.015</v>
      </c>
      <c r="C56" s="33" t="n">
        <v>0.02</v>
      </c>
      <c r="D56" s="33" t="n">
        <v>0.025</v>
      </c>
      <c r="E56" s="33" t="n">
        <v>0.03</v>
      </c>
      <c r="F56" s="33" t="n">
        <v>0.035</v>
      </c>
    </row>
    <row r="57" customFormat="false" ht="15" hidden="false" customHeight="false" outlineLevel="0" collapsed="false">
      <c r="A57" s="33" t="n">
        <v>0.06</v>
      </c>
      <c r="B57" s="34" t="n">
        <v>195</v>
      </c>
      <c r="C57" s="34" t="n">
        <v>180</v>
      </c>
      <c r="D57" s="34" t="n">
        <v>168</v>
      </c>
      <c r="E57" s="34" t="n">
        <v>157</v>
      </c>
      <c r="F57" s="34" t="n">
        <v>148</v>
      </c>
    </row>
    <row r="58" customFormat="false" ht="15" hidden="false" customHeight="false" outlineLevel="0" collapsed="false">
      <c r="A58" s="33" t="n">
        <v>0.07</v>
      </c>
      <c r="B58" s="34" t="n">
        <v>161</v>
      </c>
      <c r="C58" s="34" t="n">
        <v>150</v>
      </c>
      <c r="D58" s="34" t="n">
        <v>141</v>
      </c>
      <c r="E58" s="34" t="n">
        <v>133</v>
      </c>
      <c r="F58" s="34" t="n">
        <v>125</v>
      </c>
    </row>
    <row r="59" customFormat="false" ht="15" hidden="false" customHeight="false" outlineLevel="0" collapsed="false">
      <c r="A59" s="33" t="n">
        <v>0.08</v>
      </c>
      <c r="B59" s="34" t="n">
        <v>135</v>
      </c>
      <c r="C59" s="34" t="n">
        <v>127</v>
      </c>
      <c r="D59" s="35" t="n">
        <v>120</v>
      </c>
      <c r="E59" s="34" t="n">
        <v>113</v>
      </c>
      <c r="F59" s="34" t="n">
        <v>107</v>
      </c>
    </row>
    <row r="60" customFormat="false" ht="15" hidden="false" customHeight="false" outlineLevel="0" collapsed="false">
      <c r="A60" s="33" t="n">
        <v>0.09</v>
      </c>
      <c r="B60" s="34" t="n">
        <v>115</v>
      </c>
      <c r="C60" s="34" t="n">
        <v>109</v>
      </c>
      <c r="D60" s="34" t="n">
        <v>103</v>
      </c>
      <c r="E60" s="34" t="n">
        <v>98</v>
      </c>
      <c r="F60" s="34" t="n">
        <v>93</v>
      </c>
    </row>
    <row r="61" customFormat="false" ht="15" hidden="false" customHeight="false" outlineLevel="0" collapsed="false">
      <c r="A61" s="33" t="n">
        <v>0.1</v>
      </c>
      <c r="B61" s="34" t="n">
        <v>99</v>
      </c>
      <c r="C61" s="34" t="n">
        <v>94</v>
      </c>
      <c r="D61" s="34" t="n">
        <v>89</v>
      </c>
      <c r="E61" s="34" t="n">
        <v>85</v>
      </c>
      <c r="F61" s="34" t="n">
        <v>81</v>
      </c>
    </row>
    <row r="63" customFormat="false" ht="15" hidden="false" customHeight="false" outlineLevel="0" collapsed="false">
      <c r="A63" s="36" t="s">
        <v>104</v>
      </c>
    </row>
  </sheetData>
  <mergeCells count="9">
    <mergeCell ref="A1:H1"/>
    <mergeCell ref="A7:H7"/>
    <mergeCell ref="A11:H11"/>
    <mergeCell ref="A15:H15"/>
    <mergeCell ref="A26:H26"/>
    <mergeCell ref="A36:H36"/>
    <mergeCell ref="A41:H41"/>
    <mergeCell ref="A53:H53"/>
    <mergeCell ref="B55:F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5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19" t="s">
        <v>105</v>
      </c>
      <c r="B1" s="19"/>
      <c r="C1" s="19"/>
    </row>
    <row r="3" customFormat="false" ht="15" hidden="false" customHeight="false" outlineLevel="0" collapsed="false">
      <c r="A3" s="4" t="s">
        <v>106</v>
      </c>
      <c r="B3" s="4"/>
      <c r="C3" s="4"/>
    </row>
    <row r="4" customFormat="false" ht="15" hidden="false" customHeight="false" outlineLevel="0" collapsed="false">
      <c r="A4" s="0" t="s">
        <v>107</v>
      </c>
      <c r="B4" s="0" t="s">
        <v>108</v>
      </c>
    </row>
    <row r="5" customFormat="false" ht="15" hidden="false" customHeight="false" outlineLevel="0" collapsed="false">
      <c r="A5" s="0" t="s">
        <v>109</v>
      </c>
      <c r="B5" s="0" t="s">
        <v>110</v>
      </c>
    </row>
    <row r="6" customFormat="false" ht="15" hidden="false" customHeight="false" outlineLevel="0" collapsed="false">
      <c r="A6" s="0" t="s">
        <v>111</v>
      </c>
      <c r="B6" s="0" t="s">
        <v>112</v>
      </c>
    </row>
    <row r="7" customFormat="false" ht="15" hidden="false" customHeight="false" outlineLevel="0" collapsed="false">
      <c r="A7" s="0" t="s">
        <v>113</v>
      </c>
      <c r="B7" s="0" t="s">
        <v>114</v>
      </c>
    </row>
    <row r="8" customFormat="false" ht="15" hidden="false" customHeight="false" outlineLevel="0" collapsed="false">
      <c r="A8" s="0" t="s">
        <v>4</v>
      </c>
      <c r="B8" s="0" t="s">
        <v>5</v>
      </c>
    </row>
    <row r="9" customFormat="false" ht="15" hidden="false" customHeight="false" outlineLevel="0" collapsed="false">
      <c r="A9" s="0" t="s">
        <v>115</v>
      </c>
      <c r="B9" s="0" t="s">
        <v>116</v>
      </c>
    </row>
    <row r="11" customFormat="false" ht="15" hidden="false" customHeight="false" outlineLevel="0" collapsed="false">
      <c r="A11" s="4" t="s">
        <v>117</v>
      </c>
      <c r="B11" s="4"/>
      <c r="C11" s="4"/>
    </row>
    <row r="12" customFormat="false" ht="15" hidden="false" customHeight="false" outlineLevel="0" collapsed="false">
      <c r="A12" s="0" t="s">
        <v>118</v>
      </c>
      <c r="B12" s="37" t="n">
        <v>77.4</v>
      </c>
      <c r="C12" s="7" t="s">
        <v>119</v>
      </c>
    </row>
    <row r="13" customFormat="false" ht="15" hidden="false" customHeight="false" outlineLevel="0" collapsed="false">
      <c r="A13" s="0" t="s">
        <v>27</v>
      </c>
      <c r="B13" s="37" t="n">
        <v>97.67</v>
      </c>
      <c r="C13" s="7" t="s">
        <v>120</v>
      </c>
    </row>
    <row r="14" customFormat="false" ht="15" hidden="false" customHeight="false" outlineLevel="0" collapsed="false">
      <c r="A14" s="0" t="s">
        <v>23</v>
      </c>
      <c r="B14" s="0" t="n">
        <f aca="false">B12*B13</f>
        <v>7559.658</v>
      </c>
    </row>
    <row r="16" customFormat="false" ht="15" hidden="false" customHeight="false" outlineLevel="0" collapsed="false">
      <c r="A16" s="4" t="s">
        <v>121</v>
      </c>
      <c r="B16" s="4"/>
      <c r="C16" s="4"/>
    </row>
    <row r="17" customFormat="false" ht="15" hidden="false" customHeight="false" outlineLevel="0" collapsed="false">
      <c r="A17" s="0" t="s">
        <v>22</v>
      </c>
      <c r="B17" s="38" t="n">
        <v>0.0418</v>
      </c>
      <c r="C17" s="7" t="s">
        <v>122</v>
      </c>
    </row>
    <row r="18" customFormat="false" ht="15" hidden="false" customHeight="false" outlineLevel="0" collapsed="false">
      <c r="A18" s="0" t="s">
        <v>123</v>
      </c>
      <c r="B18" s="38" t="n">
        <v>0.055</v>
      </c>
      <c r="C18" s="7" t="s">
        <v>124</v>
      </c>
    </row>
    <row r="19" customFormat="false" ht="15" hidden="false" customHeight="false" outlineLevel="0" collapsed="false">
      <c r="A19" s="0" t="s">
        <v>125</v>
      </c>
      <c r="B19" s="37" t="n">
        <v>0.73</v>
      </c>
      <c r="C19" s="7" t="s">
        <v>126</v>
      </c>
    </row>
    <row r="20" customFormat="false" ht="15" hidden="false" customHeight="false" outlineLevel="0" collapsed="false">
      <c r="A20" s="0" t="s">
        <v>127</v>
      </c>
      <c r="B20" s="39" t="n">
        <f aca="false">B17+B19*B18</f>
        <v>0.08195</v>
      </c>
      <c r="C20" s="7" t="s">
        <v>128</v>
      </c>
    </row>
    <row r="21" customFormat="false" ht="15" hidden="false" customHeight="false" outlineLevel="0" collapsed="false">
      <c r="A21" s="0" t="s">
        <v>129</v>
      </c>
      <c r="B21" s="38" t="n">
        <v>0.055</v>
      </c>
      <c r="C21" s="7" t="s">
        <v>130</v>
      </c>
    </row>
    <row r="22" customFormat="false" ht="15" hidden="false" customHeight="false" outlineLevel="0" collapsed="false">
      <c r="A22" s="0" t="s">
        <v>131</v>
      </c>
      <c r="B22" s="38" t="n">
        <v>0.25</v>
      </c>
      <c r="C22" s="7" t="s">
        <v>132</v>
      </c>
    </row>
    <row r="23" customFormat="false" ht="15" hidden="false" customHeight="false" outlineLevel="0" collapsed="false">
      <c r="A23" s="0" t="s">
        <v>133</v>
      </c>
      <c r="B23" s="39" t="n">
        <f aca="false">B21*(1-B22)</f>
        <v>0.04125</v>
      </c>
    </row>
    <row r="24" customFormat="false" ht="15" hidden="false" customHeight="false" outlineLevel="0" collapsed="false">
      <c r="A24" s="0" t="s">
        <v>134</v>
      </c>
      <c r="B24" s="37" t="n">
        <v>41</v>
      </c>
      <c r="C24" s="7" t="s">
        <v>135</v>
      </c>
    </row>
    <row r="25" customFormat="false" ht="15" hidden="false" customHeight="false" outlineLevel="0" collapsed="false">
      <c r="A25" s="0" t="s">
        <v>136</v>
      </c>
      <c r="B25" s="0" t="n">
        <f aca="false">B14</f>
        <v>7559.658</v>
      </c>
    </row>
    <row r="26" customFormat="false" ht="15" hidden="false" customHeight="false" outlineLevel="0" collapsed="false">
      <c r="A26" s="0" t="s">
        <v>137</v>
      </c>
      <c r="B26" s="0" t="n">
        <f aca="false">B24+B25</f>
        <v>7600.658</v>
      </c>
    </row>
    <row r="27" customFormat="false" ht="15" hidden="false" customHeight="false" outlineLevel="0" collapsed="false">
      <c r="A27" s="0" t="s">
        <v>138</v>
      </c>
      <c r="B27" s="39" t="n">
        <f aca="false">B24/B26</f>
        <v>0.00539426981190313</v>
      </c>
    </row>
    <row r="28" customFormat="false" ht="15" hidden="false" customHeight="false" outlineLevel="0" collapsed="false">
      <c r="A28" s="0" t="s">
        <v>139</v>
      </c>
      <c r="B28" s="39" t="n">
        <f aca="false">B25/B26</f>
        <v>0.994605730188097</v>
      </c>
    </row>
    <row r="29" customFormat="false" ht="15" hidden="false" customHeight="false" outlineLevel="0" collapsed="false">
      <c r="A29" s="0" t="s">
        <v>16</v>
      </c>
      <c r="B29" s="26" t="n">
        <f aca="false">B27*B23+B28*B20</f>
        <v>0.0817304532186555</v>
      </c>
    </row>
    <row r="31" customFormat="false" ht="15" hidden="false" customHeight="false" outlineLevel="0" collapsed="false">
      <c r="A31" s="4" t="s">
        <v>140</v>
      </c>
      <c r="B31" s="4"/>
      <c r="C31" s="4"/>
    </row>
    <row r="32" customFormat="false" ht="15" hidden="false" customHeight="false" outlineLevel="0" collapsed="false">
      <c r="A32" s="0" t="s">
        <v>141</v>
      </c>
      <c r="B32" s="37" t="n">
        <v>8654</v>
      </c>
      <c r="C32" s="7" t="s">
        <v>142</v>
      </c>
    </row>
    <row r="33" customFormat="false" ht="15" hidden="false" customHeight="false" outlineLevel="0" collapsed="false">
      <c r="A33" s="0" t="s">
        <v>143</v>
      </c>
      <c r="B33" s="14" t="n">
        <v>0.12</v>
      </c>
      <c r="C33" s="7" t="s">
        <v>144</v>
      </c>
    </row>
    <row r="34" customFormat="false" ht="15" hidden="false" customHeight="false" outlineLevel="0" collapsed="false">
      <c r="A34" s="0" t="s">
        <v>145</v>
      </c>
      <c r="B34" s="14" t="n">
        <v>0.1</v>
      </c>
    </row>
    <row r="35" customFormat="false" ht="15" hidden="false" customHeight="false" outlineLevel="0" collapsed="false">
      <c r="A35" s="0" t="s">
        <v>146</v>
      </c>
      <c r="B35" s="14" t="n">
        <v>0.09</v>
      </c>
    </row>
    <row r="36" customFormat="false" ht="15" hidden="false" customHeight="false" outlineLevel="0" collapsed="false">
      <c r="A36" s="0" t="s">
        <v>147</v>
      </c>
      <c r="B36" s="14" t="n">
        <v>0.08</v>
      </c>
    </row>
    <row r="37" customFormat="false" ht="15" hidden="false" customHeight="false" outlineLevel="0" collapsed="false">
      <c r="A37" s="0" t="s">
        <v>148</v>
      </c>
      <c r="B37" s="14" t="n">
        <v>0.07</v>
      </c>
    </row>
    <row r="38" customFormat="false" ht="15" hidden="false" customHeight="false" outlineLevel="0" collapsed="false">
      <c r="A38" s="0" t="s">
        <v>86</v>
      </c>
      <c r="B38" s="14" t="n">
        <v>0.025</v>
      </c>
      <c r="C38" s="7" t="s">
        <v>149</v>
      </c>
    </row>
    <row r="40" customFormat="false" ht="15" hidden="false" customHeight="false" outlineLevel="0" collapsed="false">
      <c r="A40" s="4" t="s">
        <v>150</v>
      </c>
      <c r="B40" s="4"/>
      <c r="C40" s="4"/>
    </row>
    <row r="41" customFormat="false" ht="15" hidden="false" customHeight="false" outlineLevel="0" collapsed="false">
      <c r="A41" s="0" t="s">
        <v>151</v>
      </c>
      <c r="B41" s="14" t="n">
        <v>0.095</v>
      </c>
      <c r="C41" s="7" t="s">
        <v>152</v>
      </c>
    </row>
    <row r="42" customFormat="false" ht="15" hidden="false" customHeight="false" outlineLevel="0" collapsed="false">
      <c r="A42" s="0" t="s">
        <v>153</v>
      </c>
      <c r="B42" s="14" t="n">
        <v>0.098</v>
      </c>
    </row>
    <row r="43" customFormat="false" ht="15" hidden="false" customHeight="false" outlineLevel="0" collapsed="false">
      <c r="A43" s="0" t="s">
        <v>154</v>
      </c>
      <c r="B43" s="14" t="n">
        <v>0.1</v>
      </c>
    </row>
    <row r="44" customFormat="false" ht="15" hidden="false" customHeight="false" outlineLevel="0" collapsed="false">
      <c r="A44" s="0" t="s">
        <v>155</v>
      </c>
      <c r="B44" s="14" t="n">
        <v>0.102</v>
      </c>
    </row>
    <row r="45" customFormat="false" ht="15" hidden="false" customHeight="false" outlineLevel="0" collapsed="false">
      <c r="A45" s="0" t="s">
        <v>156</v>
      </c>
      <c r="B45" s="14" t="n">
        <v>0.104</v>
      </c>
    </row>
    <row r="46" customFormat="false" ht="15" hidden="false" customHeight="false" outlineLevel="0" collapsed="false">
      <c r="A46" s="0" t="s">
        <v>28</v>
      </c>
      <c r="B46" s="14" t="n">
        <v>0.105</v>
      </c>
    </row>
    <row r="48" customFormat="false" ht="15" hidden="false" customHeight="false" outlineLevel="0" collapsed="false">
      <c r="A48" s="4" t="s">
        <v>157</v>
      </c>
      <c r="B48" s="4"/>
      <c r="C48" s="4"/>
    </row>
    <row r="49" customFormat="false" ht="15" hidden="false" customHeight="false" outlineLevel="0" collapsed="false">
      <c r="A49" s="0" t="s">
        <v>158</v>
      </c>
      <c r="B49" s="14" t="n">
        <v>0.03</v>
      </c>
    </row>
    <row r="50" customFormat="false" ht="15" hidden="false" customHeight="false" outlineLevel="0" collapsed="false">
      <c r="A50" s="0" t="s">
        <v>159</v>
      </c>
      <c r="B50" s="14" t="n">
        <v>0.028</v>
      </c>
      <c r="C50" s="7" t="s">
        <v>160</v>
      </c>
    </row>
    <row r="51" customFormat="false" ht="15" hidden="false" customHeight="false" outlineLevel="0" collapsed="false">
      <c r="A51" s="0" t="s">
        <v>161</v>
      </c>
      <c r="B51" s="14" t="n">
        <v>0.02</v>
      </c>
    </row>
    <row r="52" customFormat="false" ht="15" hidden="false" customHeight="false" outlineLevel="0" collapsed="false">
      <c r="A52" s="0" t="s">
        <v>162</v>
      </c>
      <c r="B52" s="14" t="n">
        <v>0.25</v>
      </c>
    </row>
  </sheetData>
  <mergeCells count="7">
    <mergeCell ref="A1:C1"/>
    <mergeCell ref="A3:C3"/>
    <mergeCell ref="A11:C11"/>
    <mergeCell ref="A16:C16"/>
    <mergeCell ref="A31:C31"/>
    <mergeCell ref="A40:C40"/>
    <mergeCell ref="A48:C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4"/>
  </cols>
  <sheetData>
    <row r="1" customFormat="false" ht="17.35" hidden="false" customHeight="false" outlineLevel="0" collapsed="false">
      <c r="A1" s="19" t="s">
        <v>163</v>
      </c>
      <c r="B1" s="19"/>
      <c r="C1" s="19"/>
      <c r="D1" s="19"/>
      <c r="E1" s="19"/>
      <c r="F1" s="19"/>
    </row>
    <row r="3" customFormat="false" ht="15" hidden="false" customHeight="false" outlineLevel="0" collapsed="false">
      <c r="A3" s="21" t="s">
        <v>164</v>
      </c>
      <c r="B3" s="21" t="s">
        <v>165</v>
      </c>
      <c r="C3" s="21" t="s">
        <v>166</v>
      </c>
      <c r="D3" s="21" t="s">
        <v>167</v>
      </c>
      <c r="E3" s="21" t="s">
        <v>168</v>
      </c>
      <c r="F3" s="21" t="s">
        <v>169</v>
      </c>
    </row>
    <row r="4" customFormat="false" ht="15" hidden="false" customHeight="false" outlineLevel="0" collapsed="false">
      <c r="A4" s="31" t="s">
        <v>70</v>
      </c>
      <c r="B4" s="13" t="n">
        <v>6100</v>
      </c>
      <c r="C4" s="13" t="n">
        <v>6404</v>
      </c>
      <c r="D4" s="13" t="n">
        <v>6404</v>
      </c>
      <c r="E4" s="13" t="n">
        <v>6837</v>
      </c>
      <c r="F4" s="13" t="n">
        <v>7719</v>
      </c>
    </row>
    <row r="5" customFormat="false" ht="15" hidden="false" customHeight="false" outlineLevel="0" collapsed="false">
      <c r="A5" s="31" t="s">
        <v>170</v>
      </c>
      <c r="C5" s="7" t="s">
        <v>171</v>
      </c>
      <c r="D5" s="7" t="s">
        <v>172</v>
      </c>
      <c r="E5" s="7" t="s">
        <v>173</v>
      </c>
      <c r="F5" s="7" t="s">
        <v>174</v>
      </c>
    </row>
    <row r="6" customFormat="false" ht="15" hidden="false" customHeight="false" outlineLevel="0" collapsed="false">
      <c r="A6" s="31" t="s">
        <v>175</v>
      </c>
      <c r="B6" s="13" t="n">
        <v>3891</v>
      </c>
      <c r="C6" s="13" t="n">
        <v>4056</v>
      </c>
      <c r="D6" s="13" t="n">
        <v>4056</v>
      </c>
      <c r="E6" s="13" t="n">
        <v>4316</v>
      </c>
      <c r="F6" s="13" t="n">
        <v>4778</v>
      </c>
    </row>
    <row r="7" customFormat="false" ht="15" hidden="false" customHeight="false" outlineLevel="0" collapsed="false">
      <c r="A7" s="40" t="s">
        <v>176</v>
      </c>
      <c r="B7" s="13" t="n">
        <v>2209</v>
      </c>
      <c r="C7" s="13" t="n">
        <v>2349</v>
      </c>
      <c r="D7" s="13" t="n">
        <v>2349</v>
      </c>
      <c r="E7" s="13" t="n">
        <v>2522</v>
      </c>
      <c r="F7" s="13" t="n">
        <v>2941</v>
      </c>
    </row>
    <row r="8" customFormat="false" ht="15" hidden="false" customHeight="false" outlineLevel="0" collapsed="false">
      <c r="A8" s="40" t="s">
        <v>177</v>
      </c>
      <c r="B8" s="7" t="s">
        <v>178</v>
      </c>
      <c r="C8" s="7" t="s">
        <v>179</v>
      </c>
      <c r="D8" s="7" t="s">
        <v>179</v>
      </c>
      <c r="E8" s="7" t="s">
        <v>180</v>
      </c>
      <c r="F8" s="7" t="s">
        <v>181</v>
      </c>
    </row>
    <row r="9" customFormat="false" ht="15" hidden="false" customHeight="false" outlineLevel="0" collapsed="false">
      <c r="A9" s="40" t="s">
        <v>182</v>
      </c>
      <c r="B9" s="13" t="n">
        <v>1870</v>
      </c>
      <c r="C9" s="13" t="n">
        <v>1979</v>
      </c>
      <c r="D9" s="13" t="n">
        <v>1979</v>
      </c>
      <c r="E9" s="13" t="n">
        <v>2132</v>
      </c>
      <c r="F9" s="13" t="n">
        <v>2424</v>
      </c>
    </row>
    <row r="10" customFormat="false" ht="15" hidden="false" customHeight="false" outlineLevel="0" collapsed="false">
      <c r="A10" s="40" t="s">
        <v>183</v>
      </c>
      <c r="B10" s="13" t="n">
        <v>339</v>
      </c>
      <c r="C10" s="13" t="n">
        <v>369</v>
      </c>
      <c r="D10" s="13" t="n">
        <v>369</v>
      </c>
      <c r="E10" s="13" t="n">
        <v>390</v>
      </c>
      <c r="F10" s="13" t="n">
        <v>517</v>
      </c>
    </row>
    <row r="11" customFormat="false" ht="15" hidden="false" customHeight="false" outlineLevel="0" collapsed="false">
      <c r="A11" s="40" t="s">
        <v>184</v>
      </c>
      <c r="B11" s="7" t="s">
        <v>185</v>
      </c>
      <c r="C11" s="7" t="s">
        <v>186</v>
      </c>
      <c r="D11" s="7" t="s">
        <v>186</v>
      </c>
      <c r="E11" s="7" t="s">
        <v>187</v>
      </c>
      <c r="F11" s="7" t="s">
        <v>188</v>
      </c>
    </row>
    <row r="12" customFormat="false" ht="15" hidden="false" customHeight="false" outlineLevel="0" collapsed="false">
      <c r="A12" s="40" t="s">
        <v>189</v>
      </c>
      <c r="B12" s="13" t="n">
        <v>244</v>
      </c>
      <c r="C12" s="13" t="n">
        <v>261</v>
      </c>
      <c r="D12" s="13" t="n">
        <v>261</v>
      </c>
      <c r="E12" s="13" t="n">
        <v>259</v>
      </c>
      <c r="F12" s="13" t="n">
        <v>381</v>
      </c>
    </row>
    <row r="13" customFormat="false" ht="15" hidden="false" customHeight="false" outlineLevel="0" collapsed="false">
      <c r="A13" s="40" t="s">
        <v>190</v>
      </c>
      <c r="B13" s="7" t="s">
        <v>191</v>
      </c>
      <c r="C13" s="7" t="s">
        <v>192</v>
      </c>
      <c r="D13" s="7" t="s">
        <v>192</v>
      </c>
      <c r="E13" s="7" t="s">
        <v>193</v>
      </c>
      <c r="F13" s="7" t="s">
        <v>194</v>
      </c>
    </row>
    <row r="14" customFormat="false" ht="15" hidden="false" customHeight="false" outlineLevel="0" collapsed="false">
      <c r="A14" s="40"/>
    </row>
    <row r="15" customFormat="false" ht="15" hidden="false" customHeight="false" outlineLevel="0" collapsed="false">
      <c r="A15" s="31" t="s">
        <v>195</v>
      </c>
      <c r="B15" s="13" t="n">
        <v>500</v>
      </c>
      <c r="C15" s="13" t="n">
        <v>530</v>
      </c>
      <c r="D15" s="13" t="n">
        <v>530</v>
      </c>
      <c r="E15" s="13" t="n">
        <v>560</v>
      </c>
      <c r="F15" s="13" t="n">
        <v>680</v>
      </c>
    </row>
    <row r="16" customFormat="false" ht="15" hidden="false" customHeight="false" outlineLevel="0" collapsed="false">
      <c r="A16" s="31" t="s">
        <v>196</v>
      </c>
      <c r="B16" s="7" t="s">
        <v>197</v>
      </c>
      <c r="C16" s="7" t="s">
        <v>198</v>
      </c>
      <c r="D16" s="7" t="s">
        <v>198</v>
      </c>
      <c r="E16" s="7" t="s">
        <v>197</v>
      </c>
      <c r="F16" s="7" t="s">
        <v>199</v>
      </c>
    </row>
    <row r="19" customFormat="false" ht="15" hidden="false" customHeight="false" outlineLevel="0" collapsed="false">
      <c r="A19" s="23" t="s">
        <v>200</v>
      </c>
      <c r="B19" s="23"/>
      <c r="C19" s="23"/>
      <c r="D19" s="23"/>
      <c r="E19" s="23"/>
      <c r="F19" s="23"/>
    </row>
    <row r="20" customFormat="false" ht="15" hidden="false" customHeight="false" outlineLevel="0" collapsed="false">
      <c r="A20" s="41" t="s">
        <v>164</v>
      </c>
      <c r="B20" s="41" t="s">
        <v>165</v>
      </c>
      <c r="C20" s="41" t="s">
        <v>166</v>
      </c>
      <c r="D20" s="41" t="s">
        <v>167</v>
      </c>
      <c r="E20" s="41" t="s">
        <v>168</v>
      </c>
      <c r="F20" s="41" t="s">
        <v>169</v>
      </c>
    </row>
    <row r="21" customFormat="false" ht="15" hidden="false" customHeight="false" outlineLevel="0" collapsed="false">
      <c r="A21" s="0" t="s">
        <v>201</v>
      </c>
      <c r="B21" s="13" t="n">
        <v>454</v>
      </c>
      <c r="C21" s="13" t="n">
        <v>383</v>
      </c>
      <c r="D21" s="13" t="n">
        <v>383</v>
      </c>
      <c r="E21" s="13" t="n">
        <v>425</v>
      </c>
      <c r="F21" s="13" t="n">
        <v>645</v>
      </c>
    </row>
    <row r="22" customFormat="false" ht="15" hidden="false" customHeight="false" outlineLevel="0" collapsed="false">
      <c r="A22" s="0" t="s">
        <v>202</v>
      </c>
      <c r="B22" s="13" t="n">
        <v>120</v>
      </c>
      <c r="C22" s="13" t="n">
        <v>130</v>
      </c>
      <c r="D22" s="13" t="n">
        <v>155</v>
      </c>
      <c r="E22" s="13" t="n">
        <v>185</v>
      </c>
      <c r="F22" s="13" t="n">
        <v>200</v>
      </c>
    </row>
    <row r="23" customFormat="false" ht="15" hidden="false" customHeight="false" outlineLevel="0" collapsed="false">
      <c r="A23" s="0" t="s">
        <v>203</v>
      </c>
      <c r="B23" s="13" t="n">
        <v>334</v>
      </c>
      <c r="C23" s="13" t="n">
        <v>253</v>
      </c>
      <c r="D23" s="13" t="n">
        <v>228</v>
      </c>
      <c r="E23" s="13" t="n">
        <v>240</v>
      </c>
      <c r="F23" s="13" t="n">
        <v>445</v>
      </c>
    </row>
    <row r="26" customFormat="false" ht="15" hidden="false" customHeight="false" outlineLevel="0" collapsed="false">
      <c r="A26" s="23" t="s">
        <v>204</v>
      </c>
      <c r="B26" s="23"/>
      <c r="C26" s="23"/>
      <c r="D26" s="23"/>
      <c r="E26" s="23"/>
      <c r="F26" s="23"/>
    </row>
    <row r="27" customFormat="false" ht="15" hidden="false" customHeight="false" outlineLevel="0" collapsed="false">
      <c r="A27" s="41" t="s">
        <v>164</v>
      </c>
      <c r="B27" s="41" t="s">
        <v>165</v>
      </c>
      <c r="C27" s="41" t="s">
        <v>166</v>
      </c>
      <c r="D27" s="41" t="s">
        <v>167</v>
      </c>
      <c r="E27" s="41" t="s">
        <v>168</v>
      </c>
      <c r="F27" s="41" t="s">
        <v>169</v>
      </c>
    </row>
    <row r="28" customFormat="false" ht="15" hidden="false" customHeight="false" outlineLevel="0" collapsed="false">
      <c r="A28" s="0" t="s">
        <v>205</v>
      </c>
      <c r="B28" s="13" t="n">
        <v>170</v>
      </c>
      <c r="C28" s="13" t="n">
        <v>245</v>
      </c>
      <c r="D28" s="13" t="n">
        <v>293</v>
      </c>
      <c r="E28" s="13" t="n">
        <v>202</v>
      </c>
      <c r="F28" s="13" t="n">
        <v>265</v>
      </c>
    </row>
    <row r="29" customFormat="false" ht="15" hidden="false" customHeight="false" outlineLevel="0" collapsed="false">
      <c r="A29" s="0" t="s">
        <v>206</v>
      </c>
      <c r="B29" s="13" t="n">
        <v>2806</v>
      </c>
      <c r="C29" s="13" t="n">
        <v>2923</v>
      </c>
      <c r="D29" s="13" t="n">
        <v>3070</v>
      </c>
      <c r="E29" s="13" t="n">
        <v>3327</v>
      </c>
      <c r="F29" s="13" t="n">
        <v>3641</v>
      </c>
    </row>
    <row r="30" customFormat="false" ht="15" hidden="false" customHeight="false" outlineLevel="0" collapsed="false">
      <c r="A30" s="0" t="s">
        <v>207</v>
      </c>
      <c r="B30" s="13" t="n">
        <v>1478</v>
      </c>
      <c r="C30" s="13" t="n">
        <v>1514</v>
      </c>
      <c r="D30" s="13" t="n">
        <v>1541</v>
      </c>
      <c r="E30" s="13" t="n">
        <v>1661</v>
      </c>
      <c r="F30" s="13" t="n">
        <v>1679</v>
      </c>
    </row>
    <row r="31" customFormat="false" ht="15" hidden="false" customHeight="false" outlineLevel="0" collapsed="false">
      <c r="A31" s="0" t="s">
        <v>208</v>
      </c>
      <c r="B31" s="13" t="n">
        <v>256</v>
      </c>
      <c r="C31" s="13" t="n">
        <v>250</v>
      </c>
      <c r="D31" s="13" t="n">
        <v>250</v>
      </c>
      <c r="E31" s="13" t="n">
        <v>125</v>
      </c>
      <c r="F31" s="13" t="n">
        <v>0</v>
      </c>
    </row>
    <row r="32" customFormat="false" ht="15" hidden="false" customHeight="false" outlineLevel="0" collapsed="false">
      <c r="A32" s="0" t="s">
        <v>209</v>
      </c>
      <c r="B32" s="13" t="n">
        <v>881</v>
      </c>
      <c r="C32" s="13" t="n">
        <v>960</v>
      </c>
      <c r="D32" s="13" t="n">
        <v>1046</v>
      </c>
      <c r="E32" s="13" t="n">
        <v>1149</v>
      </c>
      <c r="F32" s="13" t="n">
        <v>1322</v>
      </c>
    </row>
    <row r="33" customFormat="false" ht="15" hidden="false" customHeight="false" outlineLevel="0" collapsed="false">
      <c r="A33" s="0" t="s">
        <v>27</v>
      </c>
      <c r="B33" s="13" t="n">
        <v>118</v>
      </c>
      <c r="C33" s="13" t="n">
        <v>111</v>
      </c>
      <c r="D33" s="13" t="n">
        <v>105</v>
      </c>
      <c r="E33" s="13" t="n">
        <v>101</v>
      </c>
      <c r="F33" s="13" t="n">
        <v>99</v>
      </c>
    </row>
    <row r="36" customFormat="false" ht="15" hidden="false" customHeight="false" outlineLevel="0" collapsed="false">
      <c r="A36" s="36" t="s">
        <v>210</v>
      </c>
    </row>
  </sheetData>
  <mergeCells count="3">
    <mergeCell ref="A1:F1"/>
    <mergeCell ref="A19:F19"/>
    <mergeCell ref="A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2026-01-11T21:20:25Z</dcterms:created>
  <dc:creator>openpyxl</dc:creator>
  <dc:description/>
  <dc:language>en-US</dc:language>
  <cp:lastModifiedBy/>
  <dcterms:modified xsi:type="dcterms:W3CDTF">2026-01-11T21:20:25Z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