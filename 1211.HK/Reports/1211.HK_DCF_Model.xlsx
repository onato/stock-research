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cenarios" sheetId="2" r:id="rId2"/>
    <sheet name="Sensitivity" sheetId="3" r:id="rId3"/>
    <sheet name="Historical" sheetId="4" r:id="rId4"/>
  </sheets>
  <calcPr calcId="124519" fullCalcOnLoad="1"/>
</workbook>
</file>

<file path=xl/sharedStrings.xml><?xml version="1.0" encoding="utf-8"?>
<sst xmlns="http://schemas.openxmlformats.org/spreadsheetml/2006/main" count="200" uniqueCount="167">
  <si>
    <t>BYD Company Limited (1211.HK) — DCF Valuation</t>
  </si>
  <si>
    <t>Blue/shaded cells are INPUTS — adjust to see all outputs update automatically</t>
  </si>
  <si>
    <t>All financials in RMB millions | Per-share values converted to HKD at rate in B14</t>
  </si>
  <si>
    <t>KEY INPUTS</t>
  </si>
  <si>
    <t>Current Stock Price (HKD)</t>
  </si>
  <si>
    <t>Shares Outstanding (M, post-split)</t>
  </si>
  <si>
    <t>Cash &amp; Equivalents (RMB M)</t>
  </si>
  <si>
    <t>Total Debt (RMB M)</t>
  </si>
  <si>
    <t>Net Debt (RMB M) [Debt - Cash]</t>
  </si>
  <si>
    <t>Base Year Revenue (RMB M)</t>
  </si>
  <si>
    <t>FCF Margin %</t>
  </si>
  <si>
    <t>WACC</t>
  </si>
  <si>
    <t>Terminal Growth Rate</t>
  </si>
  <si>
    <t>RMB to HKD Rate</t>
  </si>
  <si>
    <t>ANNUAL REVENUE GROWTH RATES</t>
  </si>
  <si>
    <t>Year 1</t>
  </si>
  <si>
    <t>Year 2</t>
  </si>
  <si>
    <t>Year 3</t>
  </si>
  <si>
    <t>Year 4</t>
  </si>
  <si>
    <t>Year 5</t>
  </si>
  <si>
    <t>Revenue Growth %</t>
  </si>
  <si>
    <t>DCF PROJECTIONS</t>
  </si>
  <si>
    <t>Revenue (RMB M)</t>
  </si>
  <si>
    <t>Free Cash Flow (RMB M)</t>
  </si>
  <si>
    <t>Discount Factor  [1/(1+WACC)^n]</t>
  </si>
  <si>
    <t>PV of FCF (RMB M)</t>
  </si>
  <si>
    <t>VALUATION SUMMARY</t>
  </si>
  <si>
    <t>Sum of PV of FCF (RMB M)</t>
  </si>
  <si>
    <t>Terminal FCF  [Y5 FCF × (1+TG)]</t>
  </si>
  <si>
    <t>Terminal Value  [TF / (WACC-TG)]</t>
  </si>
  <si>
    <t>PV of Terminal Value</t>
  </si>
  <si>
    <t>Enterprise Value (RMB M)</t>
  </si>
  <si>
    <t>Less: Net Debt (RMB M)</t>
  </si>
  <si>
    <t>Equity Value (RMB M)</t>
  </si>
  <si>
    <t>Intrinsic Value / Share (RMB)</t>
  </si>
  <si>
    <t>Intrinsic Value / Share (HKD)</t>
  </si>
  <si>
    <t>Upside / (Downside) vs Current</t>
  </si>
  <si>
    <t>% of IV represented by Terminal Value</t>
  </si>
  <si>
    <t>ENTRY PRICE (15% CAGR Target to Terminal Value)</t>
  </si>
  <si>
    <t>Terminal Value (RMB M)</t>
  </si>
  <si>
    <t>Terminal Value / Share (HKD)</t>
  </si>
  <si>
    <t>Entry Price for 15% CAGR (HKD)</t>
  </si>
  <si>
    <t>Current Price Premium over Entry</t>
  </si>
  <si>
    <t>Note: FY2025 actual revenue ~RMB804bn (+3.5% YoY). Q1-2026 profit -55% YoY (partly FX). Net cash adds ~HKD 7.25/share to IV. See Scenarios sheet for Bull/Bear.</t>
  </si>
  <si>
    <t>BYD (1211.HK) — Scenario Comparison</t>
  </si>
  <si>
    <t>All per-share values in HKD. Financials in RMB millions.</t>
  </si>
  <si>
    <t>BEAR</t>
  </si>
  <si>
    <t>BASE</t>
  </si>
  <si>
    <t>BULL</t>
  </si>
  <si>
    <t>Growth Y1-Y2 (%)</t>
  </si>
  <si>
    <t>4%</t>
  </si>
  <si>
    <t>10%</t>
  </si>
  <si>
    <t>15%</t>
  </si>
  <si>
    <t>Growth Y3 (%)</t>
  </si>
  <si>
    <t>3%</t>
  </si>
  <si>
    <t>9%</t>
  </si>
  <si>
    <t>13%</t>
  </si>
  <si>
    <t>Growth Y4 (%)</t>
  </si>
  <si>
    <t>8%</t>
  </si>
  <si>
    <t>11%</t>
  </si>
  <si>
    <t>Growth Y5 (%)</t>
  </si>
  <si>
    <t>2%</t>
  </si>
  <si>
    <t>7%</t>
  </si>
  <si>
    <t>FCF Margin (%)</t>
  </si>
  <si>
    <t>3.5%</t>
  </si>
  <si>
    <t>5.5%</t>
  </si>
  <si>
    <t>7.5%</t>
  </si>
  <si>
    <t>WACC (%)</t>
  </si>
  <si>
    <t>12%</t>
  </si>
  <si>
    <t>Terminal Growth (%)</t>
  </si>
  <si>
    <t>2.5%</t>
  </si>
  <si>
    <t>3.0%</t>
  </si>
  <si>
    <t>─────────────────────────</t>
  </si>
  <si>
    <t>────────</t>
  </si>
  <si>
    <t>Sum PV of FCF (RMB M)</t>
  </si>
  <si>
    <t>108,173</t>
  </si>
  <si>
    <t>204,310</t>
  </si>
  <si>
    <t>322,140</t>
  </si>
  <si>
    <t>343,469</t>
  </si>
  <si>
    <t>838,702</t>
  </si>
  <si>
    <t>1,693,388</t>
  </si>
  <si>
    <t>PV Terminal (RMB M)</t>
  </si>
  <si>
    <t>194,894</t>
  </si>
  <si>
    <t>497,729</t>
  </si>
  <si>
    <t>1,051,460</t>
  </si>
  <si>
    <t>303,066</t>
  </si>
  <si>
    <t>702,038</t>
  </si>
  <si>
    <t>1,373,600</t>
  </si>
  <si>
    <t>Net Debt (RMB M)</t>
  </si>
  <si>
    <t>-60,605</t>
  </si>
  <si>
    <t>363,671</t>
  </si>
  <si>
    <t>762,643</t>
  </si>
  <si>
    <t>1,434,205</t>
  </si>
  <si>
    <t>IV / Share (RMB)</t>
  </si>
  <si>
    <t>39.89</t>
  </si>
  <si>
    <t>83.65</t>
  </si>
  <si>
    <t>157.31</t>
  </si>
  <si>
    <t>IV / Share (HKD)</t>
  </si>
  <si>
    <t>43.48</t>
  </si>
  <si>
    <t>91.18</t>
  </si>
  <si>
    <t>171.47</t>
  </si>
  <si>
    <t>Current Price (HKD)</t>
  </si>
  <si>
    <t>91.60</t>
  </si>
  <si>
    <t>Upside / (Downside)</t>
  </si>
  <si>
    <t>-52.5%</t>
  </si>
  <si>
    <t>-0.5%</t>
  </si>
  <si>
    <t>+87.2%</t>
  </si>
  <si>
    <t>TV / Share (HKD)</t>
  </si>
  <si>
    <t>41.06</t>
  </si>
  <si>
    <t>100.27</t>
  </si>
  <si>
    <t>202.45</t>
  </si>
  <si>
    <t>Entry Price 15% CAGR (HKD)</t>
  </si>
  <si>
    <t>20.42</t>
  </si>
  <si>
    <t>49.85</t>
  </si>
  <si>
    <t>100.65</t>
  </si>
  <si>
    <t>PROBABILITY-WEIGHTED IV (Bear 25% / Base 50% / Bull 25%)</t>
  </si>
  <si>
    <t>Weighted IV (HKD)</t>
  </si>
  <si>
    <t>99.32</t>
  </si>
  <si>
    <t>vs Current Price</t>
  </si>
  <si>
    <t>+8.4%</t>
  </si>
  <si>
    <t>Sensitivity Analysis — Intrinsic Value (HKD)</t>
  </si>
  <si>
    <t>Base case growth rates [10,10,9,8,7%] and FCF margin 5.5% held constant. Values in HKD per post-split share.</t>
  </si>
  <si>
    <t>Current Price: HKD 91.6  |  Shares: 9117.2M  |  Net Cash: RMB 60,605M</t>
  </si>
  <si>
    <t>WACC \ Term G</t>
  </si>
  <si>
    <t>TG=2.0%</t>
  </si>
  <si>
    <t>TG=2.5%</t>
  </si>
  <si>
    <t>TG=3.0%</t>
  </si>
  <si>
    <t>TG=3.5%</t>
  </si>
  <si>
    <t>TG=4.0%</t>
  </si>
  <si>
    <t>WACC=8%</t>
  </si>
  <si>
    <t>WACC=9%</t>
  </si>
  <si>
    <t>WACC=10%</t>
  </si>
  <si>
    <t>WACC=11%</t>
  </si>
  <si>
    <t>WACC=12%</t>
  </si>
  <si>
    <t>Green = &gt;10% above current price  |  Amber = within 10%  |  Red = &gt;10% below current price</t>
  </si>
  <si>
    <t>BYD Historical Financials (FY2015-FY2024)</t>
  </si>
  <si>
    <t>Source: HKEX filings. Figures in RMB millions unless stated.</t>
  </si>
  <si>
    <t>Year</t>
  </si>
  <si>
    <t>Revenue</t>
  </si>
  <si>
    <t>Gross Profit</t>
  </si>
  <si>
    <t>GM%</t>
  </si>
  <si>
    <t>Net Income</t>
  </si>
  <si>
    <t>EPS (RMB)</t>
  </si>
  <si>
    <t>FCF</t>
  </si>
  <si>
    <t>Op CF</t>
  </si>
  <si>
    <t>CapEx</t>
  </si>
  <si>
    <t>Equity</t>
  </si>
  <si>
    <t>Shares(M)</t>
  </si>
  <si>
    <t>FY2015</t>
  </si>
  <si>
    <t>FY2016</t>
  </si>
  <si>
    <t>FY2017</t>
  </si>
  <si>
    <t>FY2018</t>
  </si>
  <si>
    <t>FY2019</t>
  </si>
  <si>
    <t>FY2020</t>
  </si>
  <si>
    <t>FY2021</t>
  </si>
  <si>
    <t>FY2022</t>
  </si>
  <si>
    <t>FY2023</t>
  </si>
  <si>
    <t>FY2024</t>
  </si>
  <si>
    <t>CAGR Summary</t>
  </si>
  <si>
    <t>Metric</t>
  </si>
  <si>
    <t>3-Year CAGR</t>
  </si>
  <si>
    <t>5-Year CAGR</t>
  </si>
  <si>
    <t>Period</t>
  </si>
  <si>
    <t>3yr: FY2021-24 | 5yr: FY2019-24</t>
  </si>
  <si>
    <t>EPS</t>
  </si>
  <si>
    <t>Note: Revenue and EPS CAGRs reflect extraordinary NEV market capture phase 2019-2024. FY2025 revenue grew only 3.5% YoY (~RMB804bn). Forward projections use guidance-anchored growth, not backward-looking CAGRs.</t>
  </si>
  <si>
    <t>EPS CAGR distorted by profit troughs in FY2019 (RMB0.50) and FY2021 (RMB1.06). Divergence vs Equity CAGR flagged as &gt;30pp.</t>
  </si>
</sst>
</file>

<file path=xl/styles.xml><?xml version="1.0" encoding="utf-8"?>
<styleSheet xmlns="http://schemas.openxmlformats.org/spreadsheetml/2006/main">
  <numFmts count="7">
    <numFmt numFmtId="164" formatCode="#,##0.0"/>
    <numFmt numFmtId="165" formatCode="#,##0"/>
    <numFmt numFmtId="166" formatCode="0.0%"/>
    <numFmt numFmtId="167" formatCode="&quot;RMB &quot;#,##0.00"/>
    <numFmt numFmtId="168" formatCode="&quot;HKD &quot;#,##0.00"/>
    <numFmt numFmtId="169" formatCode="+0.0%;-0.0%;0.0%"/>
    <numFmt numFmtId="170" formatCode="&quot;HKD &quot;#,##0.0"/>
  </numFmts>
  <fonts count="7">
    <font>
      <sz val="11"/>
      <color theme="1"/>
      <name val="Calibri"/>
      <family val="2"/>
      <scheme val="minor"/>
    </font>
    <font>
      <b/>
      <sz val="16"/>
      <color rgb="FF1A1A2E"/>
      <name val="Calibri"/>
      <family val="2"/>
      <scheme val="minor"/>
    </font>
    <font>
      <i/>
      <sz val="9"/>
      <color rgb="FF7F8C8D"/>
      <name val="Calibri"/>
      <family val="2"/>
      <scheme val="minor"/>
    </font>
    <font>
      <b/>
      <sz val="12"/>
      <color rgb="FF2C3E50"/>
      <name val="Calibri"/>
      <family val="2"/>
      <scheme val="minor"/>
    </font>
    <font>
      <b/>
      <sz val="11"/>
      <color rgb="FFE0E0E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4E6F1"/>
        <bgColor indexed="64"/>
      </patternFill>
    </fill>
    <fill>
      <patternFill patternType="solid">
        <fgColor rgb="FF1A1A2E"/>
        <bgColor indexed="64"/>
      </patternFill>
    </fill>
    <fill>
      <patternFill patternType="solid">
        <fgColor rgb="FF27AE60"/>
        <bgColor indexed="64"/>
      </patternFill>
    </fill>
    <fill>
      <patternFill patternType="solid">
        <fgColor rgb="FFE74C3C"/>
        <bgColor indexed="64"/>
      </patternFill>
    </fill>
    <fill>
      <patternFill patternType="solid">
        <fgColor rgb="FF2980B9"/>
        <bgColor indexed="64"/>
      </patternFill>
    </fill>
    <fill>
      <patternFill patternType="solid">
        <fgColor rgb="FFF39C12"/>
        <bgColor indexed="64"/>
      </patternFill>
    </fill>
    <fill>
      <patternFill patternType="solid">
        <fgColor rgb="FFF8C47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166" fontId="0" fillId="2" borderId="2" xfId="0" applyNumberFormat="1" applyFill="1" applyBorder="1" applyAlignment="1">
      <alignment horizontal="right"/>
    </xf>
    <xf numFmtId="0" fontId="4" fillId="3" borderId="2" xfId="0" applyFont="1" applyFill="1" applyBorder="1" applyAlignment="1">
      <alignment horizontal="center"/>
    </xf>
    <xf numFmtId="164" fontId="0" fillId="0" borderId="2" xfId="0" applyNumberFormat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168" fontId="5" fillId="4" borderId="3" xfId="0" applyNumberFormat="1" applyFont="1" applyFill="1" applyBorder="1" applyAlignment="1">
      <alignment horizontal="right"/>
    </xf>
    <xf numFmtId="169" fontId="0" fillId="0" borderId="2" xfId="0" applyNumberFormat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0" fontId="5" fillId="5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0" xfId="0" applyFont="1"/>
    <xf numFmtId="0" fontId="6" fillId="7" borderId="2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170" fontId="5" fillId="4" borderId="2" xfId="0" applyNumberFormat="1" applyFont="1" applyFill="1" applyBorder="1" applyAlignment="1">
      <alignment horizontal="center"/>
    </xf>
    <xf numFmtId="170" fontId="5" fillId="7" borderId="2" xfId="0" applyNumberFormat="1" applyFont="1" applyFill="1" applyBorder="1" applyAlignment="1">
      <alignment horizontal="center"/>
    </xf>
    <xf numFmtId="170" fontId="5" fillId="5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8"/>
  <sheetViews>
    <sheetView tabSelected="1" zoomScale="90" zoomScaleNormal="90" workbookViewId="0"/>
  </sheetViews>
  <sheetFormatPr defaultRowHeight="15"/>
  <cols>
    <col min="1" max="1" width="28.7109375" customWidth="1"/>
    <col min="2" max="2" width="16.7109375" customWidth="1"/>
    <col min="3" max="7" width="15.7109375" customWidth="1"/>
  </cols>
  <sheetData>
    <row r="1" spans="1:2">
      <c r="A1" s="1" t="s">
        <v>0</v>
      </c>
    </row>
    <row r="2" spans="1:2">
      <c r="A2" s="2" t="s">
        <v>1</v>
      </c>
    </row>
    <row r="3" spans="1:2">
      <c r="A3" s="2" t="s">
        <v>2</v>
      </c>
    </row>
    <row r="5" spans="1:2">
      <c r="A5" s="3" t="s">
        <v>3</v>
      </c>
    </row>
    <row r="6" spans="1:2">
      <c r="A6" t="s">
        <v>4</v>
      </c>
      <c r="B6" s="4">
        <v>91.59999999999999</v>
      </c>
    </row>
    <row r="7" spans="1:2">
      <c r="A7" t="s">
        <v>5</v>
      </c>
      <c r="B7" s="4">
        <v>9117.200000000001</v>
      </c>
    </row>
    <row r="8" spans="1:2">
      <c r="A8" t="s">
        <v>6</v>
      </c>
      <c r="B8" s="4">
        <v>102256.5</v>
      </c>
    </row>
    <row r="9" spans="1:2">
      <c r="A9" t="s">
        <v>7</v>
      </c>
      <c r="B9" s="4">
        <v>41651.9</v>
      </c>
    </row>
    <row r="10" spans="1:2">
      <c r="A10" t="s">
        <v>8</v>
      </c>
      <c r="B10" s="5">
        <f>B9-B8</f>
        <v>0</v>
      </c>
    </row>
    <row r="11" spans="1:2">
      <c r="A11" t="s">
        <v>9</v>
      </c>
      <c r="B11" s="4">
        <v>777102.5</v>
      </c>
    </row>
    <row r="12" spans="1:2">
      <c r="A12" t="s">
        <v>10</v>
      </c>
      <c r="B12" s="6">
        <v>0.055</v>
      </c>
    </row>
    <row r="13" spans="1:2">
      <c r="A13" t="s">
        <v>11</v>
      </c>
      <c r="B13" s="6">
        <v>0.11</v>
      </c>
    </row>
    <row r="14" spans="1:2">
      <c r="A14" t="s">
        <v>12</v>
      </c>
      <c r="B14" s="6">
        <v>0.03</v>
      </c>
    </row>
    <row r="15" spans="1:2">
      <c r="A15" t="s">
        <v>13</v>
      </c>
      <c r="B15" s="4">
        <v>1.09</v>
      </c>
    </row>
    <row r="18" spans="1:6">
      <c r="A18" s="3" t="s">
        <v>14</v>
      </c>
    </row>
    <row r="19" spans="1:6">
      <c r="B19" s="7" t="s">
        <v>15</v>
      </c>
      <c r="C19" s="7" t="s">
        <v>16</v>
      </c>
      <c r="D19" s="7" t="s">
        <v>17</v>
      </c>
      <c r="E19" s="7" t="s">
        <v>18</v>
      </c>
      <c r="F19" s="7" t="s">
        <v>19</v>
      </c>
    </row>
    <row r="20" spans="1:6">
      <c r="A20" t="s">
        <v>20</v>
      </c>
      <c r="B20" s="6">
        <v>0.1</v>
      </c>
      <c r="C20" s="6">
        <v>0.1</v>
      </c>
      <c r="D20" s="6">
        <v>0.09</v>
      </c>
      <c r="E20" s="6">
        <v>0.08</v>
      </c>
      <c r="F20" s="6">
        <v>0.07000000000000001</v>
      </c>
    </row>
    <row r="22" spans="1:6">
      <c r="A22" s="3" t="s">
        <v>21</v>
      </c>
    </row>
    <row r="23" spans="1:6">
      <c r="A23" s="7"/>
      <c r="B23" s="7" t="s">
        <v>15</v>
      </c>
      <c r="C23" s="7" t="s">
        <v>16</v>
      </c>
      <c r="D23" s="7" t="s">
        <v>17</v>
      </c>
      <c r="E23" s="7" t="s">
        <v>18</v>
      </c>
      <c r="F23" s="7" t="s">
        <v>19</v>
      </c>
    </row>
    <row r="24" spans="1:6">
      <c r="A24" t="s">
        <v>22</v>
      </c>
      <c r="B24" s="5">
        <f>$B$11*(1+B20)</f>
        <v>0</v>
      </c>
      <c r="C24" s="5">
        <f>B24*(1+C20)</f>
        <v>0</v>
      </c>
      <c r="D24" s="5">
        <f>C24*(1+D20)</f>
        <v>0</v>
      </c>
      <c r="E24" s="5">
        <f>D24*(1+E20)</f>
        <v>0</v>
      </c>
      <c r="F24" s="5">
        <f>E24*(1+F20)</f>
        <v>0</v>
      </c>
    </row>
    <row r="25" spans="1:6">
      <c r="A25" t="s">
        <v>23</v>
      </c>
      <c r="B25" s="5">
        <f>B24*$B$12</f>
        <v>0</v>
      </c>
      <c r="C25" s="5">
        <f>C24*$B$12</f>
        <v>0</v>
      </c>
      <c r="D25" s="5">
        <f>D24*$B$12</f>
        <v>0</v>
      </c>
      <c r="E25" s="5">
        <f>E24*$B$12</f>
        <v>0</v>
      </c>
      <c r="F25" s="5">
        <f>F24*$B$12</f>
        <v>0</v>
      </c>
    </row>
    <row r="26" spans="1:6">
      <c r="A26" t="s">
        <v>24</v>
      </c>
      <c r="B26" s="8">
        <f>1/(1+$B$13)^1</f>
        <v>0</v>
      </c>
      <c r="C26" s="8">
        <f>1/(1+$B$13)^2</f>
        <v>0</v>
      </c>
      <c r="D26" s="8">
        <f>1/(1+$B$13)^3</f>
        <v>0</v>
      </c>
      <c r="E26" s="8">
        <f>1/(1+$B$13)^4</f>
        <v>0</v>
      </c>
      <c r="F26" s="8">
        <f>1/(1+$B$13)^5</f>
        <v>0</v>
      </c>
    </row>
    <row r="27" spans="1:6">
      <c r="A27" t="s">
        <v>25</v>
      </c>
      <c r="B27" s="5">
        <f>B25*B26</f>
        <v>0</v>
      </c>
      <c r="C27" s="5">
        <f>C25*C26</f>
        <v>0</v>
      </c>
      <c r="D27" s="5">
        <f>D25*D26</f>
        <v>0</v>
      </c>
      <c r="E27" s="5">
        <f>E25*E26</f>
        <v>0</v>
      </c>
      <c r="F27" s="5">
        <f>F25*F26</f>
        <v>0</v>
      </c>
    </row>
    <row r="29" spans="1:6">
      <c r="A29" s="3" t="s">
        <v>26</v>
      </c>
    </row>
    <row r="30" spans="1:6">
      <c r="A30" t="s">
        <v>27</v>
      </c>
      <c r="B30" s="5">
        <f>SUM(B27:F27)</f>
        <v>0</v>
      </c>
    </row>
    <row r="31" spans="1:6">
      <c r="A31" t="s">
        <v>28</v>
      </c>
      <c r="B31" s="5">
        <f>F25*(1+$B$14)</f>
        <v>0</v>
      </c>
    </row>
    <row r="32" spans="1:6">
      <c r="A32" t="s">
        <v>29</v>
      </c>
      <c r="B32" s="5">
        <f>B31/($B$13-$B$14)</f>
        <v>0</v>
      </c>
    </row>
    <row r="33" spans="1:2">
      <c r="A33" t="s">
        <v>30</v>
      </c>
      <c r="B33" s="5">
        <f>B32*F26</f>
        <v>0</v>
      </c>
    </row>
    <row r="34" spans="1:2">
      <c r="A34" t="s">
        <v>31</v>
      </c>
      <c r="B34" s="5">
        <f>B30+B33</f>
        <v>0</v>
      </c>
    </row>
    <row r="35" spans="1:2">
      <c r="A35" t="s">
        <v>32</v>
      </c>
      <c r="B35" s="5">
        <f>B10</f>
        <v>0</v>
      </c>
    </row>
    <row r="36" spans="1:2">
      <c r="A36" t="s">
        <v>33</v>
      </c>
      <c r="B36" s="5">
        <f>B34-B35</f>
        <v>0</v>
      </c>
    </row>
    <row r="37" spans="1:2">
      <c r="A37" t="s">
        <v>34</v>
      </c>
      <c r="B37" s="9">
        <f>B36/$B$7</f>
        <v>0</v>
      </c>
    </row>
    <row r="38" spans="1:2">
      <c r="A38" t="s">
        <v>35</v>
      </c>
      <c r="B38" s="10">
        <f>B37*$B$15</f>
        <v>0</v>
      </c>
    </row>
    <row r="39" spans="1:2">
      <c r="A39" t="s">
        <v>36</v>
      </c>
      <c r="B39" s="11">
        <f>(B38-$B$6)/$B$6</f>
        <v>0</v>
      </c>
    </row>
    <row r="40" spans="1:2">
      <c r="A40" t="s">
        <v>37</v>
      </c>
      <c r="B40" s="12">
        <f>B33/B34</f>
        <v>0</v>
      </c>
    </row>
    <row r="42" spans="1:2">
      <c r="A42" s="3" t="s">
        <v>38</v>
      </c>
    </row>
    <row r="43" spans="1:2">
      <c r="A43" t="s">
        <v>39</v>
      </c>
      <c r="B43" s="5">
        <f>B32</f>
        <v>0</v>
      </c>
    </row>
    <row r="44" spans="1:2">
      <c r="A44" t="s">
        <v>40</v>
      </c>
      <c r="B44" s="13">
        <f>(B43/$B$7)*$B$15</f>
        <v>0</v>
      </c>
    </row>
    <row r="45" spans="1:2">
      <c r="A45" t="s">
        <v>41</v>
      </c>
      <c r="B45" s="10">
        <f>B44/(1.15^5)</f>
        <v>0</v>
      </c>
    </row>
    <row r="46" spans="1:2">
      <c r="A46" t="s">
        <v>42</v>
      </c>
      <c r="B46" s="11">
        <f>($B$6-B45)/$B$6</f>
        <v>0</v>
      </c>
    </row>
    <row r="48" spans="1:2">
      <c r="A48" s="2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30.7109375" customWidth="1"/>
    <col min="2" max="4" width="18.7109375" customWidth="1"/>
  </cols>
  <sheetData>
    <row r="1" spans="1:4">
      <c r="A1" s="1" t="s">
        <v>44</v>
      </c>
    </row>
    <row r="2" spans="1:4">
      <c r="A2" s="2" t="s">
        <v>45</v>
      </c>
    </row>
    <row r="4" spans="1:4">
      <c r="B4" s="14" t="s">
        <v>46</v>
      </c>
      <c r="C4" s="15" t="s">
        <v>47</v>
      </c>
      <c r="D4" s="16" t="s">
        <v>48</v>
      </c>
    </row>
    <row r="5" spans="1:4">
      <c r="A5" t="s">
        <v>49</v>
      </c>
      <c r="B5" s="17" t="s">
        <v>50</v>
      </c>
      <c r="C5" s="17" t="s">
        <v>51</v>
      </c>
      <c r="D5" s="17" t="s">
        <v>52</v>
      </c>
    </row>
    <row r="6" spans="1:4">
      <c r="A6" t="s">
        <v>53</v>
      </c>
      <c r="B6" s="17" t="s">
        <v>54</v>
      </c>
      <c r="C6" s="17" t="s">
        <v>55</v>
      </c>
      <c r="D6" s="17" t="s">
        <v>56</v>
      </c>
    </row>
    <row r="7" spans="1:4">
      <c r="A7" t="s">
        <v>57</v>
      </c>
      <c r="B7" s="17" t="s">
        <v>54</v>
      </c>
      <c r="C7" s="17" t="s">
        <v>58</v>
      </c>
      <c r="D7" s="17" t="s">
        <v>59</v>
      </c>
    </row>
    <row r="8" spans="1:4">
      <c r="A8" t="s">
        <v>60</v>
      </c>
      <c r="B8" s="17" t="s">
        <v>61</v>
      </c>
      <c r="C8" s="17" t="s">
        <v>62</v>
      </c>
      <c r="D8" s="17" t="s">
        <v>51</v>
      </c>
    </row>
    <row r="9" spans="1:4">
      <c r="A9" t="s">
        <v>63</v>
      </c>
      <c r="B9" s="17" t="s">
        <v>64</v>
      </c>
      <c r="C9" s="17" t="s">
        <v>65</v>
      </c>
      <c r="D9" s="17" t="s">
        <v>66</v>
      </c>
    </row>
    <row r="10" spans="1:4">
      <c r="A10" t="s">
        <v>67</v>
      </c>
      <c r="B10" s="17" t="s">
        <v>68</v>
      </c>
      <c r="C10" s="17" t="s">
        <v>59</v>
      </c>
      <c r="D10" s="17" t="s">
        <v>51</v>
      </c>
    </row>
    <row r="11" spans="1:4">
      <c r="A11" t="s">
        <v>69</v>
      </c>
      <c r="B11" s="17" t="s">
        <v>70</v>
      </c>
      <c r="C11" s="17" t="s">
        <v>71</v>
      </c>
      <c r="D11" s="17" t="s">
        <v>64</v>
      </c>
    </row>
    <row r="12" spans="1:4">
      <c r="A12" t="s">
        <v>72</v>
      </c>
      <c r="B12" s="14" t="s">
        <v>73</v>
      </c>
      <c r="C12" s="15" t="s">
        <v>73</v>
      </c>
      <c r="D12" s="16" t="s">
        <v>73</v>
      </c>
    </row>
    <row r="13" spans="1:4">
      <c r="A13" t="s">
        <v>74</v>
      </c>
      <c r="B13" s="17" t="s">
        <v>75</v>
      </c>
      <c r="C13" s="17" t="s">
        <v>76</v>
      </c>
      <c r="D13" s="17" t="s">
        <v>77</v>
      </c>
    </row>
    <row r="14" spans="1:4">
      <c r="A14" t="s">
        <v>39</v>
      </c>
      <c r="B14" s="17" t="s">
        <v>78</v>
      </c>
      <c r="C14" s="17" t="s">
        <v>79</v>
      </c>
      <c r="D14" s="17" t="s">
        <v>80</v>
      </c>
    </row>
    <row r="15" spans="1:4">
      <c r="A15" t="s">
        <v>81</v>
      </c>
      <c r="B15" s="17" t="s">
        <v>82</v>
      </c>
      <c r="C15" s="17" t="s">
        <v>83</v>
      </c>
      <c r="D15" s="17" t="s">
        <v>84</v>
      </c>
    </row>
    <row r="16" spans="1:4">
      <c r="A16" t="s">
        <v>31</v>
      </c>
      <c r="B16" s="17" t="s">
        <v>85</v>
      </c>
      <c r="C16" s="17" t="s">
        <v>86</v>
      </c>
      <c r="D16" s="17" t="s">
        <v>87</v>
      </c>
    </row>
    <row r="17" spans="1:4">
      <c r="A17" t="s">
        <v>88</v>
      </c>
      <c r="B17" s="17" t="s">
        <v>89</v>
      </c>
      <c r="C17" s="17" t="s">
        <v>89</v>
      </c>
      <c r="D17" s="17" t="s">
        <v>89</v>
      </c>
    </row>
    <row r="18" spans="1:4">
      <c r="A18" t="s">
        <v>33</v>
      </c>
      <c r="B18" s="17" t="s">
        <v>90</v>
      </c>
      <c r="C18" s="17" t="s">
        <v>91</v>
      </c>
      <c r="D18" s="17" t="s">
        <v>92</v>
      </c>
    </row>
    <row r="19" spans="1:4">
      <c r="A19" t="s">
        <v>72</v>
      </c>
      <c r="B19" s="14" t="s">
        <v>73</v>
      </c>
      <c r="C19" s="15" t="s">
        <v>73</v>
      </c>
      <c r="D19" s="16" t="s">
        <v>73</v>
      </c>
    </row>
    <row r="20" spans="1:4">
      <c r="A20" t="s">
        <v>93</v>
      </c>
      <c r="B20" s="17" t="s">
        <v>94</v>
      </c>
      <c r="C20" s="17" t="s">
        <v>95</v>
      </c>
      <c r="D20" s="17" t="s">
        <v>96</v>
      </c>
    </row>
    <row r="21" spans="1:4">
      <c r="A21" t="s">
        <v>97</v>
      </c>
      <c r="B21" s="17" t="s">
        <v>98</v>
      </c>
      <c r="C21" s="17" t="s">
        <v>99</v>
      </c>
      <c r="D21" s="17" t="s">
        <v>100</v>
      </c>
    </row>
    <row r="22" spans="1:4">
      <c r="A22" t="s">
        <v>101</v>
      </c>
      <c r="B22" s="17" t="s">
        <v>102</v>
      </c>
      <c r="C22" s="17" t="s">
        <v>102</v>
      </c>
      <c r="D22" s="17" t="s">
        <v>102</v>
      </c>
    </row>
    <row r="23" spans="1:4">
      <c r="A23" t="s">
        <v>103</v>
      </c>
      <c r="B23" s="17" t="s">
        <v>104</v>
      </c>
      <c r="C23" s="17" t="s">
        <v>105</v>
      </c>
      <c r="D23" s="17" t="s">
        <v>106</v>
      </c>
    </row>
    <row r="24" spans="1:4">
      <c r="A24" t="s">
        <v>72</v>
      </c>
      <c r="B24" s="14" t="s">
        <v>73</v>
      </c>
      <c r="C24" s="15" t="s">
        <v>73</v>
      </c>
      <c r="D24" s="16" t="s">
        <v>73</v>
      </c>
    </row>
    <row r="25" spans="1:4">
      <c r="A25" t="s">
        <v>107</v>
      </c>
      <c r="B25" s="17" t="s">
        <v>108</v>
      </c>
      <c r="C25" s="17" t="s">
        <v>109</v>
      </c>
      <c r="D25" s="17" t="s">
        <v>110</v>
      </c>
    </row>
    <row r="26" spans="1:4">
      <c r="A26" t="s">
        <v>111</v>
      </c>
      <c r="B26" s="17" t="s">
        <v>112</v>
      </c>
      <c r="C26" s="17" t="s">
        <v>113</v>
      </c>
      <c r="D26" s="17" t="s">
        <v>114</v>
      </c>
    </row>
    <row r="28" spans="1:4">
      <c r="A28" s="18" t="s">
        <v>115</v>
      </c>
    </row>
    <row r="29" spans="1:4">
      <c r="A29" t="s">
        <v>116</v>
      </c>
      <c r="C29" s="19" t="s">
        <v>117</v>
      </c>
    </row>
    <row r="30" spans="1:4">
      <c r="A30" t="s">
        <v>118</v>
      </c>
      <c r="C30" s="20" t="s">
        <v>119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2"/>
  <sheetViews>
    <sheetView zoomScale="90" zoomScaleNormal="90" workbookViewId="0"/>
  </sheetViews>
  <sheetFormatPr defaultRowHeight="15"/>
  <cols>
    <col min="1" max="6" width="14.7109375" customWidth="1"/>
  </cols>
  <sheetData>
    <row r="1" spans="1:6">
      <c r="A1" s="1" t="s">
        <v>120</v>
      </c>
    </row>
    <row r="2" spans="1:6">
      <c r="A2" s="2" t="s">
        <v>121</v>
      </c>
    </row>
    <row r="3" spans="1:6">
      <c r="A3" s="2" t="s">
        <v>122</v>
      </c>
    </row>
    <row r="5" spans="1:6">
      <c r="A5" s="7" t="s">
        <v>123</v>
      </c>
      <c r="B5" s="7" t="s">
        <v>124</v>
      </c>
      <c r="C5" s="7" t="s">
        <v>125</v>
      </c>
      <c r="D5" s="7" t="s">
        <v>126</v>
      </c>
      <c r="E5" s="7" t="s">
        <v>127</v>
      </c>
      <c r="F5" s="7" t="s">
        <v>128</v>
      </c>
    </row>
    <row r="6" spans="1:6">
      <c r="A6" s="7" t="s">
        <v>129</v>
      </c>
      <c r="B6" s="21">
        <v>123.9</v>
      </c>
      <c r="C6" s="21">
        <v>132.5</v>
      </c>
      <c r="D6" s="21">
        <v>142.9</v>
      </c>
      <c r="E6" s="21">
        <v>155.7</v>
      </c>
      <c r="F6" s="21">
        <v>171.6</v>
      </c>
    </row>
    <row r="7" spans="1:6">
      <c r="A7" s="7" t="s">
        <v>130</v>
      </c>
      <c r="B7" s="21">
        <v>106.8</v>
      </c>
      <c r="C7" s="21">
        <v>112.8</v>
      </c>
      <c r="D7" s="21">
        <v>119.9</v>
      </c>
      <c r="E7" s="21">
        <v>128.3</v>
      </c>
      <c r="F7" s="21">
        <v>138.3</v>
      </c>
    </row>
    <row r="8" spans="1:6">
      <c r="A8" s="7" t="s">
        <v>131</v>
      </c>
      <c r="B8" s="22">
        <v>94</v>
      </c>
      <c r="C8" s="22">
        <v>98.40000000000001</v>
      </c>
      <c r="D8" s="21">
        <v>103.5</v>
      </c>
      <c r="E8" s="21">
        <v>109.3</v>
      </c>
      <c r="F8" s="21">
        <v>116.2</v>
      </c>
    </row>
    <row r="9" spans="1:6">
      <c r="A9" s="7" t="s">
        <v>132</v>
      </c>
      <c r="B9" s="22">
        <v>84.09999999999999</v>
      </c>
      <c r="C9" s="22">
        <v>87.40000000000001</v>
      </c>
      <c r="D9" s="22">
        <v>91.2</v>
      </c>
      <c r="E9" s="22">
        <v>95.5</v>
      </c>
      <c r="F9" s="22">
        <v>100.3</v>
      </c>
    </row>
    <row r="10" spans="1:6">
      <c r="A10" s="7" t="s">
        <v>133</v>
      </c>
      <c r="B10" s="23">
        <v>76.09999999999999</v>
      </c>
      <c r="C10" s="23">
        <v>78.7</v>
      </c>
      <c r="D10" s="23">
        <v>81.59999999999999</v>
      </c>
      <c r="E10" s="22">
        <v>84.8</v>
      </c>
      <c r="F10" s="22">
        <v>88.5</v>
      </c>
    </row>
    <row r="12" spans="1:6">
      <c r="A12" s="2" t="s">
        <v>134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3"/>
  <sheetViews>
    <sheetView zoomScale="90" zoomScaleNormal="90" workbookViewId="0"/>
  </sheetViews>
  <sheetFormatPr defaultRowHeight="15"/>
  <cols>
    <col min="1" max="1" width="22.7109375" customWidth="1"/>
    <col min="2" max="11" width="13.7109375" customWidth="1"/>
  </cols>
  <sheetData>
    <row r="1" spans="1:11">
      <c r="A1" s="1" t="s">
        <v>135</v>
      </c>
    </row>
    <row r="2" spans="1:11">
      <c r="A2" s="2" t="s">
        <v>136</v>
      </c>
    </row>
    <row r="4" spans="1:11">
      <c r="A4" s="7" t="s">
        <v>137</v>
      </c>
      <c r="B4" s="7" t="s">
        <v>138</v>
      </c>
      <c r="C4" s="7" t="s">
        <v>139</v>
      </c>
      <c r="D4" s="7" t="s">
        <v>140</v>
      </c>
      <c r="E4" s="7" t="s">
        <v>141</v>
      </c>
      <c r="F4" s="7" t="s">
        <v>142</v>
      </c>
      <c r="G4" s="7" t="s">
        <v>143</v>
      </c>
      <c r="H4" s="7" t="s">
        <v>144</v>
      </c>
      <c r="I4" s="7" t="s">
        <v>145</v>
      </c>
      <c r="J4" s="7" t="s">
        <v>146</v>
      </c>
      <c r="K4" s="7" t="s">
        <v>147</v>
      </c>
    </row>
    <row r="5" spans="1:11">
      <c r="A5" t="s">
        <v>148</v>
      </c>
      <c r="B5" s="5">
        <v>77611.89999999999</v>
      </c>
      <c r="C5" s="5">
        <v>11859.2</v>
      </c>
      <c r="D5" s="5">
        <v>15.3</v>
      </c>
      <c r="E5" s="12">
        <v>28.234</v>
      </c>
      <c r="F5" s="8">
        <v>1.12</v>
      </c>
      <c r="G5" s="5">
        <v>-249</v>
      </c>
      <c r="H5" s="5">
        <v>3842.1</v>
      </c>
      <c r="I5" s="5">
        <v>4091</v>
      </c>
      <c r="J5" s="5">
        <v>32294.4</v>
      </c>
      <c r="K5" s="5">
        <v>2476</v>
      </c>
    </row>
    <row r="6" spans="1:11">
      <c r="A6" t="s">
        <v>149</v>
      </c>
      <c r="B6" s="5">
        <v>100207.7</v>
      </c>
      <c r="C6" s="5">
        <v>19018.3</v>
      </c>
      <c r="D6" s="5">
        <v>19</v>
      </c>
      <c r="E6" s="12">
        <v>50.522</v>
      </c>
      <c r="F6" s="8">
        <v>1.88</v>
      </c>
      <c r="G6" s="5">
        <v>-6684.7</v>
      </c>
      <c r="H6" s="5">
        <v>-1845.6</v>
      </c>
      <c r="I6" s="5">
        <v>4839.1</v>
      </c>
      <c r="J6" s="5">
        <v>51255.9</v>
      </c>
      <c r="K6" s="5">
        <v>2728.1</v>
      </c>
    </row>
    <row r="7" spans="1:11">
      <c r="A7" t="s">
        <v>150</v>
      </c>
      <c r="B7" s="5">
        <v>102650.6</v>
      </c>
      <c r="C7" s="5">
        <v>17935.1</v>
      </c>
      <c r="D7" s="5">
        <v>17.5</v>
      </c>
      <c r="E7" s="12">
        <v>40.665</v>
      </c>
      <c r="F7" s="8">
        <v>1.4</v>
      </c>
      <c r="G7" s="5">
        <v>-1068.3</v>
      </c>
      <c r="H7" s="5">
        <v>6367.9</v>
      </c>
      <c r="I7" s="5">
        <v>7436.2</v>
      </c>
      <c r="J7" s="5">
        <v>55004.2</v>
      </c>
      <c r="K7" s="5">
        <v>2728.1</v>
      </c>
    </row>
    <row r="8" spans="1:11">
      <c r="A8" t="s">
        <v>151</v>
      </c>
      <c r="B8" s="5">
        <v>121790.9</v>
      </c>
      <c r="C8" s="5">
        <v>18066.8</v>
      </c>
      <c r="D8" s="5">
        <v>14.8</v>
      </c>
      <c r="E8" s="12">
        <v>27.802</v>
      </c>
      <c r="F8" s="8">
        <v>0.93</v>
      </c>
      <c r="G8" s="5">
        <v>1891.6</v>
      </c>
      <c r="H8" s="5">
        <v>12522.9</v>
      </c>
      <c r="I8" s="5">
        <v>10631.3</v>
      </c>
      <c r="J8" s="5">
        <v>55198.3</v>
      </c>
      <c r="K8" s="5">
        <v>2728.1</v>
      </c>
    </row>
    <row r="9" spans="1:11">
      <c r="A9" t="s">
        <v>152</v>
      </c>
      <c r="B9" s="5">
        <v>121778.1</v>
      </c>
      <c r="C9" s="5">
        <v>18076</v>
      </c>
      <c r="D9" s="5">
        <v>14.8</v>
      </c>
      <c r="E9" s="12">
        <v>16.145</v>
      </c>
      <c r="F9" s="8">
        <v>0.5</v>
      </c>
      <c r="G9" s="5">
        <v>5212.8</v>
      </c>
      <c r="H9" s="5">
        <v>14741</v>
      </c>
      <c r="I9" s="5">
        <v>9528.200000000001</v>
      </c>
      <c r="J9" s="5">
        <v>56762.3</v>
      </c>
      <c r="K9" s="5">
        <v>2728.1</v>
      </c>
    </row>
    <row r="10" spans="1:11">
      <c r="A10" t="s">
        <v>153</v>
      </c>
      <c r="B10" s="5">
        <v>153469.2</v>
      </c>
      <c r="C10" s="5">
        <v>27243.6</v>
      </c>
      <c r="D10" s="5">
        <v>17.8</v>
      </c>
      <c r="E10" s="12">
        <v>42.343</v>
      </c>
      <c r="F10" s="8">
        <v>1.47</v>
      </c>
      <c r="G10" s="5">
        <v>39428.2</v>
      </c>
      <c r="H10" s="5">
        <v>45392.7</v>
      </c>
      <c r="I10" s="5">
        <v>5964.5</v>
      </c>
      <c r="J10" s="5">
        <v>56874.3</v>
      </c>
      <c r="K10" s="5">
        <v>2728.1</v>
      </c>
    </row>
    <row r="11" spans="1:11">
      <c r="A11" t="s">
        <v>154</v>
      </c>
      <c r="B11" s="5">
        <v>216142.4</v>
      </c>
      <c r="C11" s="5">
        <v>28144.7</v>
      </c>
      <c r="D11" s="5">
        <v>13</v>
      </c>
      <c r="E11" s="12">
        <v>30.452</v>
      </c>
      <c r="F11" s="8">
        <v>1.06</v>
      </c>
      <c r="G11" s="5">
        <v>28123.1</v>
      </c>
      <c r="H11" s="5">
        <v>65466.7</v>
      </c>
      <c r="I11" s="5">
        <v>37343.6</v>
      </c>
      <c r="J11" s="5">
        <v>95069.7</v>
      </c>
      <c r="K11" s="5">
        <v>2911.1</v>
      </c>
    </row>
    <row r="12" spans="1:11">
      <c r="A12" t="s">
        <v>155</v>
      </c>
      <c r="B12" s="5">
        <v>424060.6</v>
      </c>
      <c r="C12" s="5">
        <v>72245</v>
      </c>
      <c r="D12" s="5">
        <v>17</v>
      </c>
      <c r="E12" s="12">
        <v>166.224</v>
      </c>
      <c r="F12" s="8">
        <v>5.71</v>
      </c>
      <c r="G12" s="5">
        <v>43381</v>
      </c>
      <c r="H12" s="5">
        <v>140837.7</v>
      </c>
      <c r="I12" s="5">
        <v>97456.89999999999</v>
      </c>
      <c r="J12" s="5">
        <v>111029.3</v>
      </c>
      <c r="K12" s="5">
        <v>2911.1</v>
      </c>
    </row>
    <row r="13" spans="1:11">
      <c r="A13" t="s">
        <v>156</v>
      </c>
      <c r="B13" s="5">
        <v>602315.4</v>
      </c>
      <c r="C13" s="5">
        <v>121757</v>
      </c>
      <c r="D13" s="5">
        <v>20.2</v>
      </c>
      <c r="E13" s="12">
        <v>300.408</v>
      </c>
      <c r="F13" s="8">
        <v>10.32</v>
      </c>
      <c r="G13" s="5">
        <v>47631.5</v>
      </c>
      <c r="H13" s="5">
        <v>169725</v>
      </c>
      <c r="I13" s="5">
        <v>122093.5</v>
      </c>
      <c r="J13" s="5">
        <v>138810.1</v>
      </c>
      <c r="K13" s="5">
        <v>2911.1</v>
      </c>
    </row>
    <row r="14" spans="1:11">
      <c r="A14" t="s">
        <v>157</v>
      </c>
      <c r="B14" s="5">
        <v>777102.5</v>
      </c>
      <c r="C14" s="5">
        <v>151055.8</v>
      </c>
      <c r="D14" s="5">
        <v>19.4</v>
      </c>
      <c r="E14" s="12">
        <v>402.543</v>
      </c>
      <c r="F14" s="8">
        <v>13.84</v>
      </c>
      <c r="G14" s="5">
        <v>36093.5</v>
      </c>
      <c r="H14" s="5">
        <v>133453.9</v>
      </c>
      <c r="I14" s="5">
        <v>97359.8</v>
      </c>
      <c r="J14" s="5">
        <v>185251.1</v>
      </c>
      <c r="K14" s="5">
        <v>2909.3</v>
      </c>
    </row>
    <row r="16" spans="1:11">
      <c r="A16" s="3" t="s">
        <v>158</v>
      </c>
    </row>
    <row r="17" spans="1:4">
      <c r="A17" s="7" t="s">
        <v>159</v>
      </c>
      <c r="B17" s="7" t="s">
        <v>160</v>
      </c>
      <c r="C17" s="7" t="s">
        <v>161</v>
      </c>
      <c r="D17" s="7" t="s">
        <v>162</v>
      </c>
    </row>
    <row r="18" spans="1:4">
      <c r="A18" t="s">
        <v>138</v>
      </c>
      <c r="B18" s="12">
        <v>0.532</v>
      </c>
      <c r="C18" s="12">
        <v>0.449</v>
      </c>
      <c r="D18" t="s">
        <v>163</v>
      </c>
    </row>
    <row r="19" spans="1:4">
      <c r="A19" t="s">
        <v>164</v>
      </c>
      <c r="B19" s="12">
        <v>1.355</v>
      </c>
      <c r="C19" s="12">
        <v>0.9429999999999999</v>
      </c>
      <c r="D19" t="s">
        <v>163</v>
      </c>
    </row>
    <row r="20" spans="1:4">
      <c r="A20" t="s">
        <v>143</v>
      </c>
      <c r="B20" s="12">
        <v>0.08699999999999999</v>
      </c>
      <c r="C20" s="12">
        <v>0.473</v>
      </c>
      <c r="D20" t="s">
        <v>163</v>
      </c>
    </row>
    <row r="21" spans="1:4">
      <c r="A21" t="s">
        <v>146</v>
      </c>
      <c r="B21" s="12">
        <v>0.249</v>
      </c>
      <c r="C21" s="12">
        <v>0.267</v>
      </c>
      <c r="D21" t="s">
        <v>163</v>
      </c>
    </row>
    <row r="22" spans="1:4">
      <c r="A22" s="2" t="s">
        <v>165</v>
      </c>
    </row>
    <row r="23" spans="1:4">
      <c r="A23" s="2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DCF Model</vt:lpstr>
      <vt:lpstr>Scenarios</vt:lpstr>
      <vt:lpstr>Sensitivity</vt:lpstr>
      <vt:lpstr>Historical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2026-05-25T03:06:04Z</dcterms:created>
  <dcterms:modified xsi:type="dcterms:W3CDTF">2026-05-25T03:06:04Z</dcterms:modified>
</cp:coreProperties>
</file>