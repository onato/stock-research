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Scenarios" sheetId="3" r:id="rId3"/>
    <sheet name="Sanity Check" sheetId="4" r:id="rId4"/>
    <sheet name="Historical" sheetId="5" r:id="rId5"/>
  </sheets>
  <calcPr calcId="124519" fullCalcOnLoad="1"/>
</workbook>
</file>

<file path=xl/sharedStrings.xml><?xml version="1.0" encoding="utf-8"?>
<sst xmlns="http://schemas.openxmlformats.org/spreadsheetml/2006/main" count="130" uniqueCount="108">
  <si>
    <t>1211.HK — BYD Company Limited — DCF Valuation</t>
  </si>
  <si>
    <t>Valuation date: 2026-06-26  |  Price: HK$72.65  |  Source: Yahoo Finance live quote, symbol 1211.HK</t>
  </si>
  <si>
    <t>Gray cells are INPUTS — adjust to see results update automatically.</t>
  </si>
  <si>
    <t>Q1 2026 RESULTS WERE A SIGNIFICANT MISS: Revenue -11.8% YoY, Net Profit -55% YoY. Goldman Sachs identifies this as the likely trough, but full recovery trajectory is uncertain. Treat Base Case as requiring monitored re-validation through Q2 2026 results.</t>
  </si>
  <si>
    <t>KEY INPUTS</t>
  </si>
  <si>
    <t>Current Stock Price (HKD)</t>
  </si>
  <si>
    <t>Shares Outstanding (M)</t>
  </si>
  <si>
    <t>Cash &amp; Equivalents (M RMB)</t>
  </si>
  <si>
    <t>Total Debt (M RMB)</t>
  </si>
  <si>
    <t>Net Debt (M RMB)  [=B11-B10]</t>
  </si>
  <si>
    <t>Base Year Revenue (M RMB)  [FY2025]</t>
  </si>
  <si>
    <t>RMB to HKD Conversion Rate</t>
  </si>
  <si>
    <t>WACC</t>
  </si>
  <si>
    <t>Terminal Growth Rate</t>
  </si>
  <si>
    <t>FCF Margin on Revenue</t>
  </si>
  <si>
    <t>ANNUAL REVENUE GROWTH RATES (Base)</t>
  </si>
  <si>
    <t>Year 1</t>
  </si>
  <si>
    <t>Year 2</t>
  </si>
  <si>
    <t>Year 3</t>
  </si>
  <si>
    <t>Year 4</t>
  </si>
  <si>
    <t>Year 5</t>
  </si>
  <si>
    <t>PROJECTIONS (Base Case)</t>
  </si>
  <si>
    <t>Revenue (M RMB)</t>
  </si>
  <si>
    <t>FCF (M RMB)  [Rev × Margin]</t>
  </si>
  <si>
    <t>Discount Factor  [1/(1+WACC)^t]</t>
  </si>
  <si>
    <t>PV of FCF (M RMB)</t>
  </si>
  <si>
    <t>VALUATION</t>
  </si>
  <si>
    <t>Sum of PV of FCF (M RMB)</t>
  </si>
  <si>
    <t>Terminal FCF  [Y5 FCF × (1+TG)]</t>
  </si>
  <si>
    <t>Terminal Value (M RMB)  [TV/(WACC-TG)]</t>
  </si>
  <si>
    <t>PV of Terminal Value (M RMB)</t>
  </si>
  <si>
    <t>Enterprise Value (M RMB)</t>
  </si>
  <si>
    <t>Less: Net Debt (M RMB)</t>
  </si>
  <si>
    <t>Equity Value (M RMB)</t>
  </si>
  <si>
    <t>Intrinsic Value / Share (RMB)</t>
  </si>
  <si>
    <t>Intrinsic Value / Share (HKD)</t>
  </si>
  <si>
    <t>Upside / (Downside) to IV</t>
  </si>
  <si>
    <t>ENTRY PRICE (15% CAGR Target)</t>
  </si>
  <si>
    <t>Terminal Value per Share (HKD)</t>
  </si>
  <si>
    <t>Entry Price for 15% CAGR over 5 years (HKD)</t>
  </si>
  <si>
    <t>Entry Price vs Current Price</t>
  </si>
  <si>
    <t>SCENARIO SUMMARY</t>
  </si>
  <si>
    <t>Intrinsic Value (HKD)</t>
  </si>
  <si>
    <t>Upside / (Downside)</t>
  </si>
  <si>
    <t>Entry Price 15% CAGR (HKD)</t>
  </si>
  <si>
    <t>Base Case</t>
  </si>
  <si>
    <t>Bull Case</t>
  </si>
  <si>
    <t>Bear Case</t>
  </si>
  <si>
    <t>Prob. Wtd (25/50/25)</t>
  </si>
  <si>
    <t>—</t>
  </si>
  <si>
    <t>Sensitivity Analysis — Intrinsic Value (HKD/share)</t>
  </si>
  <si>
    <t>Base growth rates [10,10,9,8,7%] and FCF margin 5.5% held constant.</t>
  </si>
  <si>
    <t>Current price HK$72.65. Cells near current price highlighted in bold green.</t>
  </si>
  <si>
    <t>WACC \ Term G</t>
  </si>
  <si>
    <t>Green background = above current price. Red background = below. Bold green = near current price.</t>
  </si>
  <si>
    <t>Bull / Bear Scenario Detail</t>
  </si>
  <si>
    <t>BULL CASE</t>
  </si>
  <si>
    <t>Growth Rates</t>
  </si>
  <si>
    <t>FCF Margin</t>
  </si>
  <si>
    <t>Terminal Growth</t>
  </si>
  <si>
    <t>FCF (M RMB)</t>
  </si>
  <si>
    <t>Intrinsic Value (RMB)</t>
  </si>
  <si>
    <t>BEAR CASE</t>
  </si>
  <si>
    <t>Sanity Check — Implied Multiples vs History</t>
  </si>
  <si>
    <t>The base case valuation of HKD 81.80 per share implies multiples that are within reasonable bounds for BYD's current profile — a high-volume, vertically-integrated EV and battery maker transitioning from extraordinary domestic growth to a more measured international expansion phase. The 21x P/E on FY2025 earnings (which themselves are down 19% YoY) reflects a valid earnings recovery expectation. The current traded price of HKD 72.65 implies even cheaper multiples (P/E 18.6x, EV/EBITDA 9.5x, P/S 0.76x) — all within reasonable ranges. No assumption auto-correction was required.</t>
  </si>
  <si>
    <t>STATUS:</t>
  </si>
  <si>
    <t>PASSED</t>
  </si>
  <si>
    <t>Metric</t>
  </si>
  <si>
    <t>Value</t>
  </si>
  <si>
    <t>Reasonable Range</t>
  </si>
  <si>
    <t>Result</t>
  </si>
  <si>
    <t>Comment</t>
  </si>
  <si>
    <t>P/E (base IV)</t>
  </si>
  <si>
    <t>15-40x</t>
  </si>
  <si>
    <t>PASS</t>
  </si>
  <si>
    <t>21x is a reasonable multiple for a company with strong medium-term earnings recovery potential but near-term trough</t>
  </si>
  <si>
    <t>EV/EBITDA (base IV)</t>
  </si>
  <si>
    <t>6-18x</t>
  </si>
  <si>
    <t>10.6x is consistent with a high-quality auto/EV conglomerate at a moderately discounted valuation</t>
  </si>
  <si>
    <t>P/S (base IV)</t>
  </si>
  <si>
    <t>0.3-1.2x</t>
  </si>
  <si>
    <t>0.85x is reasonable for a low-margin, high-volume business with improving international mix</t>
  </si>
  <si>
    <t>P/E at trough Q1 2026 annualised</t>
  </si>
  <si>
    <t>WATCH</t>
  </si>
  <si>
    <t>41.9x on trough earnings is marginally above the normal range; however Q1 is acknowledged as likely profit trough (Goldman Sachs), making this a temporary distortion rather than a structural issue. No assumption auto-correction warranted.</t>
  </si>
  <si>
    <t>Current Price Multiples</t>
  </si>
  <si>
    <t>Market Cap (RMB bn)</t>
  </si>
  <si>
    <t>P/E FY2025</t>
  </si>
  <si>
    <t>EV/EBITDA FY2025</t>
  </si>
  <si>
    <t>P/S FY2025</t>
  </si>
  <si>
    <t>Base Case IV Multiples</t>
  </si>
  <si>
    <t>P/E Q1 2026 Ann. (trough)</t>
  </si>
  <si>
    <t>Historical Growth Rates</t>
  </si>
  <si>
    <t>3-Year CAGR</t>
  </si>
  <si>
    <t>5-Year CAGR</t>
  </si>
  <si>
    <t>Note</t>
  </si>
  <si>
    <t>Revenue</t>
  </si>
  <si>
    <t>FY2022 to FY2025: 424,061M -&gt; 803,965M</t>
  </si>
  <si>
    <t>EPS</t>
  </si>
  <si>
    <t>FY2022 to FY2025, split-adjusted (3.133x factor applied to pre-split EPS). FY2022 EPS 5.71 adj -&gt; 1.82; FY2025 EPS 3.58. Decline reflects margin compression despite revenue growth.</t>
  </si>
  <si>
    <t>Equity</t>
  </si>
  <si>
    <t>FY2022 to FY2025: 111,029M -&gt; 246,275M. Boosted by USD5.6bn H-share placing in March 2025 and perpetual bond issuance; organic equity growth is lower.</t>
  </si>
  <si>
    <t>FCF</t>
  </si>
  <si>
    <t>N/A</t>
  </si>
  <si>
    <t>FCF CAGRs not calculable as FY2025 FCF is negative (-97,672M) due to capex cycle peak. FCF projections use forward-normalised FCF margin on revenue. Historical reference: FY2024 FCF margin was 4.6% (36,094M / 777,103M).</t>
  </si>
  <si>
    <t>Selected Growth Rate:</t>
  </si>
  <si>
    <t>Source:</t>
  </si>
  <si>
    <t>forward_consensus_anchored</t>
  </si>
</sst>
</file>

<file path=xl/styles.xml><?xml version="1.0" encoding="utf-8"?>
<styleSheet xmlns="http://schemas.openxmlformats.org/spreadsheetml/2006/main">
  <numFmts count="8">
    <numFmt numFmtId="164" formatCode="#,##0.0"/>
    <numFmt numFmtId="165" formatCode="#,##0"/>
    <numFmt numFmtId="166" formatCode="0.0%"/>
    <numFmt numFmtId="167" formatCode="#,##0.00"/>
    <numFmt numFmtId="168" formatCode="&quot;RMB &quot;#,##0.00"/>
    <numFmt numFmtId="169" formatCode="&quot;HK$&quot;#,##0.00"/>
    <numFmt numFmtId="170" formatCode="0%"/>
    <numFmt numFmtId="171" formatCode="&quot;HK$&quot;#,##0.0"/>
  </numFmts>
  <fonts count="10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2D3436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4"/>
      <color rgb="FF00B894"/>
      <name val="Calibri"/>
      <family val="2"/>
      <scheme val="minor"/>
    </font>
    <font>
      <b/>
      <sz val="11"/>
      <color rgb="FF00B894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DCB6E"/>
        <bgColor indexed="64"/>
      </patternFill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984E3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D4EFDF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D6303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wrapText="1"/>
    </xf>
    <xf numFmtId="0" fontId="4" fillId="0" borderId="2" xfId="0" applyFont="1" applyBorder="1"/>
    <xf numFmtId="164" fontId="0" fillId="3" borderId="1" xfId="0" applyNumberFormat="1" applyFill="1" applyBorder="1"/>
    <xf numFmtId="165" fontId="0" fillId="0" borderId="1" xfId="0" applyNumberFormat="1" applyBorder="1"/>
    <xf numFmtId="166" fontId="0" fillId="3" borderId="1" xfId="0" applyNumberFormat="1" applyFill="1" applyBorder="1"/>
    <xf numFmtId="0" fontId="5" fillId="4" borderId="1" xfId="0" applyFont="1" applyFill="1" applyBorder="1"/>
    <xf numFmtId="167" fontId="0" fillId="0" borderId="1" xfId="0" applyNumberFormat="1" applyBorder="1"/>
    <xf numFmtId="0" fontId="6" fillId="0" borderId="0" xfId="0" applyFont="1"/>
    <xf numFmtId="168" fontId="5" fillId="5" borderId="1" xfId="0" applyNumberFormat="1" applyFont="1" applyFill="1" applyBorder="1"/>
    <xf numFmtId="169" fontId="5" fillId="6" borderId="1" xfId="0" applyNumberFormat="1" applyFont="1" applyFill="1" applyBorder="1"/>
    <xf numFmtId="166" fontId="0" fillId="0" borderId="1" xfId="0" applyNumberFormat="1" applyBorder="1"/>
    <xf numFmtId="169" fontId="0" fillId="0" borderId="1" xfId="0" applyNumberFormat="1" applyBorder="1"/>
    <xf numFmtId="166" fontId="5" fillId="4" borderId="1" xfId="0" applyNumberFormat="1" applyFont="1" applyFill="1" applyBorder="1"/>
    <xf numFmtId="170" fontId="5" fillId="4" borderId="1" xfId="0" applyNumberFormat="1" applyFont="1" applyFill="1" applyBorder="1"/>
    <xf numFmtId="171" fontId="0" fillId="7" borderId="1" xfId="0" applyNumberFormat="1" applyFill="1" applyBorder="1"/>
    <xf numFmtId="171" fontId="5" fillId="6" borderId="3" xfId="0" applyNumberFormat="1" applyFont="1" applyFill="1" applyBorder="1"/>
    <xf numFmtId="171" fontId="0" fillId="8" borderId="1" xfId="0" applyNumberFormat="1" applyFill="1" applyBorder="1"/>
    <xf numFmtId="0" fontId="7" fillId="6" borderId="1" xfId="0" applyFont="1" applyFill="1" applyBorder="1"/>
    <xf numFmtId="0" fontId="7" fillId="9" borderId="1" xfId="0" applyFont="1" applyFill="1" applyBorder="1"/>
    <xf numFmtId="0" fontId="2" fillId="0" borderId="0" xfId="0" applyFont="1" applyAlignment="1">
      <alignment wrapText="1"/>
    </xf>
    <xf numFmtId="0" fontId="8" fillId="0" borderId="0" xfId="0" applyFont="1"/>
    <xf numFmtId="0" fontId="9" fillId="0" borderId="1" xfId="0" applyFont="1" applyBorder="1"/>
    <xf numFmtId="0" fontId="3" fillId="2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49"/>
  <sheetViews>
    <sheetView tabSelected="1" workbookViewId="0"/>
  </sheetViews>
  <sheetFormatPr defaultRowHeight="15"/>
  <cols>
    <col min="1" max="1" width="32.7109375" customWidth="1"/>
    <col min="2" max="8" width="15.7109375" customWidth="1"/>
  </cols>
  <sheetData>
    <row r="1" spans="1:8">
      <c r="A1" s="1" t="s">
        <v>0</v>
      </c>
    </row>
    <row r="2" spans="1:8">
      <c r="A2" s="2" t="s">
        <v>1</v>
      </c>
    </row>
    <row r="3" spans="1:8">
      <c r="A3" s="2" t="s">
        <v>2</v>
      </c>
    </row>
    <row r="5" spans="1:8" ht="40" customHeight="1">
      <c r="A5" s="3" t="s">
        <v>3</v>
      </c>
      <c r="B5" s="3"/>
      <c r="C5" s="3"/>
      <c r="D5" s="3"/>
      <c r="E5" s="3"/>
      <c r="F5" s="3"/>
      <c r="G5" s="3"/>
      <c r="H5" s="3"/>
    </row>
    <row r="7" spans="1:8">
      <c r="A7" s="4" t="s">
        <v>4</v>
      </c>
    </row>
    <row r="8" spans="1:8">
      <c r="A8" t="s">
        <v>5</v>
      </c>
      <c r="B8" s="5">
        <v>72.65000000000001</v>
      </c>
    </row>
    <row r="9" spans="1:8">
      <c r="A9" t="s">
        <v>6</v>
      </c>
      <c r="B9" s="5">
        <v>9117.200000000001</v>
      </c>
    </row>
    <row r="10" spans="1:8">
      <c r="A10" t="s">
        <v>7</v>
      </c>
      <c r="B10" s="5">
        <v>68395.2</v>
      </c>
    </row>
    <row r="11" spans="1:8">
      <c r="A11" t="s">
        <v>8</v>
      </c>
      <c r="B11" s="5">
        <v>110500.2</v>
      </c>
    </row>
    <row r="12" spans="1:8">
      <c r="A12" t="s">
        <v>9</v>
      </c>
      <c r="B12" s="6">
        <f>B11-B10</f>
        <v>0</v>
      </c>
    </row>
    <row r="13" spans="1:8">
      <c r="A13" t="s">
        <v>10</v>
      </c>
      <c r="B13" s="5">
        <v>803965</v>
      </c>
    </row>
    <row r="14" spans="1:8">
      <c r="A14" t="s">
        <v>11</v>
      </c>
      <c r="B14" s="5">
        <v>1.09</v>
      </c>
    </row>
    <row r="15" spans="1:8">
      <c r="A15" t="s">
        <v>12</v>
      </c>
      <c r="B15" s="7">
        <v>0.11</v>
      </c>
    </row>
    <row r="16" spans="1:8">
      <c r="A16" t="s">
        <v>13</v>
      </c>
      <c r="B16" s="7">
        <v>0.03</v>
      </c>
    </row>
    <row r="17" spans="1:7">
      <c r="A17" t="s">
        <v>14</v>
      </c>
      <c r="B17" s="7">
        <v>0.055</v>
      </c>
    </row>
    <row r="19" spans="1:7">
      <c r="A19" s="4" t="s">
        <v>15</v>
      </c>
    </row>
    <row r="20" spans="1:7">
      <c r="B20" s="8" t="s">
        <v>16</v>
      </c>
      <c r="C20" s="8" t="s">
        <v>17</v>
      </c>
      <c r="D20" s="8" t="s">
        <v>18</v>
      </c>
      <c r="E20" s="8" t="s">
        <v>19</v>
      </c>
      <c r="F20" s="8" t="s">
        <v>20</v>
      </c>
    </row>
    <row r="21" spans="1:7">
      <c r="B21" s="7">
        <v>0.1</v>
      </c>
      <c r="C21" s="7">
        <v>0.1</v>
      </c>
      <c r="D21" s="7">
        <v>0.09</v>
      </c>
      <c r="E21" s="7">
        <v>0.08</v>
      </c>
      <c r="F21" s="7">
        <v>0.07000000000000001</v>
      </c>
    </row>
    <row r="22" spans="1:7">
      <c r="A22" s="4" t="s">
        <v>21</v>
      </c>
    </row>
    <row r="23" spans="1:7">
      <c r="A23" t="s">
        <v>22</v>
      </c>
      <c r="C23" s="6">
        <f>$B$13*(1+B21)</f>
        <v>0</v>
      </c>
      <c r="D23" s="6">
        <f>C23*(1+C21)</f>
        <v>0</v>
      </c>
      <c r="E23" s="6">
        <f>D23*(1+D21)</f>
        <v>0</v>
      </c>
      <c r="F23" s="6">
        <f>E23*(1+E21)</f>
        <v>0</v>
      </c>
      <c r="G23" s="6">
        <f>F23*(1+F21)</f>
        <v>0</v>
      </c>
    </row>
    <row r="24" spans="1:7">
      <c r="A24" t="s">
        <v>23</v>
      </c>
      <c r="C24" s="6">
        <f>C23*$B$17</f>
        <v>0</v>
      </c>
      <c r="D24" s="6">
        <f>D23*$B$17</f>
        <v>0</v>
      </c>
      <c r="E24" s="6">
        <f>E23*$B$17</f>
        <v>0</v>
      </c>
      <c r="F24" s="6">
        <f>F23*$B$17</f>
        <v>0</v>
      </c>
      <c r="G24" s="6">
        <f>G23*$B$17</f>
        <v>0</v>
      </c>
    </row>
    <row r="25" spans="1:7">
      <c r="A25" t="s">
        <v>24</v>
      </c>
      <c r="C25" s="9">
        <f>1/(1+$B$15)^1</f>
        <v>0</v>
      </c>
      <c r="D25" s="9">
        <f>1/(1+$B$15)^2</f>
        <v>0</v>
      </c>
      <c r="E25" s="9">
        <f>1/(1+$B$15)^3</f>
        <v>0</v>
      </c>
      <c r="F25" s="9">
        <f>1/(1+$B$15)^4</f>
        <v>0</v>
      </c>
      <c r="G25" s="9">
        <f>1/(1+$B$15)^5</f>
        <v>0</v>
      </c>
    </row>
    <row r="26" spans="1:7">
      <c r="A26" t="s">
        <v>25</v>
      </c>
      <c r="C26" s="6">
        <f>C24*C25</f>
        <v>0</v>
      </c>
      <c r="D26" s="6">
        <f>D24*D25</f>
        <v>0</v>
      </c>
      <c r="E26" s="6">
        <f>E24*E25</f>
        <v>0</v>
      </c>
      <c r="F26" s="6">
        <f>F24*F25</f>
        <v>0</v>
      </c>
      <c r="G26" s="6">
        <f>G24*G25</f>
        <v>0</v>
      </c>
    </row>
    <row r="28" spans="1:7">
      <c r="A28" s="4" t="s">
        <v>26</v>
      </c>
    </row>
    <row r="29" spans="1:7">
      <c r="A29" t="s">
        <v>27</v>
      </c>
      <c r="B29" s="6">
        <f>SUM(C26:G26)</f>
        <v>0</v>
      </c>
    </row>
    <row r="30" spans="1:7">
      <c r="A30" t="s">
        <v>28</v>
      </c>
      <c r="B30" s="6">
        <f>G24*(1+$B$16)</f>
        <v>0</v>
      </c>
    </row>
    <row r="31" spans="1:7">
      <c r="A31" t="s">
        <v>29</v>
      </c>
      <c r="B31" s="6">
        <f>B30/($B$15-$B$16)</f>
        <v>0</v>
      </c>
    </row>
    <row r="32" spans="1:7">
      <c r="A32" t="s">
        <v>30</v>
      </c>
      <c r="B32" s="6">
        <f>B31*G25</f>
        <v>0</v>
      </c>
    </row>
    <row r="33" spans="1:4">
      <c r="A33" t="s">
        <v>31</v>
      </c>
      <c r="B33" s="6">
        <f>B29+B32</f>
        <v>0</v>
      </c>
    </row>
    <row r="34" spans="1:4">
      <c r="A34" t="s">
        <v>32</v>
      </c>
      <c r="B34" s="6">
        <f>B12</f>
        <v>0</v>
      </c>
    </row>
    <row r="35" spans="1:4">
      <c r="A35" t="s">
        <v>33</v>
      </c>
      <c r="B35" s="6">
        <f>B33-B34</f>
        <v>0</v>
      </c>
    </row>
    <row r="36" spans="1:4">
      <c r="A36" s="10" t="s">
        <v>34</v>
      </c>
      <c r="B36" s="11">
        <f>B35/B9</f>
        <v>0</v>
      </c>
    </row>
    <row r="37" spans="1:4">
      <c r="A37" s="10" t="s">
        <v>35</v>
      </c>
      <c r="B37" s="12">
        <f>B36*B14</f>
        <v>0</v>
      </c>
    </row>
    <row r="38" spans="1:4">
      <c r="A38" t="s">
        <v>36</v>
      </c>
      <c r="B38" s="13">
        <f>(B37-B8)/B8</f>
        <v>0</v>
      </c>
    </row>
    <row r="40" spans="1:4">
      <c r="A40" s="4" t="s">
        <v>37</v>
      </c>
    </row>
    <row r="41" spans="1:4">
      <c r="A41" t="s">
        <v>38</v>
      </c>
      <c r="B41" s="14">
        <f>B31/B9*B14</f>
        <v>0</v>
      </c>
    </row>
    <row r="42" spans="1:4">
      <c r="A42" t="s">
        <v>39</v>
      </c>
      <c r="B42" s="12">
        <f>B41/(1.15^5)</f>
        <v>0</v>
      </c>
    </row>
    <row r="43" spans="1:4">
      <c r="A43" t="s">
        <v>40</v>
      </c>
      <c r="B43" s="13">
        <f>(B42-B8)/B8</f>
        <v>0</v>
      </c>
    </row>
    <row r="45" spans="1:4">
      <c r="A45" s="4" t="s">
        <v>41</v>
      </c>
      <c r="B45" s="8" t="s">
        <v>42</v>
      </c>
      <c r="C45" s="8" t="s">
        <v>43</v>
      </c>
      <c r="D45" s="8" t="s">
        <v>44</v>
      </c>
    </row>
    <row r="46" spans="1:4">
      <c r="A46" t="s">
        <v>45</v>
      </c>
      <c r="B46" s="14">
        <v>81.8</v>
      </c>
      <c r="C46" s="13">
        <v>0.126</v>
      </c>
      <c r="D46" s="14">
        <v>51.58</v>
      </c>
    </row>
    <row r="47" spans="1:4">
      <c r="A47" t="s">
        <v>46</v>
      </c>
      <c r="B47" s="14">
        <v>163.45</v>
      </c>
      <c r="C47" s="13">
        <v>1.25</v>
      </c>
      <c r="D47" s="14">
        <v>103.22</v>
      </c>
    </row>
    <row r="48" spans="1:4">
      <c r="A48" t="s">
        <v>47</v>
      </c>
      <c r="B48" s="14">
        <v>32.39</v>
      </c>
      <c r="C48" s="13">
        <v>-0.5539999999999999</v>
      </c>
      <c r="D48" s="14">
        <v>21.12</v>
      </c>
    </row>
    <row r="49" spans="1:4">
      <c r="A49" t="s">
        <v>48</v>
      </c>
      <c r="B49" s="14">
        <v>89.86</v>
      </c>
      <c r="C49" s="13">
        <v>0.237</v>
      </c>
      <c r="D49" t="s">
        <v>49</v>
      </c>
    </row>
  </sheetData>
  <mergeCells count="1">
    <mergeCell ref="A5:H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sheetFormatPr defaultRowHeight="15"/>
  <cols>
    <col min="1" max="1" width="18.7109375" customWidth="1"/>
    <col min="2" max="7" width="14.7109375" customWidth="1"/>
  </cols>
  <sheetData>
    <row r="1" spans="1:6">
      <c r="A1" s="1" t="s">
        <v>50</v>
      </c>
    </row>
    <row r="2" spans="1:6">
      <c r="A2" s="2" t="s">
        <v>51</v>
      </c>
    </row>
    <row r="3" spans="1:6">
      <c r="A3" s="2" t="s">
        <v>52</v>
      </c>
    </row>
    <row r="5" spans="1:6">
      <c r="A5" s="8" t="s">
        <v>53</v>
      </c>
      <c r="B5" s="15">
        <v>0.02</v>
      </c>
      <c r="C5" s="15">
        <v>0.025</v>
      </c>
      <c r="D5" s="15">
        <v>0.03</v>
      </c>
      <c r="E5" s="15">
        <v>0.035</v>
      </c>
      <c r="F5" s="15">
        <v>0.04</v>
      </c>
    </row>
    <row r="6" spans="1:6">
      <c r="A6" s="16">
        <v>0.08</v>
      </c>
      <c r="B6" s="17">
        <v>115.6</v>
      </c>
      <c r="C6" s="17">
        <v>124.6</v>
      </c>
      <c r="D6" s="17">
        <v>135.3</v>
      </c>
      <c r="E6" s="17">
        <v>148.5</v>
      </c>
      <c r="F6" s="17">
        <v>165</v>
      </c>
    </row>
    <row r="7" spans="1:6">
      <c r="A7" s="16">
        <v>0.09</v>
      </c>
      <c r="B7" s="17">
        <v>97.90000000000001</v>
      </c>
      <c r="C7" s="17">
        <v>104.2</v>
      </c>
      <c r="D7" s="17">
        <v>111.5</v>
      </c>
      <c r="E7" s="17">
        <v>120.2</v>
      </c>
      <c r="F7" s="17">
        <v>130.6</v>
      </c>
    </row>
    <row r="8" spans="1:6">
      <c r="A8" s="16">
        <v>0.1</v>
      </c>
      <c r="B8" s="17">
        <v>84.7</v>
      </c>
      <c r="C8" s="17">
        <v>89.3</v>
      </c>
      <c r="D8" s="17">
        <v>94.5</v>
      </c>
      <c r="E8" s="17">
        <v>100.6</v>
      </c>
      <c r="F8" s="17">
        <v>107.6</v>
      </c>
    </row>
    <row r="9" spans="1:6">
      <c r="A9" s="16">
        <v>0.11</v>
      </c>
      <c r="B9" s="18">
        <v>74.40000000000001</v>
      </c>
      <c r="C9" s="17">
        <v>77.90000000000001</v>
      </c>
      <c r="D9" s="17">
        <v>81.8</v>
      </c>
      <c r="E9" s="17">
        <v>86.2</v>
      </c>
      <c r="F9" s="17">
        <v>91.3</v>
      </c>
    </row>
    <row r="10" spans="1:6">
      <c r="A10" s="16">
        <v>0.12</v>
      </c>
      <c r="B10" s="19">
        <v>66.2</v>
      </c>
      <c r="C10" s="19">
        <v>68.90000000000001</v>
      </c>
      <c r="D10" s="18">
        <v>71.90000000000001</v>
      </c>
      <c r="E10" s="18">
        <v>75.2</v>
      </c>
      <c r="F10" s="17">
        <v>79</v>
      </c>
    </row>
    <row r="13" spans="1:6">
      <c r="A13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4"/>
  <sheetViews>
    <sheetView workbookViewId="0"/>
  </sheetViews>
  <sheetFormatPr defaultRowHeight="15"/>
  <cols>
    <col min="1" max="1" width="28.7109375" customWidth="1"/>
    <col min="2" max="8" width="15.7109375" customWidth="1"/>
  </cols>
  <sheetData>
    <row r="1" spans="1:7">
      <c r="A1" s="1" t="s">
        <v>55</v>
      </c>
    </row>
    <row r="4" spans="1:7">
      <c r="A4" s="20" t="s">
        <v>56</v>
      </c>
      <c r="B4" s="20"/>
      <c r="C4" s="20"/>
      <c r="D4" s="20"/>
      <c r="E4" s="20"/>
      <c r="F4" s="20"/>
      <c r="G4" s="20"/>
    </row>
    <row r="5" spans="1:7">
      <c r="A5" s="10" t="s">
        <v>57</v>
      </c>
      <c r="B5" s="7">
        <v>0.15</v>
      </c>
      <c r="C5" s="7">
        <v>0.14</v>
      </c>
      <c r="D5" s="7">
        <v>0.13</v>
      </c>
      <c r="E5" s="7">
        <v>0.11</v>
      </c>
      <c r="F5" s="7">
        <v>0.1</v>
      </c>
    </row>
    <row r="6" spans="1:7">
      <c r="A6" t="s">
        <v>58</v>
      </c>
      <c r="B6" s="13">
        <v>0.075</v>
      </c>
    </row>
    <row r="7" spans="1:7">
      <c r="A7" t="s">
        <v>12</v>
      </c>
      <c r="B7" s="13">
        <v>0.1</v>
      </c>
    </row>
    <row r="8" spans="1:7">
      <c r="A8" t="s">
        <v>59</v>
      </c>
      <c r="B8" s="13">
        <v>0.035</v>
      </c>
    </row>
    <row r="9" spans="1:7">
      <c r="A9" t="s">
        <v>22</v>
      </c>
      <c r="B9" s="6">
        <v>924560</v>
      </c>
      <c r="C9" s="6">
        <v>1053998</v>
      </c>
      <c r="D9" s="6">
        <v>1191018</v>
      </c>
      <c r="E9" s="6">
        <v>1322030</v>
      </c>
      <c r="F9" s="6">
        <v>1454233</v>
      </c>
    </row>
    <row r="10" spans="1:7">
      <c r="A10" t="s">
        <v>60</v>
      </c>
      <c r="B10" s="6">
        <v>69342</v>
      </c>
      <c r="C10" s="6">
        <v>79050</v>
      </c>
      <c r="D10" s="6">
        <v>89326</v>
      </c>
      <c r="E10" s="6">
        <v>99152</v>
      </c>
      <c r="F10" s="6">
        <v>109067</v>
      </c>
    </row>
    <row r="11" spans="1:7">
      <c r="A11" s="10" t="s">
        <v>61</v>
      </c>
      <c r="B11" s="11">
        <v>149.95</v>
      </c>
    </row>
    <row r="12" spans="1:7">
      <c r="A12" s="10" t="s">
        <v>42</v>
      </c>
      <c r="B12" s="12">
        <v>163.45</v>
      </c>
    </row>
    <row r="13" spans="1:7">
      <c r="A13" t="s">
        <v>43</v>
      </c>
      <c r="B13" s="13">
        <v>1.25</v>
      </c>
    </row>
    <row r="15" spans="1:7">
      <c r="A15" s="21" t="s">
        <v>62</v>
      </c>
      <c r="B15" s="21"/>
      <c r="C15" s="21"/>
      <c r="D15" s="21"/>
      <c r="E15" s="21"/>
      <c r="F15" s="21"/>
      <c r="G15" s="21"/>
    </row>
    <row r="16" spans="1:7">
      <c r="A16" s="10" t="s">
        <v>57</v>
      </c>
      <c r="B16" s="7">
        <v>0.03</v>
      </c>
      <c r="C16" s="7">
        <v>0.04</v>
      </c>
      <c r="D16" s="7">
        <v>0.04</v>
      </c>
      <c r="E16" s="7">
        <v>0.03</v>
      </c>
      <c r="F16" s="7">
        <v>0.02</v>
      </c>
    </row>
    <row r="17" spans="1:6">
      <c r="A17" t="s">
        <v>58</v>
      </c>
      <c r="B17" s="13">
        <v>0.035</v>
      </c>
    </row>
    <row r="18" spans="1:6">
      <c r="A18" t="s">
        <v>12</v>
      </c>
      <c r="B18" s="13">
        <v>0.12</v>
      </c>
    </row>
    <row r="19" spans="1:6">
      <c r="A19" t="s">
        <v>59</v>
      </c>
      <c r="B19" s="13">
        <v>0.025</v>
      </c>
    </row>
    <row r="20" spans="1:6">
      <c r="A20" t="s">
        <v>22</v>
      </c>
      <c r="B20" s="6">
        <v>828084</v>
      </c>
      <c r="C20" s="6">
        <v>861207</v>
      </c>
      <c r="D20" s="6">
        <v>895656</v>
      </c>
      <c r="E20" s="6">
        <v>922525</v>
      </c>
      <c r="F20" s="6">
        <v>940976</v>
      </c>
    </row>
    <row r="21" spans="1:6">
      <c r="A21" t="s">
        <v>60</v>
      </c>
      <c r="B21" s="6">
        <v>28983</v>
      </c>
      <c r="C21" s="6">
        <v>30142</v>
      </c>
      <c r="D21" s="6">
        <v>31348</v>
      </c>
      <c r="E21" s="6">
        <v>32288</v>
      </c>
      <c r="F21" s="6">
        <v>32934</v>
      </c>
    </row>
    <row r="22" spans="1:6">
      <c r="A22" s="10" t="s">
        <v>61</v>
      </c>
      <c r="B22" s="11">
        <v>29.72</v>
      </c>
    </row>
    <row r="23" spans="1:6">
      <c r="A23" s="10" t="s">
        <v>42</v>
      </c>
      <c r="B23" s="12">
        <v>32.39</v>
      </c>
    </row>
    <row r="24" spans="1:6">
      <c r="A24" t="s">
        <v>43</v>
      </c>
      <c r="B24" s="13">
        <v>-0.5539999999999999</v>
      </c>
    </row>
  </sheetData>
  <mergeCells count="2">
    <mergeCell ref="A4:G4"/>
    <mergeCell ref="A15:G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4"/>
  <sheetViews>
    <sheetView workbookViewId="0"/>
  </sheetViews>
  <sheetFormatPr defaultRowHeight="15"/>
  <cols>
    <col min="1" max="1" width="34.7109375" customWidth="1"/>
    <col min="2" max="2" width="16.7109375" customWidth="1"/>
    <col min="3" max="3" width="22.7109375" customWidth="1"/>
    <col min="4" max="4" width="12.7109375" customWidth="1"/>
    <col min="5" max="5" width="55.7109375" customWidth="1"/>
  </cols>
  <sheetData>
    <row r="1" spans="1:5">
      <c r="A1" s="1" t="s">
        <v>63</v>
      </c>
    </row>
    <row r="2" spans="1:5" ht="60" customHeight="1">
      <c r="A2" s="22" t="s">
        <v>64</v>
      </c>
    </row>
    <row r="4" spans="1:5">
      <c r="A4" s="10" t="s">
        <v>65</v>
      </c>
      <c r="B4" s="23" t="s">
        <v>66</v>
      </c>
    </row>
    <row r="6" spans="1:5">
      <c r="A6" s="8" t="s">
        <v>67</v>
      </c>
      <c r="B6" s="8" t="s">
        <v>68</v>
      </c>
      <c r="C6" s="8" t="s">
        <v>69</v>
      </c>
      <c r="D6" s="8" t="s">
        <v>70</v>
      </c>
      <c r="E6" s="8" t="s">
        <v>71</v>
      </c>
    </row>
    <row r="8" spans="1:5">
      <c r="A8" t="s">
        <v>72</v>
      </c>
      <c r="B8" s="9">
        <v>21</v>
      </c>
      <c r="C8" t="s">
        <v>73</v>
      </c>
      <c r="D8" s="24" t="s">
        <v>74</v>
      </c>
      <c r="E8" t="s">
        <v>75</v>
      </c>
    </row>
    <row r="9" spans="1:5">
      <c r="A9" t="s">
        <v>76</v>
      </c>
      <c r="B9" s="9">
        <v>10.6</v>
      </c>
      <c r="C9" t="s">
        <v>77</v>
      </c>
      <c r="D9" s="24" t="s">
        <v>74</v>
      </c>
      <c r="E9" t="s">
        <v>78</v>
      </c>
    </row>
    <row r="10" spans="1:5">
      <c r="A10" t="s">
        <v>79</v>
      </c>
      <c r="B10" s="9">
        <v>0.85</v>
      </c>
      <c r="C10" t="s">
        <v>80</v>
      </c>
      <c r="D10" s="24" t="s">
        <v>74</v>
      </c>
      <c r="E10" t="s">
        <v>81</v>
      </c>
    </row>
    <row r="11" spans="1:5">
      <c r="A11" t="s">
        <v>82</v>
      </c>
      <c r="B11" s="9">
        <v>41.9</v>
      </c>
      <c r="C11" t="s">
        <v>73</v>
      </c>
      <c r="D11" s="25" t="s">
        <v>83</v>
      </c>
      <c r="E11" t="s">
        <v>84</v>
      </c>
    </row>
    <row r="13" spans="1:5">
      <c r="A13" s="4" t="s">
        <v>85</v>
      </c>
    </row>
    <row r="14" spans="1:5">
      <c r="A14" t="s">
        <v>86</v>
      </c>
      <c r="B14" s="6">
        <v>608</v>
      </c>
    </row>
    <row r="15" spans="1:5">
      <c r="A15" t="s">
        <v>87</v>
      </c>
      <c r="B15" s="9">
        <v>18.6</v>
      </c>
    </row>
    <row r="16" spans="1:5">
      <c r="A16" t="s">
        <v>88</v>
      </c>
      <c r="B16" s="9">
        <v>9.5</v>
      </c>
    </row>
    <row r="17" spans="1:2">
      <c r="A17" t="s">
        <v>89</v>
      </c>
      <c r="B17" s="9">
        <v>0.76</v>
      </c>
    </row>
    <row r="19" spans="1:2">
      <c r="A19" s="4" t="s">
        <v>90</v>
      </c>
    </row>
    <row r="20" spans="1:2">
      <c r="A20" t="s">
        <v>86</v>
      </c>
      <c r="B20" s="6">
        <v>684</v>
      </c>
    </row>
    <row r="21" spans="1:2">
      <c r="A21" t="s">
        <v>87</v>
      </c>
      <c r="B21" s="9">
        <v>21</v>
      </c>
    </row>
    <row r="22" spans="1:2">
      <c r="A22" t="s">
        <v>91</v>
      </c>
      <c r="B22" s="9">
        <v>41.9</v>
      </c>
    </row>
    <row r="23" spans="1:2">
      <c r="A23" t="s">
        <v>88</v>
      </c>
      <c r="B23" s="9">
        <v>10.6</v>
      </c>
    </row>
    <row r="24" spans="1:2">
      <c r="A24" t="s">
        <v>89</v>
      </c>
      <c r="B24" s="9"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1" width="22.7109375" customWidth="1"/>
    <col min="2" max="3" width="15.7109375" customWidth="1"/>
    <col min="4" max="4" width="90.7109375" customWidth="1"/>
  </cols>
  <sheetData>
    <row r="1" spans="1:4">
      <c r="A1" s="1" t="s">
        <v>92</v>
      </c>
    </row>
    <row r="3" spans="1:4">
      <c r="A3" s="8" t="s">
        <v>67</v>
      </c>
      <c r="B3" s="8" t="s">
        <v>93</v>
      </c>
      <c r="C3" s="8" t="s">
        <v>94</v>
      </c>
      <c r="D3" s="8" t="s">
        <v>95</v>
      </c>
    </row>
    <row r="4" spans="1:4">
      <c r="A4" t="s">
        <v>96</v>
      </c>
      <c r="B4" s="13">
        <v>0.238</v>
      </c>
      <c r="C4" s="13">
        <v>0.393</v>
      </c>
      <c r="D4" t="s">
        <v>97</v>
      </c>
    </row>
    <row r="5" spans="1:4">
      <c r="A5" t="s">
        <v>98</v>
      </c>
      <c r="B5" s="13">
        <v>0.252</v>
      </c>
      <c r="C5" s="13">
        <v>0.502</v>
      </c>
      <c r="D5" t="s">
        <v>99</v>
      </c>
    </row>
    <row r="6" spans="1:4">
      <c r="A6" t="s">
        <v>100</v>
      </c>
      <c r="B6" s="13">
        <v>0.304</v>
      </c>
      <c r="C6" s="13">
        <v>0.341</v>
      </c>
      <c r="D6" t="s">
        <v>101</v>
      </c>
    </row>
    <row r="7" spans="1:4">
      <c r="A7" t="s">
        <v>102</v>
      </c>
      <c r="B7" t="s">
        <v>103</v>
      </c>
      <c r="C7" t="s">
        <v>103</v>
      </c>
      <c r="D7" t="s">
        <v>104</v>
      </c>
    </row>
    <row r="9" spans="1:4">
      <c r="A9" s="10" t="s">
        <v>105</v>
      </c>
      <c r="B9" s="13">
        <v>0.1</v>
      </c>
    </row>
    <row r="10" spans="1:4">
      <c r="A10" t="s">
        <v>106</v>
      </c>
      <c r="B10" t="s"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Scenarios</vt:lpstr>
      <vt:lpstr>Sanity Check</vt:lpstr>
      <vt:lpstr>Historical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2026-06-26T11:47:11Z</dcterms:created>
  <dcterms:modified xsi:type="dcterms:W3CDTF">2026-06-26T11:47:11Z</dcterms:modified>
</cp:coreProperties>
</file>