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anity Check" sheetId="4" state="visible" r:id="rId4"/>
    <sheet xmlns:r="http://schemas.openxmlformats.org/officeDocument/2006/relationships" name="Historic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2D3436"/>
      <sz val="11"/>
    </font>
    <font>
      <b val="1"/>
      <sz val="12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DCB6E"/>
      </patternFill>
    </fill>
    <fill>
      <patternFill patternType="solid">
        <fgColor rgb="00DFE6E9"/>
      </patternFill>
    </fill>
    <fill>
      <patternFill patternType="solid">
        <fgColor rgb="0055EFC4"/>
      </patternFill>
    </fill>
    <fill>
      <patternFill patternType="solid">
        <fgColor rgb="00FF7675"/>
      </patternFill>
    </fill>
    <fill>
      <patternFill patternType="solid">
        <fgColor rgb="0000B8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164" fontId="0" fillId="3" borderId="0" pivotButton="0" quotePrefix="0" xfId="0"/>
    <xf numFmtId="9" fontId="0" fillId="3" borderId="0" pivotButton="0" quotePrefix="0" xfId="0"/>
    <xf numFmtId="165" fontId="0" fillId="0" borderId="0" pivotButton="0" quotePrefix="0" xfId="0"/>
    <xf numFmtId="164" fontId="4" fillId="0" borderId="0" pivotButton="0" quotePrefix="0" xfId="0"/>
    <xf numFmtId="164" fontId="0" fillId="0" borderId="0" pivotButton="0" quotePrefix="0" xfId="0"/>
    <xf numFmtId="9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6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1211.HK — BYD Company Limited — DCF Valuation (REVISED 2026-07-01)</t>
        </is>
      </c>
    </row>
    <row r="2">
      <c r="A2" t="inlineStr">
        <is>
          <t>Valuation date: 2026-07-01  |  Price: HK$72.65 (2026-06-26)  |  Source: Yahoo Finance live quote, symbol 1211.HK</t>
        </is>
      </c>
    </row>
    <row r="3">
      <c r="A3" t="inlineStr">
        <is>
          <t>Gray cells are INPUTS — adjust to see results update automatically. FCF is now built from a per-year margin that ramps out of the capex cycle (negative in Y1-Y2); terminal margin is a separate capped input.</t>
        </is>
      </c>
    </row>
    <row r="5" ht="58" customHeight="1">
      <c r="A5" s="2" t="inlineStr">
        <is>
          <t>REVISED following external review: (1) base FCF ramps -7%/-1%/+2.5%/+4%/+5.5% instead of flat 5.5% from Y1; (2) terminal FCF margin capped at 4.6% (best-ever); (3) equity bridge deducts ~RMB17bn market value of the ~34% BYD Electronic minority; (4) net-debt line includes RMB54.5bn trading financial assets -&gt; small NET CASH. Base IV: HK$81.80 (+12.6%) -&gt; HK$53.75 (-26%).</t>
        </is>
      </c>
    </row>
    <row r="7">
      <c r="A7" s="3" t="inlineStr">
        <is>
          <t>KEY INPUTS</t>
        </is>
      </c>
    </row>
    <row r="8">
      <c r="A8" t="inlineStr">
        <is>
          <t>Current Stock Price (HKD)</t>
        </is>
      </c>
      <c r="B8" s="4" t="n">
        <v>72.65000000000001</v>
      </c>
    </row>
    <row r="9">
      <c r="A9" t="inlineStr">
        <is>
          <t>Shares Outstanding (M)</t>
        </is>
      </c>
      <c r="B9" s="4" t="n">
        <v>9117.200000000001</v>
      </c>
    </row>
    <row r="10">
      <c r="A10" t="inlineStr">
        <is>
          <t>Cash &amp; Equivalents (M RMB)</t>
        </is>
      </c>
      <c r="B10" s="4" t="n">
        <v>68395.2</v>
      </c>
    </row>
    <row r="11">
      <c r="A11" t="inlineStr">
        <is>
          <t>Financial Assets Held for Trading (M RMB)</t>
        </is>
      </c>
      <c r="B11" s="4" t="n">
        <v>54532.5</v>
      </c>
    </row>
    <row r="12">
      <c r="A12" t="inlineStr">
        <is>
          <t>Total Interest-Bearing Debt (M RMB)</t>
        </is>
      </c>
      <c r="B12" s="4" t="n">
        <v>112809</v>
      </c>
    </row>
    <row r="13">
      <c r="A13" t="inlineStr">
        <is>
          <t>Net Cash (M RMB)  [=Cash+FinAssets-Debt]</t>
        </is>
      </c>
      <c r="B13" s="5">
        <f>B10+B11-B12</f>
        <v/>
      </c>
    </row>
    <row r="14">
      <c r="A14" t="inlineStr">
        <is>
          <t>BYD Electronic Minority — market value (M RMB)</t>
        </is>
      </c>
      <c r="B14" s="4" t="n">
        <v>17166</v>
      </c>
    </row>
    <row r="15">
      <c r="A15" t="inlineStr">
        <is>
          <t>Base Year Revenue (M RMB)  [FY2025]</t>
        </is>
      </c>
      <c r="B15" s="4" t="n">
        <v>803965</v>
      </c>
    </row>
    <row r="16">
      <c r="A16" t="inlineStr">
        <is>
          <t>RMB to HKD Conversion Rate</t>
        </is>
      </c>
      <c r="B16" s="4" t="n">
        <v>1.09</v>
      </c>
    </row>
    <row r="17">
      <c r="A17" t="inlineStr">
        <is>
          <t>WACC</t>
        </is>
      </c>
      <c r="B17" s="6" t="n">
        <v>0.11</v>
      </c>
    </row>
    <row r="18">
      <c r="A18" t="inlineStr">
        <is>
          <t>Terminal Growth Rate</t>
        </is>
      </c>
      <c r="B18" s="6" t="n">
        <v>0.03</v>
      </c>
    </row>
    <row r="19">
      <c r="A19" t="inlineStr">
        <is>
          <t>Terminal FCF Margin  [capped at FY2024 best-ever 4.6%]</t>
        </is>
      </c>
      <c r="B19" s="6" t="n">
        <v>0.046</v>
      </c>
    </row>
    <row r="21">
      <c r="A21" s="3" t="inlineStr">
        <is>
          <t>ANNUAL REVENUE GROWTH RATES (Base)</t>
        </is>
      </c>
    </row>
    <row r="22">
      <c r="B22" s="5" t="inlineStr">
        <is>
          <t>Year 1 FY26</t>
        </is>
      </c>
      <c r="C22" s="5" t="inlineStr">
        <is>
          <t>Year 2 FY27</t>
        </is>
      </c>
      <c r="D22" s="5" t="inlineStr">
        <is>
          <t>Year 3 FY28</t>
        </is>
      </c>
      <c r="E22" s="5" t="inlineStr">
        <is>
          <t>Year 4 FY29</t>
        </is>
      </c>
      <c r="F22" s="5" t="inlineStr">
        <is>
          <t>Year 5 FY30</t>
        </is>
      </c>
    </row>
    <row r="23">
      <c r="A23" t="inlineStr">
        <is>
          <t>Growth rate</t>
        </is>
      </c>
      <c r="B23" s="7" t="n">
        <v>0.1</v>
      </c>
      <c r="C23" s="7" t="n">
        <v>0.1</v>
      </c>
      <c r="D23" s="7" t="n">
        <v>0.09</v>
      </c>
      <c r="E23" s="7" t="n">
        <v>0.08</v>
      </c>
      <c r="F23" s="7" t="n">
        <v>0.07000000000000001</v>
      </c>
    </row>
    <row r="24">
      <c r="A24" s="3" t="inlineStr">
        <is>
          <t>ANNUAL FCF MARGIN (Base) — ramps out of capex cycle</t>
        </is>
      </c>
    </row>
    <row r="25">
      <c r="A25" t="inlineStr">
        <is>
          <t>FCF margin (Y1..Y5)</t>
        </is>
      </c>
      <c r="B25" s="6" t="n">
        <v>-0.07000000000000001</v>
      </c>
      <c r="C25" s="6" t="n">
        <v>-0.01</v>
      </c>
      <c r="D25" s="6" t="n">
        <v>0.025</v>
      </c>
      <c r="E25" s="6" t="n">
        <v>0.04</v>
      </c>
      <c r="F25" s="6" t="n">
        <v>0.055</v>
      </c>
    </row>
    <row r="27">
      <c r="A27" s="3" t="inlineStr">
        <is>
          <t>PROJECTIONS (Base Case)</t>
        </is>
      </c>
    </row>
    <row r="28">
      <c r="A28" t="inlineStr">
        <is>
          <t>Revenue (M RMB)</t>
        </is>
      </c>
      <c r="B28">
        <f>$B$15*(1+B23)</f>
        <v/>
      </c>
      <c r="C28">
        <f>B28*(1+C23)</f>
        <v/>
      </c>
      <c r="D28">
        <f>C28*(1+D23)</f>
        <v/>
      </c>
      <c r="E28">
        <f>D28*(1+E23)</f>
        <v/>
      </c>
      <c r="F28">
        <f>E28*(1+F23)</f>
        <v/>
      </c>
    </row>
    <row r="29">
      <c r="A29" t="inlineStr">
        <is>
          <t>FCF (M RMB)  [Rev × per-year margin]</t>
        </is>
      </c>
      <c r="B29">
        <f>B28*B25</f>
        <v/>
      </c>
      <c r="C29">
        <f>C28*C25</f>
        <v/>
      </c>
      <c r="D29">
        <f>D28*D25</f>
        <v/>
      </c>
      <c r="E29">
        <f>E28*E25</f>
        <v/>
      </c>
      <c r="F29">
        <f>F28*F25</f>
        <v/>
      </c>
    </row>
    <row r="30">
      <c r="A30" t="inlineStr">
        <is>
          <t>Discount Factor  [1/(1+WACC)^t]</t>
        </is>
      </c>
      <c r="B30" s="8">
        <f>1/(1+$B$17)^1</f>
        <v/>
      </c>
      <c r="C30" s="8">
        <f>1/(1+$B$17)^2</f>
        <v/>
      </c>
      <c r="D30" s="8">
        <f>1/(1+$B$17)^3</f>
        <v/>
      </c>
      <c r="E30" s="8">
        <f>1/(1+$B$17)^4</f>
        <v/>
      </c>
      <c r="F30" s="8">
        <f>1/(1+$B$17)^5</f>
        <v/>
      </c>
    </row>
    <row r="31">
      <c r="A31" t="inlineStr">
        <is>
          <t>PV of FCF (M RMB)</t>
        </is>
      </c>
      <c r="B31">
        <f>B29*B30</f>
        <v/>
      </c>
      <c r="C31">
        <f>C29*C30</f>
        <v/>
      </c>
      <c r="D31">
        <f>D29*D30</f>
        <v/>
      </c>
      <c r="E31">
        <f>E29*E30</f>
        <v/>
      </c>
      <c r="F31">
        <f>F29*F30</f>
        <v/>
      </c>
    </row>
    <row r="33">
      <c r="A33" s="3" t="inlineStr">
        <is>
          <t>VALUATION</t>
        </is>
      </c>
    </row>
    <row r="34">
      <c r="A34" t="inlineStr">
        <is>
          <t>Sum of PV of FCF (M RMB)</t>
        </is>
      </c>
      <c r="B34">
        <f>SUM(B31:F31)</f>
        <v/>
      </c>
    </row>
    <row r="35">
      <c r="A35" t="inlineStr">
        <is>
          <t>Terminal Revenue (M RMB)  [Y5 Rev × (1+TG)]</t>
        </is>
      </c>
      <c r="B35">
        <f>F28*(1+$B$18)</f>
        <v/>
      </c>
    </row>
    <row r="36">
      <c r="A36" t="inlineStr">
        <is>
          <t>Terminal FCF (M RMB)  [Term Rev × Term Margin]</t>
        </is>
      </c>
      <c r="B36">
        <f>B35*$B$19</f>
        <v/>
      </c>
    </row>
    <row r="37">
      <c r="A37" t="inlineStr">
        <is>
          <t>Terminal Value (M RMB)  [TermFCF/(WACC-TG)]</t>
        </is>
      </c>
      <c r="B37">
        <f>B36/($B$17-$B$18)</f>
        <v/>
      </c>
    </row>
    <row r="38">
      <c r="A38" t="inlineStr">
        <is>
          <t>PV of Terminal Value (M RMB)</t>
        </is>
      </c>
      <c r="B38">
        <f>B37*F30</f>
        <v/>
      </c>
    </row>
    <row r="39">
      <c r="A39" t="inlineStr">
        <is>
          <t>Enterprise Value (M RMB)</t>
        </is>
      </c>
      <c r="B39">
        <f>B34+B38</f>
        <v/>
      </c>
    </row>
    <row r="40">
      <c r="A40" t="inlineStr">
        <is>
          <t>Plus: Net Cash (M RMB)</t>
        </is>
      </c>
      <c r="B40">
        <f>$B$13</f>
        <v/>
      </c>
    </row>
    <row r="41">
      <c r="A41" t="inlineStr">
        <is>
          <t>Less: BYD Electronic Minority (M RMB)</t>
        </is>
      </c>
      <c r="B41">
        <f>$B$14</f>
        <v/>
      </c>
    </row>
    <row r="42">
      <c r="A42" t="inlineStr">
        <is>
          <t>Equity Value (M RMB)  [EV + NetCash - Minority]</t>
        </is>
      </c>
      <c r="B42">
        <f>B39+B40-B41</f>
        <v/>
      </c>
    </row>
    <row r="43">
      <c r="A43" t="inlineStr">
        <is>
          <t>Intrinsic Value / Share (RMB)</t>
        </is>
      </c>
      <c r="B43">
        <f>B42/$B$9</f>
        <v/>
      </c>
    </row>
    <row r="44">
      <c r="A44" t="inlineStr">
        <is>
          <t>Intrinsic Value / Share (HKD)</t>
        </is>
      </c>
      <c r="B44" s="5">
        <f>B43*$B$16</f>
        <v/>
      </c>
    </row>
    <row r="45">
      <c r="A45" t="inlineStr">
        <is>
          <t>Upside / (Downside) to IV</t>
        </is>
      </c>
      <c r="B45" s="9">
        <f>(B44-$B$8)/$B$8</f>
        <v/>
      </c>
    </row>
    <row r="47">
      <c r="A47" s="3" t="inlineStr">
        <is>
          <t>ENTRY PRICE (15% CAGR Target)</t>
        </is>
      </c>
    </row>
    <row r="48">
      <c r="A48" t="inlineStr">
        <is>
          <t>Terminal Value per Share (HKD)</t>
        </is>
      </c>
      <c r="B48">
        <f>B37/$B$9*$B$16</f>
        <v/>
      </c>
    </row>
    <row r="49">
      <c r="A49" t="inlineStr">
        <is>
          <t>Entry Price for 15% CAGR over 5 years (HKD)</t>
        </is>
      </c>
      <c r="B49">
        <f>B48/(1.15^5)</f>
        <v/>
      </c>
    </row>
    <row r="50">
      <c r="A50" t="inlineStr">
        <is>
          <t>Entry Price vs Current Price</t>
        </is>
      </c>
      <c r="B50" s="10">
        <f>(B49-$B$8)/$B$8</f>
        <v/>
      </c>
    </row>
    <row r="52">
      <c r="A52" s="3" t="inlineStr">
        <is>
          <t>SCENARIO SUMMARY</t>
        </is>
      </c>
      <c r="B52" s="5" t="inlineStr">
        <is>
          <t>Intrinsic Value (HKD)</t>
        </is>
      </c>
      <c r="C52" s="5" t="inlineStr">
        <is>
          <t>Upside / (Downside)</t>
        </is>
      </c>
      <c r="D52" s="5" t="inlineStr">
        <is>
          <t>Entry Price 15% CAGR (HKD)</t>
        </is>
      </c>
    </row>
    <row r="53">
      <c r="A53" t="inlineStr">
        <is>
          <t>Base Case</t>
        </is>
      </c>
      <c r="B53" t="n">
        <v>53.75</v>
      </c>
      <c r="C53" s="10" t="n">
        <v>-0.26</v>
      </c>
      <c r="D53" t="n">
        <v>43.14</v>
      </c>
    </row>
    <row r="54">
      <c r="A54" t="inlineStr">
        <is>
          <t>Bull Case</t>
        </is>
      </c>
      <c r="B54" t="n">
        <v>120.82</v>
      </c>
      <c r="C54" s="10" t="n">
        <v>0.663</v>
      </c>
      <c r="D54" t="n">
        <v>82.58</v>
      </c>
    </row>
    <row r="55">
      <c r="A55" t="inlineStr">
        <is>
          <t>Bear Case</t>
        </is>
      </c>
      <c r="B55" t="n">
        <v>13.56</v>
      </c>
      <c r="C55" s="10" t="n">
        <v>-0.8129999999999999</v>
      </c>
      <c r="D55" t="n">
        <v>21.12</v>
      </c>
    </row>
    <row r="56">
      <c r="A56" t="inlineStr">
        <is>
          <t>Prob. Wtd (25/50/25)</t>
        </is>
      </c>
      <c r="B56" t="n">
        <v>60.47</v>
      </c>
      <c r="C56" s="10" t="n">
        <v>-0.168</v>
      </c>
      <c r="D56" t="inlineStr">
        <is>
          <t>—</t>
        </is>
      </c>
    </row>
  </sheetData>
  <mergeCells count="1"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Sensitivity Analysis — Intrinsic Value (HKD/share)</t>
        </is>
      </c>
    </row>
    <row r="2">
      <c r="A2" t="inlineStr">
        <is>
          <t>Base growth [10,10,9,8,7%] and the ramped FCF path (terminal margin 4.6%) held constant; only WACC and Terminal Growth vary.</t>
        </is>
      </c>
    </row>
    <row r="3">
      <c r="A3" t="inlineStr">
        <is>
          <t>Current price HK$72.65. At the base 11% WACC, no terminal-growth in range reaches the current price (max 61.7) — justifying today's price needs a ~9-10% discount rate.</t>
        </is>
      </c>
    </row>
    <row r="5">
      <c r="A5" s="5" t="inlineStr">
        <is>
          <t>WACC \ Term G</t>
        </is>
      </c>
      <c r="B5" s="9" t="n">
        <v>0.02</v>
      </c>
      <c r="C5" s="9" t="n">
        <v>0.025</v>
      </c>
      <c r="D5" s="9" t="n">
        <v>0.03</v>
      </c>
      <c r="E5" s="9" t="n">
        <v>0.035</v>
      </c>
      <c r="F5" s="9" t="n">
        <v>0.04</v>
      </c>
    </row>
    <row r="6">
      <c r="A6" s="11" t="n">
        <v>0.08</v>
      </c>
      <c r="B6" s="12" t="n">
        <v>81.3</v>
      </c>
      <c r="C6" s="12" t="n">
        <v>88.8</v>
      </c>
      <c r="D6" s="12" t="n">
        <v>97.8</v>
      </c>
      <c r="E6" s="12" t="n">
        <v>108.8</v>
      </c>
      <c r="F6" s="12" t="n">
        <v>122.6</v>
      </c>
    </row>
    <row r="7">
      <c r="A7" s="11" t="n">
        <v>0.09</v>
      </c>
      <c r="B7" s="13" t="n">
        <v>66.8</v>
      </c>
      <c r="C7" s="13" t="n">
        <v>72</v>
      </c>
      <c r="D7" s="12" t="n">
        <v>78.09999999999999</v>
      </c>
      <c r="E7" s="12" t="n">
        <v>85.40000000000001</v>
      </c>
      <c r="F7" s="12" t="n">
        <v>94.09999999999999</v>
      </c>
    </row>
    <row r="8">
      <c r="A8" s="11" t="n">
        <v>0.1</v>
      </c>
      <c r="B8" s="13" t="n">
        <v>55.9</v>
      </c>
      <c r="C8" s="13" t="n">
        <v>59.8</v>
      </c>
      <c r="D8" s="13" t="n">
        <v>64.2</v>
      </c>
      <c r="E8" s="13" t="n">
        <v>69.2</v>
      </c>
      <c r="F8" s="12" t="n">
        <v>75.09999999999999</v>
      </c>
    </row>
    <row r="9">
      <c r="A9" s="11" t="n">
        <v>0.11</v>
      </c>
      <c r="B9" s="13" t="n">
        <v>47.6</v>
      </c>
      <c r="C9" s="13" t="n">
        <v>50.5</v>
      </c>
      <c r="D9" s="14" t="n">
        <v>53.7</v>
      </c>
      <c r="E9" s="13" t="n">
        <v>57.4</v>
      </c>
      <c r="F9" s="13" t="n">
        <v>61.7</v>
      </c>
    </row>
    <row r="10">
      <c r="A10" s="11" t="n">
        <v>0.12</v>
      </c>
      <c r="B10" s="13" t="n">
        <v>40.9</v>
      </c>
      <c r="C10" s="13" t="n">
        <v>43.2</v>
      </c>
      <c r="D10" s="13" t="n">
        <v>45.7</v>
      </c>
      <c r="E10" s="13" t="n">
        <v>48.5</v>
      </c>
      <c r="F10" s="13" t="n">
        <v>51.6</v>
      </c>
    </row>
    <row r="13">
      <c r="A13" t="inlineStr">
        <is>
          <t>Green = above current price. Red = below. Bold (WACC 11%/TG 3.0%) = base case (HK$53.7).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Bull / Bear Scenario Detail</t>
        </is>
      </c>
    </row>
    <row r="4">
      <c r="A4" s="3" t="inlineStr">
        <is>
          <t>BULL CASE</t>
        </is>
      </c>
    </row>
    <row r="5">
      <c r="A5" t="inlineStr">
        <is>
          <t>Growth Rates</t>
        </is>
      </c>
      <c r="B5" s="15" t="n">
        <v>0.15</v>
      </c>
      <c r="C5" s="15" t="n">
        <v>0.14</v>
      </c>
      <c r="D5" s="15" t="n">
        <v>0.13</v>
      </c>
      <c r="E5" s="15" t="n">
        <v>0.11</v>
      </c>
      <c r="F5" s="15" t="n">
        <v>0.1</v>
      </c>
    </row>
    <row r="6">
      <c r="A6" t="inlineStr">
        <is>
          <t>FCF Margin Path</t>
        </is>
      </c>
      <c r="B6" s="10" t="n">
        <v>-0.04</v>
      </c>
      <c r="C6" s="10" t="n">
        <v>0.02</v>
      </c>
      <c r="D6" s="10" t="n">
        <v>0.05</v>
      </c>
      <c r="E6" s="10" t="n">
        <v>0.065</v>
      </c>
      <c r="F6" s="10" t="n">
        <v>0.075</v>
      </c>
    </row>
    <row r="7">
      <c r="A7" t="inlineStr">
        <is>
          <t>Terminal FCF Margin</t>
        </is>
      </c>
      <c r="B7" s="10" t="n">
        <v>0.06</v>
      </c>
    </row>
    <row r="8">
      <c r="A8" t="inlineStr">
        <is>
          <t>WACC</t>
        </is>
      </c>
      <c r="B8" s="10" t="n">
        <v>0.1</v>
      </c>
    </row>
    <row r="9">
      <c r="A9" t="inlineStr">
        <is>
          <t>Terminal Growth</t>
        </is>
      </c>
      <c r="B9" s="10" t="n">
        <v>0.035</v>
      </c>
    </row>
    <row r="10">
      <c r="A10" t="inlineStr">
        <is>
          <t>Revenue (M RMB)</t>
        </is>
      </c>
      <c r="B10" t="n">
        <v>924560</v>
      </c>
      <c r="C10" t="n">
        <v>1053998</v>
      </c>
      <c r="D10" t="n">
        <v>1191018</v>
      </c>
      <c r="E10" t="n">
        <v>1322030</v>
      </c>
      <c r="F10" t="n">
        <v>1454233</v>
      </c>
    </row>
    <row r="11">
      <c r="A11" t="inlineStr">
        <is>
          <t>FCF (M RMB)</t>
        </is>
      </c>
      <c r="B11" t="n">
        <v>-36982</v>
      </c>
      <c r="C11" t="n">
        <v>21080</v>
      </c>
      <c r="D11" t="n">
        <v>59551</v>
      </c>
      <c r="E11" t="n">
        <v>85932</v>
      </c>
      <c r="F11" t="n">
        <v>109067</v>
      </c>
    </row>
    <row r="12">
      <c r="A12" t="inlineStr">
        <is>
          <t>Intrinsic Value (RMB)</t>
        </is>
      </c>
      <c r="B12" t="n">
        <v>110.84</v>
      </c>
    </row>
    <row r="13">
      <c r="A13" t="inlineStr">
        <is>
          <t>Intrinsic Value (HKD)</t>
        </is>
      </c>
      <c r="B13" s="5" t="n">
        <v>120.82</v>
      </c>
    </row>
    <row r="14">
      <c r="A14" t="inlineStr">
        <is>
          <t>Upside / (Downside)</t>
        </is>
      </c>
      <c r="B14" s="10" t="n">
        <v>0.663</v>
      </c>
    </row>
    <row r="17">
      <c r="A17" s="3" t="inlineStr">
        <is>
          <t>BEAR CASE</t>
        </is>
      </c>
    </row>
    <row r="18">
      <c r="A18" t="inlineStr">
        <is>
          <t>Growth Rates</t>
        </is>
      </c>
      <c r="B18" s="15" t="n">
        <v>0.03</v>
      </c>
      <c r="C18" s="15" t="n">
        <v>0.04</v>
      </c>
      <c r="D18" s="15" t="n">
        <v>0.04</v>
      </c>
      <c r="E18" s="15" t="n">
        <v>0.03</v>
      </c>
      <c r="F18" s="15" t="n">
        <v>0.02</v>
      </c>
    </row>
    <row r="19">
      <c r="A19" t="inlineStr">
        <is>
          <t>FCF Margin Path</t>
        </is>
      </c>
      <c r="B19" s="10" t="n">
        <v>-0.09</v>
      </c>
      <c r="C19" s="10" t="n">
        <v>-0.04</v>
      </c>
      <c r="D19" s="10" t="n">
        <v>-0.01</v>
      </c>
      <c r="E19" s="10" t="n">
        <v>0.01</v>
      </c>
      <c r="F19" s="10" t="n">
        <v>0.025</v>
      </c>
    </row>
    <row r="20">
      <c r="A20" t="inlineStr">
        <is>
          <t>Terminal FCF Margin</t>
        </is>
      </c>
      <c r="B20" s="10" t="n">
        <v>0.03</v>
      </c>
    </row>
    <row r="21">
      <c r="A21" t="inlineStr">
        <is>
          <t>WACC</t>
        </is>
      </c>
      <c r="B21" s="10" t="n">
        <v>0.12</v>
      </c>
    </row>
    <row r="22">
      <c r="A22" t="inlineStr">
        <is>
          <t>Terminal Growth</t>
        </is>
      </c>
      <c r="B22" s="10" t="n">
        <v>0.025</v>
      </c>
    </row>
    <row r="23">
      <c r="A23" t="inlineStr">
        <is>
          <t>Revenue (M RMB)</t>
        </is>
      </c>
      <c r="B23" t="n">
        <v>828084</v>
      </c>
      <c r="C23" t="n">
        <v>861207</v>
      </c>
      <c r="D23" t="n">
        <v>895656</v>
      </c>
      <c r="E23" t="n">
        <v>922525</v>
      </c>
      <c r="F23" t="n">
        <v>940976</v>
      </c>
    </row>
    <row r="24">
      <c r="A24" t="inlineStr">
        <is>
          <t>FCF (M RMB)</t>
        </is>
      </c>
      <c r="B24" t="n">
        <v>-74528</v>
      </c>
      <c r="C24" t="n">
        <v>-34448</v>
      </c>
      <c r="D24" t="n">
        <v>-8957</v>
      </c>
      <c r="E24" t="n">
        <v>9225</v>
      </c>
      <c r="F24" t="n">
        <v>23524</v>
      </c>
    </row>
    <row r="25">
      <c r="A25" t="inlineStr">
        <is>
          <t>Intrinsic Value (RMB)</t>
        </is>
      </c>
      <c r="B25" t="n">
        <v>12.44</v>
      </c>
    </row>
    <row r="26">
      <c r="A26" t="inlineStr">
        <is>
          <t>Intrinsic Value (HKD)</t>
        </is>
      </c>
      <c r="B26" s="5" t="n">
        <v>13.56</v>
      </c>
    </row>
    <row r="27">
      <c r="A27" t="inlineStr">
        <is>
          <t>Upside / (Downside)</t>
        </is>
      </c>
      <c r="B27" s="10" t="n">
        <v>-0.8129999999999999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70" customWidth="1" min="5" max="5"/>
  </cols>
  <sheetData>
    <row r="1">
      <c r="A1" s="1" t="inlineStr">
        <is>
          <t>Sanity Check — Implied Multiples vs History</t>
        </is>
      </c>
      <c r="E1" s="16" t="n"/>
    </row>
    <row r="2" ht="60" customHeight="1">
      <c r="A2" s="16" t="inlineStr">
        <is>
          <t>Revised base case of HKD 53.75 implies undemanding multiples (13.8x P/E, 6.6x EV/EBITDA, 0.56x P/S) — appropriately conservative given the front-loaded cash burn, the 4.6% terminal FCF-margin cap, and the BYDE minority deduction. The current traded price of HKD 72.65 (18.6x P/E, 9.5x EV/EBITDA, 0.76x P/S) sits ABOVE the base-case fair value: the market is pricing a partial bull-case recovery.</t>
        </is>
      </c>
    </row>
    <row r="4">
      <c r="A4" t="inlineStr">
        <is>
          <t>STATUS:</t>
        </is>
      </c>
      <c r="B4" t="inlineStr">
        <is>
          <t>PASSED (base IV deliberately conservative)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Reasonable Range</t>
        </is>
      </c>
      <c r="D6" s="5" t="inlineStr">
        <is>
          <t>Result</t>
        </is>
      </c>
      <c r="E6" s="5" t="inlineStr">
        <is>
          <t>Comment</t>
        </is>
      </c>
    </row>
    <row r="8">
      <c r="A8" t="inlineStr">
        <is>
          <t>P/E (base IV)</t>
        </is>
      </c>
      <c r="B8" t="n">
        <v>13.8</v>
      </c>
      <c r="C8" t="inlineStr">
        <is>
          <t>15-40x</t>
        </is>
      </c>
      <c r="D8" t="inlineStr">
        <is>
          <t>WATCH</t>
        </is>
      </c>
      <c r="E8" s="16" t="inlineStr">
        <is>
          <t>13.8x is modestly BELOW range — a deliberately cautious valuation reflecting the depressed-FCF ramp and terminal-margin cap, not an error. Market P/E of 18.6x is inside range.</t>
        </is>
      </c>
    </row>
    <row r="9">
      <c r="A9" t="inlineStr">
        <is>
          <t>EV/EBITDA (base IV)</t>
        </is>
      </c>
      <c r="B9" t="n">
        <v>6.6</v>
      </c>
      <c r="C9" t="inlineStr">
        <is>
          <t>6-18x</t>
        </is>
      </c>
      <c r="D9" t="inlineStr">
        <is>
          <t>PASS</t>
        </is>
      </c>
      <c r="E9" s="16" t="inlineStr">
        <is>
          <t>6.6x at the low end but within range — consistent with a capex-cycle-peak business valued cautiously.</t>
        </is>
      </c>
    </row>
    <row r="10">
      <c r="A10" t="inlineStr">
        <is>
          <t>P/S (base IV)</t>
        </is>
      </c>
      <c r="B10" t="n">
        <v>0.5600000000000001</v>
      </c>
      <c r="C10" t="inlineStr">
        <is>
          <t>0.3-1.2x</t>
        </is>
      </c>
      <c r="D10" t="inlineStr">
        <is>
          <t>PASS</t>
        </is>
      </c>
      <c r="E10" s="16" t="inlineStr">
        <is>
          <t>0.56x reasonable for a low-margin, high-volume manufacturer.</t>
        </is>
      </c>
    </row>
    <row r="13">
      <c r="A13" s="3" t="inlineStr">
        <is>
          <t>Current Price Multiples</t>
        </is>
      </c>
    </row>
    <row r="14">
      <c r="A14" t="inlineStr">
        <is>
          <t>Market Cap (RMB bn)</t>
        </is>
      </c>
      <c r="B14" t="n">
        <v>608</v>
      </c>
    </row>
    <row r="15">
      <c r="A15" t="inlineStr">
        <is>
          <t>P/E FY2025</t>
        </is>
      </c>
      <c r="B15" t="n">
        <v>18.6</v>
      </c>
    </row>
    <row r="16">
      <c r="A16" t="inlineStr">
        <is>
          <t>EV/EBITDA FY2025</t>
        </is>
      </c>
      <c r="B16" t="n">
        <v>9.5</v>
      </c>
    </row>
    <row r="17">
      <c r="A17" t="inlineStr">
        <is>
          <t>P/S FY2025</t>
        </is>
      </c>
      <c r="B17" t="n">
        <v>0.76</v>
      </c>
    </row>
    <row r="19">
      <c r="A19" s="3" t="inlineStr">
        <is>
          <t>Base Case IV Multiples</t>
        </is>
      </c>
    </row>
    <row r="20">
      <c r="A20" t="inlineStr">
        <is>
          <t>Equity Value (RMB bn)</t>
        </is>
      </c>
      <c r="B20" t="n">
        <v>450</v>
      </c>
    </row>
    <row r="21">
      <c r="A21" t="inlineStr">
        <is>
          <t>P/E FY2025</t>
        </is>
      </c>
      <c r="B21" t="n">
        <v>13.8</v>
      </c>
    </row>
    <row r="22">
      <c r="A22" t="inlineStr">
        <is>
          <t>EV/EBITDA FY2025</t>
        </is>
      </c>
      <c r="B22" t="n">
        <v>6.6</v>
      </c>
    </row>
    <row r="23">
      <c r="A23" t="inlineStr">
        <is>
          <t>P/S FY2025</t>
        </is>
      </c>
      <c r="B23" t="n">
        <v>0.5600000000000001</v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70" customWidth="1" min="4" max="4"/>
  </cols>
  <sheetData>
    <row r="1">
      <c r="A1" s="1" t="inlineStr">
        <is>
          <t>Historical Growth Rates</t>
        </is>
      </c>
    </row>
    <row r="3">
      <c r="A3" s="5" t="inlineStr">
        <is>
          <t>Metric</t>
        </is>
      </c>
      <c r="B3" s="5" t="inlineStr">
        <is>
          <t>3-Year CAGR</t>
        </is>
      </c>
      <c r="C3" s="5" t="inlineStr">
        <is>
          <t>5-Year CAGR</t>
        </is>
      </c>
      <c r="D3" s="5" t="inlineStr">
        <is>
          <t>Note</t>
        </is>
      </c>
    </row>
    <row r="4">
      <c r="A4" t="inlineStr">
        <is>
          <t>Revenue</t>
        </is>
      </c>
      <c r="B4" s="10" t="n">
        <v>0.238</v>
      </c>
      <c r="C4" s="10" t="n">
        <v>0.393</v>
      </c>
      <c r="D4" s="16" t="inlineStr">
        <is>
          <t>FY2022 to FY2025: 424,061M -&gt; 803,965M</t>
        </is>
      </c>
    </row>
    <row r="5">
      <c r="A5" t="inlineStr">
        <is>
          <t>EPS</t>
        </is>
      </c>
      <c r="B5" s="10" t="n">
        <v>0.252</v>
      </c>
      <c r="C5" s="10" t="n">
        <v>0.502</v>
      </c>
      <c r="D5" s="16" t="inlineStr">
        <is>
          <t>FY2022 to FY2025, split-adjusted. Decline reflects margin compression despite revenue growth.</t>
        </is>
      </c>
    </row>
    <row r="6">
      <c r="A6" t="inlineStr">
        <is>
          <t>Equity</t>
        </is>
      </c>
      <c r="B6" s="10" t="n">
        <v>0.304</v>
      </c>
      <c r="C6" s="10" t="n">
        <v>0.341</v>
      </c>
      <c r="D6" s="16" t="inlineStr">
        <is>
          <t>FY2022 to FY2025. Boosted by USD5.6bn H-share placing March 2025; organic growth lower.</t>
        </is>
      </c>
    </row>
    <row r="7">
      <c r="A7" t="inlineStr">
        <is>
          <t>FCF</t>
        </is>
      </c>
      <c r="B7" t="inlineStr">
        <is>
          <t>N/A</t>
        </is>
      </c>
      <c r="C7" t="inlineStr">
        <is>
          <t>N/A</t>
        </is>
      </c>
      <c r="D7" s="16" t="inlineStr">
        <is>
          <t>FCF CAGRs not calculable — FY2025 FCF negative (-97,672M). BEST-EVER FCF margin was 4.6% (FY2024) — used as the terminal-margin cap.</t>
        </is>
      </c>
    </row>
    <row r="9">
      <c r="A9" t="inlineStr">
        <is>
          <t>Selected Growth Rate:</t>
        </is>
      </c>
      <c r="B9" s="15" t="n">
        <v>0.1</v>
      </c>
    </row>
    <row r="10">
      <c r="A10" t="inlineStr">
        <is>
          <t>Source:</t>
        </is>
      </c>
      <c r="B10" t="inlineStr">
        <is>
          <t>forward_consensus_anchored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2026-07-01T02:20:12Z</dcterms:created>
  <dcterms:modified xmlns:dcterms="http://purl.org/dc/terms/" xmlns:xsi="http://www.w3.org/2001/XMLSchema-instance" xsi:type="dcterms:W3CDTF">2026-07-01T02:20:12Z</dcterms:modified>
</cp:coreProperties>
</file>