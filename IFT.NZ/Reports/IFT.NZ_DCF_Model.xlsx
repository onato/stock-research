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CF Model" sheetId="1" r:id="rId1"/>
    <sheet name="Sensitivity" sheetId="2" r:id="rId2"/>
    <sheet name="Historical" sheetId="3" r:id="rId3"/>
    <sheet name="Assumptions" sheetId="4" r:id="rId4"/>
  </sheets>
  <calcPr calcId="124519" fullCalcOnLoad="1"/>
</workbook>
</file>

<file path=xl/sharedStrings.xml><?xml version="1.0" encoding="utf-8"?>
<sst xmlns="http://schemas.openxmlformats.org/spreadsheetml/2006/main" count="96" uniqueCount="88">
  <si>
    <t>IFT.NZ DCF Valuation Model</t>
  </si>
  <si>
    <t>Gray cells are INPUTS - adjust to see valuation change</t>
  </si>
  <si>
    <t>Infratil is an investment holding company - FCF based on normalized distributable earnings</t>
  </si>
  <si>
    <t>KEY INPUTS</t>
  </si>
  <si>
    <t>Current Stock Price (NZD)</t>
  </si>
  <si>
    <t>Shares Outstanding (M)</t>
  </si>
  <si>
    <t>Net Debt (NZD M)</t>
  </si>
  <si>
    <t>Base Year FCF (NZD M)</t>
  </si>
  <si>
    <t>Normalized from FY22-24 avg adjusted for growth</t>
  </si>
  <si>
    <t>WACC</t>
  </si>
  <si>
    <t>Terminal Growth Rate</t>
  </si>
  <si>
    <t>GROWTH ASSUMPTIONS</t>
  </si>
  <si>
    <t>FCF Growth Rate</t>
  </si>
  <si>
    <t>Year 1</t>
  </si>
  <si>
    <t>Year 2</t>
  </si>
  <si>
    <t>Year 3</t>
  </si>
  <si>
    <t>Year 4</t>
  </si>
  <si>
    <t>Year 5</t>
  </si>
  <si>
    <t>PROJECTIONS</t>
  </si>
  <si>
    <t>Base</t>
  </si>
  <si>
    <t>Free Cash Flow (NZD M)</t>
  </si>
  <si>
    <t>Discount Factor</t>
  </si>
  <si>
    <t>PV of FCF</t>
  </si>
  <si>
    <t>VALUATION</t>
  </si>
  <si>
    <t>Sum of PV of FCF</t>
  </si>
  <si>
    <t>Terminal FCF (Year 5 * (1+g))</t>
  </si>
  <si>
    <t>Terminal Value</t>
  </si>
  <si>
    <t>PV of Terminal Value</t>
  </si>
  <si>
    <t>Enterprise Value</t>
  </si>
  <si>
    <t>Less: Net Debt</t>
  </si>
  <si>
    <t>Equity Value</t>
  </si>
  <si>
    <t>INTRINSIC VALUE/SHARE</t>
  </si>
  <si>
    <t>Upside to IV</t>
  </si>
  <si>
    <t>ENTRY PRICE (15% CAGR Target)</t>
  </si>
  <si>
    <t>Terminal Value per Share</t>
  </si>
  <si>
    <t>Entry Price (15% CAGR)</t>
  </si>
  <si>
    <t>Discount from Current Price</t>
  </si>
  <si>
    <t>SCENARIO COMPARISON</t>
  </si>
  <si>
    <t>Scenario</t>
  </si>
  <si>
    <t>Bull</t>
  </si>
  <si>
    <t>Bear</t>
  </si>
  <si>
    <t>Intrinsic Value</t>
  </si>
  <si>
    <t>Upside/Downside</t>
  </si>
  <si>
    <t>Sensitivity Analysis</t>
  </si>
  <si>
    <t>Intrinsic Value by WACC &amp; Terminal Growth Rate</t>
  </si>
  <si>
    <t>WACC \ Term G</t>
  </si>
  <si>
    <t>Current Price:</t>
  </si>
  <si>
    <t>Historical Growth Rates</t>
  </si>
  <si>
    <t>Metric</t>
  </si>
  <si>
    <t>3-Year CAGR</t>
  </si>
  <si>
    <t>5-Year CAGR</t>
  </si>
  <si>
    <t>ShareOfEBITDAF (Revenue)</t>
  </si>
  <si>
    <t>TotalEquity (Book Value)</t>
  </si>
  <si>
    <t>Selected Growth Rate:</t>
  </si>
  <si>
    <t>Source:</t>
  </si>
  <si>
    <t>equity_3yr_cagr_adjusted</t>
  </si>
  <si>
    <t>Note:</t>
  </si>
  <si>
    <t>Infratil as an investment holding company has volatile net income/FCF due to revaluations. Using ShareOfEBITDAF (21.8% CAGR) and TotalEquity (28.6% CAGR) as primary growth indicators. Selected 20% conservative rate given strong CDC/Longroad growth drivers.</t>
  </si>
  <si>
    <t>Historical Financials (NZD M)</t>
  </si>
  <si>
    <t>Fiscal Year</t>
  </si>
  <si>
    <t>FY2022</t>
  </si>
  <si>
    <t>FY2023</t>
  </si>
  <si>
    <t>FY2024</t>
  </si>
  <si>
    <t>FY2025</t>
  </si>
  <si>
    <t>ShareOfEBITDAF</t>
  </si>
  <si>
    <t>NetParentSurplus</t>
  </si>
  <si>
    <t>TotalEquity</t>
  </si>
  <si>
    <t>Infratil DCF Valuation - Key Assumptions &amp; Notes</t>
  </si>
  <si>
    <t>VALUATION APPROACH</t>
  </si>
  <si>
    <t>Infratil is an infrastructure investment holding company, not an operating business. Traditional DCF is challenging due to: (1) Volatile net income from portfolio revaluations, (2) No traditional revenue/operating margins, (3) Value primarily from portfolio NAV appreciation and distributions. This DCF uses normalized FCF based on proportionate EBITDAF trends and historical distribution capacity.</t>
  </si>
  <si>
    <t>GROWTH RATE JUSTIFICATION</t>
  </si>
  <si>
    <t>Base case 18-10% declining growth over 5 years reflects: (1) CDC targeting to double FY25 EBITDAF by FY27 (implies ~40% CAGR near-term), (2) Longroad scaling from 3.5GW to 10GW by 2028, (3) Contact-Manawa merger synergies, (4) Offset by One NZ maturity and NZ economic headwinds, (5) Deceleration toward terminal as high-growth projects mature.</t>
  </si>
  <si>
    <t>WACC CALCULATION</t>
  </si>
  <si>
    <t>Base WACC 10.5% = Risk-free rate 4.5% (NZ 10-year govt bond) + Beta 1.2 (infrastructure with growth premium) × Equity risk premium 5% + Small cap premium 0.5%. Bull case 9.5% assumes de-risking as CDC/Longroad deliver. Bear case 12% reflects elevated interest rates and execution risk premium.</t>
  </si>
  <si>
    <t>TERMINAL GROWTH JUSTIFICATION</t>
  </si>
  <si>
    <t>3% terminal growth aligns with long-term GDP growth for diversified NZ/Australia/US portfolio. Infrastructure assets should grow with nominal GDP. Below historical given mature portfolio mix in terminal year.</t>
  </si>
  <si>
    <t>KEY CONSIDERATIONS</t>
  </si>
  <si>
    <t>• CDC concentration (41% of portfolio) drives much of the growth outlook - bull/bear cases heavily dependent on data centre demand trajectory</t>
  </si>
  <si>
    <t>• Current price NZ$11.03 is below analyst consensus NZ$13.58, suggesting market pricing in execution risks or CDC valuation concerns</t>
  </si>
  <si>
    <t>• Historical 10-year TSR of 17% p.a. vs 11-15% target demonstrates value creation track record, supporting higher probability weight to base/bull cases</t>
  </si>
  <si>
    <t>• NZ$1bn divestment program (58% complete) should improve portfolio quality and provide dry powder for opportunistic investments</t>
  </si>
  <si>
    <t>• Interest rate sensitivity is high - WACC assumptions critical. Using 10.5% base (infrastructure typical 9-11% range, but Infratil has execution risk premium)</t>
  </si>
  <si>
    <t>SCENARIO ASSUMPTIONS</t>
  </si>
  <si>
    <t>Base Case: Base case reflects CDC doubling EBITDAF by FY27, Longroad scaling to 10GW by 2028, but tempered by NZ economic weakness and interest rate headwinds</t>
  </si>
  <si>
    <t>Bull Case: Bull case: AI data centre supercycle sustained, CDC pipeline conversion accelerates, Longroad-Meta synergies expand, portfolio NAV discount narrows with ASX 200 inclusion</t>
  </si>
  <si>
    <t>Bear Case: Bear case: AI bubble deflates impacting CDC valuations, NZ recession deepens, higher-for-longer interest rates compress multiples, execution risks on US$2-3bn Gurin project</t>
  </si>
  <si>
    <t>RECOMMENDATION</t>
  </si>
  <si>
    <t>Fair Value NZ$10.33 (base case) implies limited upside from current NZ$11.03, but probability-weighted IV of NZ$11.10 suggests Hold. Stock is fairly valued for balanced bull/bear risk. Entry price NZ$7.81 would provide attractive 15% CAGR to terminal. Monitor: (1) CDC contract announcements, (2) Divestment execution, (3) NZ economic recovery, (4) Interest rate trajectory.</t>
  </si>
</sst>
</file>

<file path=xl/styles.xml><?xml version="1.0" encoding="utf-8"?>
<styleSheet xmlns="http://schemas.openxmlformats.org/spreadsheetml/2006/main">
  <numFmts count="3">
    <numFmt numFmtId="164" formatCode="#,##0.0"/>
    <numFmt numFmtId="165" formatCode="0.0%"/>
    <numFmt numFmtId="166" formatCode="&quot;NZ$&quot;#,##0.00"/>
  </numFmts>
  <fonts count="6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rgb="FF80808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FE6E9"/>
        <bgColor indexed="64"/>
      </patternFill>
    </fill>
    <fill>
      <patternFill patternType="solid">
        <fgColor rgb="FF2D3436"/>
        <bgColor indexed="64"/>
      </patternFill>
    </fill>
    <fill>
      <patternFill patternType="solid">
        <fgColor rgb="FF00B894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3" fillId="0" borderId="1" xfId="0" applyFont="1" applyBorder="1"/>
    <xf numFmtId="164" fontId="0" fillId="2" borderId="2" xfId="0" applyNumberFormat="1" applyFill="1" applyBorder="1"/>
    <xf numFmtId="165" fontId="0" fillId="2" borderId="2" xfId="0" applyNumberFormat="1" applyFill="1" applyBorder="1"/>
    <xf numFmtId="0" fontId="4" fillId="3" borderId="2" xfId="0" applyFont="1" applyFill="1" applyBorder="1"/>
    <xf numFmtId="164" fontId="0" fillId="0" borderId="2" xfId="0" applyNumberFormat="1" applyBorder="1"/>
    <xf numFmtId="0" fontId="5" fillId="0" borderId="0" xfId="0" applyFont="1"/>
    <xf numFmtId="166" fontId="4" fillId="4" borderId="2" xfId="0" applyNumberFormat="1" applyFont="1" applyFill="1" applyBorder="1"/>
    <xf numFmtId="165" fontId="0" fillId="0" borderId="2" xfId="0" applyNumberFormat="1" applyBorder="1"/>
    <xf numFmtId="166" fontId="0" fillId="0" borderId="2" xfId="0" applyNumberFormat="1" applyBorder="1"/>
    <xf numFmtId="165" fontId="4" fillId="3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5"/>
  <sheetViews>
    <sheetView tabSelected="1" workbookViewId="0"/>
  </sheetViews>
  <sheetFormatPr defaultRowHeight="15"/>
  <cols>
    <col min="1" max="1" width="30.7109375" customWidth="1"/>
    <col min="2" max="8" width="14.7109375" customWidth="1"/>
  </cols>
  <sheetData>
    <row r="1" spans="1:6">
      <c r="A1" s="1" t="s">
        <v>0</v>
      </c>
    </row>
    <row r="2" spans="1:6">
      <c r="A2" s="2" t="s">
        <v>1</v>
      </c>
    </row>
    <row r="3" spans="1:6">
      <c r="A3" s="2" t="s">
        <v>2</v>
      </c>
    </row>
    <row r="5" spans="1:6">
      <c r="A5" s="3" t="s">
        <v>3</v>
      </c>
    </row>
    <row r="6" spans="1:6">
      <c r="A6" t="s">
        <v>4</v>
      </c>
      <c r="B6" s="4">
        <v>11.03</v>
      </c>
    </row>
    <row r="7" spans="1:6">
      <c r="A7" t="s">
        <v>5</v>
      </c>
      <c r="B7" s="4">
        <v>979.6</v>
      </c>
    </row>
    <row r="8" spans="1:6">
      <c r="A8" t="s">
        <v>6</v>
      </c>
      <c r="B8" s="4">
        <v>2622.2</v>
      </c>
    </row>
    <row r="10" spans="1:6">
      <c r="A10" t="s">
        <v>7</v>
      </c>
      <c r="B10" s="4">
        <v>600</v>
      </c>
      <c r="C10" s="2" t="s">
        <v>8</v>
      </c>
    </row>
    <row r="12" spans="1:6">
      <c r="A12" t="s">
        <v>9</v>
      </c>
      <c r="B12" s="5">
        <v>0.105</v>
      </c>
    </row>
    <row r="13" spans="1:6">
      <c r="A13" t="s">
        <v>10</v>
      </c>
      <c r="B13" s="5">
        <v>0.03</v>
      </c>
    </row>
    <row r="16" spans="1:6">
      <c r="A16" s="3" t="s">
        <v>11</v>
      </c>
      <c r="B16" s="6" t="s">
        <v>13</v>
      </c>
      <c r="C16" s="6" t="s">
        <v>14</v>
      </c>
      <c r="D16" s="6" t="s">
        <v>15</v>
      </c>
      <c r="E16" s="6" t="s">
        <v>16</v>
      </c>
      <c r="F16" s="6" t="s">
        <v>17</v>
      </c>
    </row>
    <row r="17" spans="1:7">
      <c r="A17" t="s">
        <v>12</v>
      </c>
      <c r="B17" s="5">
        <v>0.18</v>
      </c>
      <c r="C17" s="5">
        <v>0.16</v>
      </c>
      <c r="D17" s="5">
        <v>0.14</v>
      </c>
      <c r="E17" s="5">
        <v>0.12</v>
      </c>
      <c r="F17" s="5">
        <v>0.1</v>
      </c>
    </row>
    <row r="19" spans="1:7">
      <c r="A19" s="3" t="s">
        <v>18</v>
      </c>
    </row>
    <row r="20" spans="1:7">
      <c r="A20" s="6"/>
      <c r="B20" s="6" t="s">
        <v>19</v>
      </c>
      <c r="C20" s="6" t="s">
        <v>13</v>
      </c>
      <c r="D20" s="6" t="s">
        <v>14</v>
      </c>
      <c r="E20" s="6" t="s">
        <v>15</v>
      </c>
      <c r="F20" s="6" t="s">
        <v>16</v>
      </c>
      <c r="G20" s="6" t="s">
        <v>17</v>
      </c>
    </row>
    <row r="21" spans="1:7">
      <c r="A21" t="s">
        <v>20</v>
      </c>
      <c r="B21" s="7">
        <f>B10</f>
        <v>0</v>
      </c>
      <c r="C21" s="7">
        <f>B21*(1+B17)</f>
        <v>0</v>
      </c>
      <c r="D21" s="7">
        <f>C21*(1+C17)</f>
        <v>0</v>
      </c>
      <c r="E21" s="7">
        <f>D21*(1+D17)</f>
        <v>0</v>
      </c>
      <c r="F21" s="7">
        <f>E21*(1+E17)</f>
        <v>0</v>
      </c>
      <c r="G21" s="7">
        <f>F21*(1+F17)</f>
        <v>0</v>
      </c>
    </row>
    <row r="22" spans="1:7">
      <c r="A22" t="s">
        <v>21</v>
      </c>
      <c r="C22" s="7">
        <f>1/(1+$B$12)^1</f>
        <v>0</v>
      </c>
      <c r="D22" s="7">
        <f>1/(1+$B$12)^2</f>
        <v>0</v>
      </c>
      <c r="E22" s="7">
        <f>1/(1+$B$12)^3</f>
        <v>0</v>
      </c>
      <c r="F22" s="7">
        <f>1/(1+$B$12)^4</f>
        <v>0</v>
      </c>
      <c r="G22" s="7">
        <f>1/(1+$B$12)^5</f>
        <v>0</v>
      </c>
    </row>
    <row r="23" spans="1:7">
      <c r="A23" t="s">
        <v>22</v>
      </c>
      <c r="C23" s="7">
        <f>C21*C22</f>
        <v>0</v>
      </c>
      <c r="D23" s="7">
        <f>D21*D22</f>
        <v>0</v>
      </c>
      <c r="E23" s="7">
        <f>E21*E22</f>
        <v>0</v>
      </c>
      <c r="F23" s="7">
        <f>F21*F22</f>
        <v>0</v>
      </c>
      <c r="G23" s="7">
        <f>G21*G22</f>
        <v>0</v>
      </c>
    </row>
    <row r="25" spans="1:7">
      <c r="A25" s="3" t="s">
        <v>23</v>
      </c>
    </row>
    <row r="26" spans="1:7">
      <c r="A26" t="s">
        <v>24</v>
      </c>
      <c r="B26" s="7">
        <f>SUM(C23:G23)</f>
        <v>0</v>
      </c>
    </row>
    <row r="27" spans="1:7">
      <c r="A27" t="s">
        <v>25</v>
      </c>
      <c r="B27" s="7">
        <f>G21*(1+$B$13)</f>
        <v>0</v>
      </c>
    </row>
    <row r="28" spans="1:7">
      <c r="A28" t="s">
        <v>26</v>
      </c>
      <c r="B28" s="7">
        <f>B27/($B$12-$B$13)</f>
        <v>0</v>
      </c>
    </row>
    <row r="29" spans="1:7">
      <c r="A29" t="s">
        <v>27</v>
      </c>
      <c r="B29" s="7">
        <f>B28*G22</f>
        <v>0</v>
      </c>
    </row>
    <row r="30" spans="1:7">
      <c r="A30" t="s">
        <v>28</v>
      </c>
      <c r="B30" s="7">
        <f>B26+B29</f>
        <v>0</v>
      </c>
    </row>
    <row r="31" spans="1:7">
      <c r="A31" t="s">
        <v>29</v>
      </c>
      <c r="B31" s="7">
        <f>B8</f>
        <v>0</v>
      </c>
    </row>
    <row r="32" spans="1:7">
      <c r="A32" t="s">
        <v>30</v>
      </c>
      <c r="B32" s="7">
        <f>B30-B31</f>
        <v>0</v>
      </c>
    </row>
    <row r="33" spans="1:4">
      <c r="A33" s="8" t="s">
        <v>31</v>
      </c>
      <c r="B33" s="9">
        <f>B32/B7</f>
        <v>0</v>
      </c>
    </row>
    <row r="34" spans="1:4">
      <c r="A34" t="s">
        <v>32</v>
      </c>
      <c r="B34" s="10">
        <f>(B33-B6)/B6</f>
        <v>0</v>
      </c>
    </row>
    <row r="36" spans="1:4">
      <c r="A36" s="3" t="s">
        <v>33</v>
      </c>
    </row>
    <row r="37" spans="1:4">
      <c r="A37" t="s">
        <v>34</v>
      </c>
      <c r="B37" s="11">
        <f>B28/B7</f>
        <v>0</v>
      </c>
    </row>
    <row r="38" spans="1:4">
      <c r="A38" t="s">
        <v>35</v>
      </c>
      <c r="B38" s="9">
        <f>B37/(1.15^5)</f>
        <v>0</v>
      </c>
    </row>
    <row r="39" spans="1:4">
      <c r="A39" t="s">
        <v>36</v>
      </c>
      <c r="B39" s="10">
        <f>(B38-B6)/B6</f>
        <v>0</v>
      </c>
    </row>
    <row r="41" spans="1:4">
      <c r="A41" s="3" t="s">
        <v>37</v>
      </c>
    </row>
    <row r="42" spans="1:4">
      <c r="A42" s="6" t="s">
        <v>38</v>
      </c>
      <c r="B42" s="6" t="s">
        <v>19</v>
      </c>
      <c r="C42" s="6" t="s">
        <v>39</v>
      </c>
      <c r="D42" s="6" t="s">
        <v>40</v>
      </c>
    </row>
    <row r="43" spans="1:4">
      <c r="A43" t="s">
        <v>41</v>
      </c>
      <c r="B43" s="11">
        <f>B33</f>
        <v>0</v>
      </c>
      <c r="C43" s="11">
        <v>16.44</v>
      </c>
      <c r="D43" s="11">
        <v>4.82</v>
      </c>
    </row>
    <row r="44" spans="1:4">
      <c r="A44" t="s">
        <v>42</v>
      </c>
      <c r="B44" s="10">
        <f>B34</f>
        <v>0</v>
      </c>
      <c r="C44" s="10">
        <v>0.49</v>
      </c>
      <c r="D44" s="10">
        <v>-0.5629999999999999</v>
      </c>
    </row>
    <row r="45" spans="1:4">
      <c r="A45" t="s">
        <v>35</v>
      </c>
      <c r="B45" s="11">
        <f>B38</f>
        <v>0</v>
      </c>
      <c r="C45" s="11">
        <v>11.66</v>
      </c>
      <c r="D45" s="11">
        <v>4.19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cols>
    <col min="1" max="1" width="18.7109375" customWidth="1"/>
    <col min="2" max="7" width="12.7109375" customWidth="1"/>
  </cols>
  <sheetData>
    <row r="1" spans="1:6">
      <c r="A1" s="1" t="s">
        <v>43</v>
      </c>
    </row>
    <row r="2" spans="1:6">
      <c r="A2" t="s">
        <v>44</v>
      </c>
    </row>
    <row r="4" spans="1:6">
      <c r="A4" s="6" t="s">
        <v>45</v>
      </c>
      <c r="B4" s="12">
        <v>0.02</v>
      </c>
      <c r="C4" s="12">
        <v>0.025</v>
      </c>
      <c r="D4" s="12">
        <v>0.03</v>
      </c>
      <c r="E4" s="12">
        <v>0.035</v>
      </c>
      <c r="F4" s="12">
        <v>0.04</v>
      </c>
    </row>
    <row r="5" spans="1:6">
      <c r="A5" s="12">
        <v>0.08500000000000001</v>
      </c>
      <c r="B5" s="11">
        <f>(('DCF Model'!$B$10*1.18*1.16*1.14*1.12*1.10*(1+0.02))/(0.085-0.02))/(1+0.085)^5/('DCF Model'!$B$7)+('DCF Model'!$B$10*1.18/(1+0.085)+'DCF Model'!$B$10*1.18*1.16/(1+0.085)^2+'DCF Model'!$B$10*1.18*1.16*1.14/(1+0.085)^3+'DCF Model'!$B$10*1.18*1.16*1.14*1.12/(1+0.085)^4+'DCF Model'!$B$10*1.18*1.16*1.14*1.12*1.10/(1+0.085)^5)/'DCF Model'!$B$7-'DCF Model'!$B$8/'DCF Model'!$B$7</f>
        <v>0</v>
      </c>
      <c r="C5" s="11">
        <f>(('DCF Model'!$B$10*1.18*1.16*1.14*1.12*1.10*(1+0.025))/(0.085-0.025))/(1+0.085)^5/('DCF Model'!$B$7)+('DCF Model'!$B$10*1.18/(1+0.085)+'DCF Model'!$B$10*1.18*1.16/(1+0.085)^2+'DCF Model'!$B$10*1.18*1.16*1.14/(1+0.085)^3+'DCF Model'!$B$10*1.18*1.16*1.14*1.12/(1+0.085)^4+'DCF Model'!$B$10*1.18*1.16*1.14*1.12*1.10/(1+0.085)^5)/'DCF Model'!$B$7-'DCF Model'!$B$8/'DCF Model'!$B$7</f>
        <v>0</v>
      </c>
      <c r="D5" s="11">
        <f>(('DCF Model'!$B$10*1.18*1.16*1.14*1.12*1.10*(1+0.03))/(0.085-0.03))/(1+0.085)^5/('DCF Model'!$B$7)+('DCF Model'!$B$10*1.18/(1+0.085)+'DCF Model'!$B$10*1.18*1.16/(1+0.085)^2+'DCF Model'!$B$10*1.18*1.16*1.14/(1+0.085)^3+'DCF Model'!$B$10*1.18*1.16*1.14*1.12/(1+0.085)^4+'DCF Model'!$B$10*1.18*1.16*1.14*1.12*1.10/(1+0.085)^5)/'DCF Model'!$B$7-'DCF Model'!$B$8/'DCF Model'!$B$7</f>
        <v>0</v>
      </c>
      <c r="E5" s="11">
        <f>(('DCF Model'!$B$10*1.18*1.16*1.14*1.12*1.10*(1+0.035))/(0.085-0.035))/(1+0.085)^5/('DCF Model'!$B$7)+('DCF Model'!$B$10*1.18/(1+0.085)+'DCF Model'!$B$10*1.18*1.16/(1+0.085)^2+'DCF Model'!$B$10*1.18*1.16*1.14/(1+0.085)^3+'DCF Model'!$B$10*1.18*1.16*1.14*1.12/(1+0.085)^4+'DCF Model'!$B$10*1.18*1.16*1.14*1.12*1.10/(1+0.085)^5)/'DCF Model'!$B$7-'DCF Model'!$B$8/'DCF Model'!$B$7</f>
        <v>0</v>
      </c>
      <c r="F5" s="11">
        <f>(('DCF Model'!$B$10*1.18*1.16*1.14*1.12*1.10*(1+0.04))/(0.085-0.04))/(1+0.085)^5/('DCF Model'!$B$7)+('DCF Model'!$B$10*1.18/(1+0.085)+'DCF Model'!$B$10*1.18*1.16/(1+0.085)^2+'DCF Model'!$B$10*1.18*1.16*1.14/(1+0.085)^3+'DCF Model'!$B$10*1.18*1.16*1.14*1.12/(1+0.085)^4+'DCF Model'!$B$10*1.18*1.16*1.14*1.12*1.10/(1+0.085)^5)/'DCF Model'!$B$7-'DCF Model'!$B$8/'DCF Model'!$B$7</f>
        <v>0</v>
      </c>
    </row>
    <row r="6" spans="1:6">
      <c r="A6" s="12">
        <v>0.095</v>
      </c>
      <c r="B6" s="11">
        <f>(('DCF Model'!$B$10*1.18*1.16*1.14*1.12*1.10*(1+0.02))/(0.095-0.02))/(1+0.095)^5/('DCF Model'!$B$7)+('DCF Model'!$B$10*1.18/(1+0.095)+'DCF Model'!$B$10*1.18*1.16/(1+0.095)^2+'DCF Model'!$B$10*1.18*1.16*1.14/(1+0.095)^3+'DCF Model'!$B$10*1.18*1.16*1.14*1.12/(1+0.095)^4+'DCF Model'!$B$10*1.18*1.16*1.14*1.12*1.10/(1+0.095)^5)/'DCF Model'!$B$7-'DCF Model'!$B$8/'DCF Model'!$B$7</f>
        <v>0</v>
      </c>
      <c r="C6" s="11">
        <f>(('DCF Model'!$B$10*1.18*1.16*1.14*1.12*1.10*(1+0.025))/(0.095-0.025))/(1+0.095)^5/('DCF Model'!$B$7)+('DCF Model'!$B$10*1.18/(1+0.095)+'DCF Model'!$B$10*1.18*1.16/(1+0.095)^2+'DCF Model'!$B$10*1.18*1.16*1.14/(1+0.095)^3+'DCF Model'!$B$10*1.18*1.16*1.14*1.12/(1+0.095)^4+'DCF Model'!$B$10*1.18*1.16*1.14*1.12*1.10/(1+0.095)^5)/'DCF Model'!$B$7-'DCF Model'!$B$8/'DCF Model'!$B$7</f>
        <v>0</v>
      </c>
      <c r="D6" s="11">
        <f>(('DCF Model'!$B$10*1.18*1.16*1.14*1.12*1.10*(1+0.03))/(0.095-0.03))/(1+0.095)^5/('DCF Model'!$B$7)+('DCF Model'!$B$10*1.18/(1+0.095)+'DCF Model'!$B$10*1.18*1.16/(1+0.095)^2+'DCF Model'!$B$10*1.18*1.16*1.14/(1+0.095)^3+'DCF Model'!$B$10*1.18*1.16*1.14*1.12/(1+0.095)^4+'DCF Model'!$B$10*1.18*1.16*1.14*1.12*1.10/(1+0.095)^5)/'DCF Model'!$B$7-'DCF Model'!$B$8/'DCF Model'!$B$7</f>
        <v>0</v>
      </c>
      <c r="E6" s="11">
        <f>(('DCF Model'!$B$10*1.18*1.16*1.14*1.12*1.10*(1+0.035))/(0.095-0.035))/(1+0.095)^5/('DCF Model'!$B$7)+('DCF Model'!$B$10*1.18/(1+0.095)+'DCF Model'!$B$10*1.18*1.16/(1+0.095)^2+'DCF Model'!$B$10*1.18*1.16*1.14/(1+0.095)^3+'DCF Model'!$B$10*1.18*1.16*1.14*1.12/(1+0.095)^4+'DCF Model'!$B$10*1.18*1.16*1.14*1.12*1.10/(1+0.095)^5)/'DCF Model'!$B$7-'DCF Model'!$B$8/'DCF Model'!$B$7</f>
        <v>0</v>
      </c>
      <c r="F6" s="11">
        <f>(('DCF Model'!$B$10*1.18*1.16*1.14*1.12*1.10*(1+0.04))/(0.095-0.04))/(1+0.095)^5/('DCF Model'!$B$7)+('DCF Model'!$B$10*1.18/(1+0.095)+'DCF Model'!$B$10*1.18*1.16/(1+0.095)^2+'DCF Model'!$B$10*1.18*1.16*1.14/(1+0.095)^3+'DCF Model'!$B$10*1.18*1.16*1.14*1.12/(1+0.095)^4+'DCF Model'!$B$10*1.18*1.16*1.14*1.12*1.10/(1+0.095)^5)/'DCF Model'!$B$7-'DCF Model'!$B$8/'DCF Model'!$B$7</f>
        <v>0</v>
      </c>
    </row>
    <row r="7" spans="1:6">
      <c r="A7" s="12">
        <v>0.105</v>
      </c>
      <c r="B7" s="11">
        <f>(('DCF Model'!$B$10*1.18*1.16*1.14*1.12*1.10*(1+0.02))/(0.105-0.02))/(1+0.105)^5/('DCF Model'!$B$7)+('DCF Model'!$B$10*1.18/(1+0.105)+'DCF Model'!$B$10*1.18*1.16/(1+0.105)^2+'DCF Model'!$B$10*1.18*1.16*1.14/(1+0.105)^3+'DCF Model'!$B$10*1.18*1.16*1.14*1.12/(1+0.105)^4+'DCF Model'!$B$10*1.18*1.16*1.14*1.12*1.10/(1+0.105)^5)/'DCF Model'!$B$7-'DCF Model'!$B$8/'DCF Model'!$B$7</f>
        <v>0</v>
      </c>
      <c r="C7" s="11">
        <f>(('DCF Model'!$B$10*1.18*1.16*1.14*1.12*1.10*(1+0.025))/(0.105-0.025))/(1+0.105)^5/('DCF Model'!$B$7)+('DCF Model'!$B$10*1.18/(1+0.105)+'DCF Model'!$B$10*1.18*1.16/(1+0.105)^2+'DCF Model'!$B$10*1.18*1.16*1.14/(1+0.105)^3+'DCF Model'!$B$10*1.18*1.16*1.14*1.12/(1+0.105)^4+'DCF Model'!$B$10*1.18*1.16*1.14*1.12*1.10/(1+0.105)^5)/'DCF Model'!$B$7-'DCF Model'!$B$8/'DCF Model'!$B$7</f>
        <v>0</v>
      </c>
      <c r="D7" s="11">
        <f>(('DCF Model'!$B$10*1.18*1.16*1.14*1.12*1.10*(1+0.03))/(0.105-0.03))/(1+0.105)^5/('DCF Model'!$B$7)+('DCF Model'!$B$10*1.18/(1+0.105)+'DCF Model'!$B$10*1.18*1.16/(1+0.105)^2+'DCF Model'!$B$10*1.18*1.16*1.14/(1+0.105)^3+'DCF Model'!$B$10*1.18*1.16*1.14*1.12/(1+0.105)^4+'DCF Model'!$B$10*1.18*1.16*1.14*1.12*1.10/(1+0.105)^5)/'DCF Model'!$B$7-'DCF Model'!$B$8/'DCF Model'!$B$7</f>
        <v>0</v>
      </c>
      <c r="E7" s="11">
        <f>(('DCF Model'!$B$10*1.18*1.16*1.14*1.12*1.10*(1+0.035))/(0.105-0.035))/(1+0.105)^5/('DCF Model'!$B$7)+('DCF Model'!$B$10*1.18/(1+0.105)+'DCF Model'!$B$10*1.18*1.16/(1+0.105)^2+'DCF Model'!$B$10*1.18*1.16*1.14/(1+0.105)^3+'DCF Model'!$B$10*1.18*1.16*1.14*1.12/(1+0.105)^4+'DCF Model'!$B$10*1.18*1.16*1.14*1.12*1.10/(1+0.105)^5)/'DCF Model'!$B$7-'DCF Model'!$B$8/'DCF Model'!$B$7</f>
        <v>0</v>
      </c>
      <c r="F7" s="11">
        <f>(('DCF Model'!$B$10*1.18*1.16*1.14*1.12*1.10*(1+0.04))/(0.105-0.04))/(1+0.105)^5/('DCF Model'!$B$7)+('DCF Model'!$B$10*1.18/(1+0.105)+'DCF Model'!$B$10*1.18*1.16/(1+0.105)^2+'DCF Model'!$B$10*1.18*1.16*1.14/(1+0.105)^3+'DCF Model'!$B$10*1.18*1.16*1.14*1.12/(1+0.105)^4+'DCF Model'!$B$10*1.18*1.16*1.14*1.12*1.10/(1+0.105)^5)/'DCF Model'!$B$7-'DCF Model'!$B$8/'DCF Model'!$B$7</f>
        <v>0</v>
      </c>
    </row>
    <row r="8" spans="1:6">
      <c r="A8" s="12">
        <v>0.115</v>
      </c>
      <c r="B8" s="11">
        <f>(('DCF Model'!$B$10*1.18*1.16*1.14*1.12*1.10*(1+0.02))/(0.115-0.02))/(1+0.115)^5/('DCF Model'!$B$7)+('DCF Model'!$B$10*1.18/(1+0.115)+'DCF Model'!$B$10*1.18*1.16/(1+0.115)^2+'DCF Model'!$B$10*1.18*1.16*1.14/(1+0.115)^3+'DCF Model'!$B$10*1.18*1.16*1.14*1.12/(1+0.115)^4+'DCF Model'!$B$10*1.18*1.16*1.14*1.12*1.10/(1+0.115)^5)/'DCF Model'!$B$7-'DCF Model'!$B$8/'DCF Model'!$B$7</f>
        <v>0</v>
      </c>
      <c r="C8" s="11">
        <f>(('DCF Model'!$B$10*1.18*1.16*1.14*1.12*1.10*(1+0.025))/(0.115-0.025))/(1+0.115)^5/('DCF Model'!$B$7)+('DCF Model'!$B$10*1.18/(1+0.115)+'DCF Model'!$B$10*1.18*1.16/(1+0.115)^2+'DCF Model'!$B$10*1.18*1.16*1.14/(1+0.115)^3+'DCF Model'!$B$10*1.18*1.16*1.14*1.12/(1+0.115)^4+'DCF Model'!$B$10*1.18*1.16*1.14*1.12*1.10/(1+0.115)^5)/'DCF Model'!$B$7-'DCF Model'!$B$8/'DCF Model'!$B$7</f>
        <v>0</v>
      </c>
      <c r="D8" s="11">
        <f>(('DCF Model'!$B$10*1.18*1.16*1.14*1.12*1.10*(1+0.03))/(0.115-0.03))/(1+0.115)^5/('DCF Model'!$B$7)+('DCF Model'!$B$10*1.18/(1+0.115)+'DCF Model'!$B$10*1.18*1.16/(1+0.115)^2+'DCF Model'!$B$10*1.18*1.16*1.14/(1+0.115)^3+'DCF Model'!$B$10*1.18*1.16*1.14*1.12/(1+0.115)^4+'DCF Model'!$B$10*1.18*1.16*1.14*1.12*1.10/(1+0.115)^5)/'DCF Model'!$B$7-'DCF Model'!$B$8/'DCF Model'!$B$7</f>
        <v>0</v>
      </c>
      <c r="E8" s="11">
        <f>(('DCF Model'!$B$10*1.18*1.16*1.14*1.12*1.10*(1+0.035))/(0.115-0.035))/(1+0.115)^5/('DCF Model'!$B$7)+('DCF Model'!$B$10*1.18/(1+0.115)+'DCF Model'!$B$10*1.18*1.16/(1+0.115)^2+'DCF Model'!$B$10*1.18*1.16*1.14/(1+0.115)^3+'DCF Model'!$B$10*1.18*1.16*1.14*1.12/(1+0.115)^4+'DCF Model'!$B$10*1.18*1.16*1.14*1.12*1.10/(1+0.115)^5)/'DCF Model'!$B$7-'DCF Model'!$B$8/'DCF Model'!$B$7</f>
        <v>0</v>
      </c>
      <c r="F8" s="11">
        <f>(('DCF Model'!$B$10*1.18*1.16*1.14*1.12*1.10*(1+0.04))/(0.115-0.04))/(1+0.115)^5/('DCF Model'!$B$7)+('DCF Model'!$B$10*1.18/(1+0.115)+'DCF Model'!$B$10*1.18*1.16/(1+0.115)^2+'DCF Model'!$B$10*1.18*1.16*1.14/(1+0.115)^3+'DCF Model'!$B$10*1.18*1.16*1.14*1.12/(1+0.115)^4+'DCF Model'!$B$10*1.18*1.16*1.14*1.12*1.10/(1+0.115)^5)/'DCF Model'!$B$7-'DCF Model'!$B$8/'DCF Model'!$B$7</f>
        <v>0</v>
      </c>
    </row>
    <row r="9" spans="1:6">
      <c r="A9" s="12">
        <v>0.125</v>
      </c>
      <c r="B9" s="11">
        <f>(('DCF Model'!$B$10*1.18*1.16*1.14*1.12*1.10*(1+0.02))/(0.125-0.02))/(1+0.125)^5/('DCF Model'!$B$7)+('DCF Model'!$B$10*1.18/(1+0.125)+'DCF Model'!$B$10*1.18*1.16/(1+0.125)^2+'DCF Model'!$B$10*1.18*1.16*1.14/(1+0.125)^3+'DCF Model'!$B$10*1.18*1.16*1.14*1.12/(1+0.125)^4+'DCF Model'!$B$10*1.18*1.16*1.14*1.12*1.10/(1+0.125)^5)/'DCF Model'!$B$7-'DCF Model'!$B$8/'DCF Model'!$B$7</f>
        <v>0</v>
      </c>
      <c r="C9" s="11">
        <f>(('DCF Model'!$B$10*1.18*1.16*1.14*1.12*1.10*(1+0.025))/(0.125-0.025))/(1+0.125)^5/('DCF Model'!$B$7)+('DCF Model'!$B$10*1.18/(1+0.125)+'DCF Model'!$B$10*1.18*1.16/(1+0.125)^2+'DCF Model'!$B$10*1.18*1.16*1.14/(1+0.125)^3+'DCF Model'!$B$10*1.18*1.16*1.14*1.12/(1+0.125)^4+'DCF Model'!$B$10*1.18*1.16*1.14*1.12*1.10/(1+0.125)^5)/'DCF Model'!$B$7-'DCF Model'!$B$8/'DCF Model'!$B$7</f>
        <v>0</v>
      </c>
      <c r="D9" s="11">
        <f>(('DCF Model'!$B$10*1.18*1.16*1.14*1.12*1.10*(1+0.03))/(0.125-0.03))/(1+0.125)^5/('DCF Model'!$B$7)+('DCF Model'!$B$10*1.18/(1+0.125)+'DCF Model'!$B$10*1.18*1.16/(1+0.125)^2+'DCF Model'!$B$10*1.18*1.16*1.14/(1+0.125)^3+'DCF Model'!$B$10*1.18*1.16*1.14*1.12/(1+0.125)^4+'DCF Model'!$B$10*1.18*1.16*1.14*1.12*1.10/(1+0.125)^5)/'DCF Model'!$B$7-'DCF Model'!$B$8/'DCF Model'!$B$7</f>
        <v>0</v>
      </c>
      <c r="E9" s="11">
        <f>(('DCF Model'!$B$10*1.18*1.16*1.14*1.12*1.10*(1+0.035))/(0.125-0.035))/(1+0.125)^5/('DCF Model'!$B$7)+('DCF Model'!$B$10*1.18/(1+0.125)+'DCF Model'!$B$10*1.18*1.16/(1+0.125)^2+'DCF Model'!$B$10*1.18*1.16*1.14/(1+0.125)^3+'DCF Model'!$B$10*1.18*1.16*1.14*1.12/(1+0.125)^4+'DCF Model'!$B$10*1.18*1.16*1.14*1.12*1.10/(1+0.125)^5)/'DCF Model'!$B$7-'DCF Model'!$B$8/'DCF Model'!$B$7</f>
        <v>0</v>
      </c>
      <c r="F9" s="11">
        <f>(('DCF Model'!$B$10*1.18*1.16*1.14*1.12*1.10*(1+0.04))/(0.125-0.04))/(1+0.125)^5/('DCF Model'!$B$7)+('DCF Model'!$B$10*1.18/(1+0.125)+'DCF Model'!$B$10*1.18*1.16/(1+0.125)^2+'DCF Model'!$B$10*1.18*1.16*1.14/(1+0.125)^3+'DCF Model'!$B$10*1.18*1.16*1.14*1.12/(1+0.125)^4+'DCF Model'!$B$10*1.18*1.16*1.14*1.12*1.10/(1+0.125)^5)/'DCF Model'!$B$7-'DCF Model'!$B$8/'DCF Model'!$B$7</f>
        <v>0</v>
      </c>
    </row>
    <row r="11" spans="1:6">
      <c r="A11" s="8" t="s">
        <v>46</v>
      </c>
      <c r="B11" s="8">
        <f>"NZ$" &amp; TEXT('DCF Model'!B6,"0.00")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cols>
    <col min="1" max="1" width="25.7109375" customWidth="1"/>
    <col min="2" max="5" width="15.7109375" customWidth="1"/>
  </cols>
  <sheetData>
    <row r="1" spans="1:5">
      <c r="A1" s="1" t="s">
        <v>47</v>
      </c>
    </row>
    <row r="3" spans="1:5">
      <c r="A3" s="6" t="s">
        <v>48</v>
      </c>
      <c r="B3" s="6" t="s">
        <v>49</v>
      </c>
      <c r="C3" s="6" t="s">
        <v>50</v>
      </c>
    </row>
    <row r="4" spans="1:5">
      <c r="A4" t="s">
        <v>51</v>
      </c>
      <c r="B4" s="10">
        <v>0.218</v>
      </c>
    </row>
    <row r="5" spans="1:5">
      <c r="A5" t="s">
        <v>52</v>
      </c>
      <c r="B5" s="10">
        <v>0.286</v>
      </c>
    </row>
    <row r="7" spans="1:5">
      <c r="A7" s="8" t="s">
        <v>53</v>
      </c>
      <c r="B7" s="10">
        <v>0.2</v>
      </c>
    </row>
    <row r="8" spans="1:5">
      <c r="A8" t="s">
        <v>54</v>
      </c>
      <c r="B8" t="s">
        <v>55</v>
      </c>
    </row>
    <row r="10" spans="1:5">
      <c r="A10" s="8" t="s">
        <v>56</v>
      </c>
    </row>
    <row r="11" spans="1:5">
      <c r="A11" s="2" t="s">
        <v>57</v>
      </c>
      <c r="B11" s="2"/>
      <c r="C11" s="2"/>
      <c r="D11" s="2"/>
    </row>
    <row r="12" spans="1:5">
      <c r="A12" s="2"/>
      <c r="B12" s="2"/>
      <c r="C12" s="2"/>
      <c r="D12" s="2"/>
    </row>
    <row r="13" spans="1:5">
      <c r="A13" s="2"/>
      <c r="B13" s="2"/>
      <c r="C13" s="2"/>
      <c r="D13" s="2"/>
    </row>
    <row r="15" spans="1:5">
      <c r="A15" s="3" t="s">
        <v>58</v>
      </c>
    </row>
    <row r="16" spans="1:5">
      <c r="A16" s="6" t="s">
        <v>59</v>
      </c>
      <c r="B16" s="6" t="s">
        <v>60</v>
      </c>
      <c r="C16" s="6" t="s">
        <v>61</v>
      </c>
      <c r="D16" s="6" t="s">
        <v>62</v>
      </c>
      <c r="E16" s="6" t="s">
        <v>63</v>
      </c>
    </row>
    <row r="17" spans="1:5">
      <c r="A17" t="s">
        <v>64</v>
      </c>
      <c r="B17" s="7">
        <v>507</v>
      </c>
      <c r="C17" s="7">
        <v>533.3</v>
      </c>
      <c r="D17" s="7">
        <v>863.8</v>
      </c>
      <c r="E17" s="7">
        <v>917.8</v>
      </c>
    </row>
    <row r="18" spans="1:5">
      <c r="A18" t="s">
        <v>65</v>
      </c>
      <c r="B18" s="7">
        <v>1169.3</v>
      </c>
      <c r="C18" s="7">
        <v>643.1</v>
      </c>
      <c r="D18" s="7">
        <v>769.9</v>
      </c>
      <c r="E18" s="7">
        <v>-286.3</v>
      </c>
    </row>
    <row r="19" spans="1:5">
      <c r="A19" t="s">
        <v>66</v>
      </c>
      <c r="B19" s="7">
        <v>7679.2</v>
      </c>
      <c r="C19" s="7">
        <v>9182.299999999999</v>
      </c>
      <c r="D19" s="7">
        <v>11944.3</v>
      </c>
      <c r="E19" s="7">
        <v>16115.9</v>
      </c>
    </row>
  </sheetData>
  <mergeCells count="1">
    <mergeCell ref="A11:D1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37"/>
  <sheetViews>
    <sheetView workbookViewId="0"/>
  </sheetViews>
  <sheetFormatPr defaultRowHeight="15"/>
  <cols>
    <col min="1" max="1" width="100.7109375" customWidth="1"/>
  </cols>
  <sheetData>
    <row r="1" spans="1:1">
      <c r="A1" s="1" t="s">
        <v>67</v>
      </c>
    </row>
    <row r="4" spans="1:1">
      <c r="A4" s="3" t="s">
        <v>68</v>
      </c>
    </row>
    <row r="5" spans="1:1">
      <c r="A5" s="2" t="s">
        <v>69</v>
      </c>
    </row>
    <row r="8" spans="1:1">
      <c r="A8" s="3" t="s">
        <v>70</v>
      </c>
    </row>
    <row r="9" spans="1:1">
      <c r="A9" s="2" t="s">
        <v>71</v>
      </c>
    </row>
    <row r="12" spans="1:1">
      <c r="A12" s="3" t="s">
        <v>72</v>
      </c>
    </row>
    <row r="13" spans="1:1">
      <c r="A13" s="2" t="s">
        <v>73</v>
      </c>
    </row>
    <row r="16" spans="1:1">
      <c r="A16" s="3" t="s">
        <v>74</v>
      </c>
    </row>
    <row r="17" spans="1:1">
      <c r="A17" s="2" t="s">
        <v>75</v>
      </c>
    </row>
    <row r="20" spans="1:1">
      <c r="A20" s="3" t="s">
        <v>76</v>
      </c>
    </row>
    <row r="21" spans="1:1">
      <c r="A21" s="2" t="s">
        <v>77</v>
      </c>
    </row>
    <row r="22" spans="1:1">
      <c r="A22" s="2" t="s">
        <v>78</v>
      </c>
    </row>
    <row r="23" spans="1:1">
      <c r="A23" s="2" t="s">
        <v>79</v>
      </c>
    </row>
    <row r="24" spans="1:1">
      <c r="A24" s="2" t="s">
        <v>80</v>
      </c>
    </row>
    <row r="25" spans="1:1">
      <c r="A25" s="2" t="s">
        <v>81</v>
      </c>
    </row>
    <row r="28" spans="1:1">
      <c r="A28" s="3" t="s">
        <v>82</v>
      </c>
    </row>
    <row r="29" spans="1:1">
      <c r="A29" s="2" t="s">
        <v>83</v>
      </c>
    </row>
    <row r="31" spans="1:1">
      <c r="A31" s="2" t="s">
        <v>84</v>
      </c>
    </row>
    <row r="33" spans="1:1">
      <c r="A33" s="2" t="s">
        <v>85</v>
      </c>
    </row>
    <row r="36" spans="1:1">
      <c r="A36" s="3" t="s">
        <v>86</v>
      </c>
    </row>
    <row r="37" spans="1:1">
      <c r="A37" s="2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DCF Model</vt:lpstr>
      <vt:lpstr>Sensitivity</vt:lpstr>
      <vt:lpstr>Historical</vt:lpstr>
      <vt:lpstr>Assumptions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2026-02-03T07:30:48Z</dcterms:created>
  <dcterms:modified xsi:type="dcterms:W3CDTF">2026-02-03T07:30:48Z</dcterms:modified>
</cp:coreProperties>
</file>