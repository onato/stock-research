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ed DCF Model" sheetId="1" state="visible" r:id="rId3"/>
    <sheet name="Sensitivity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<sst xmlns="http://schemas.openxmlformats.org/spreadsheetml/2006/main" count="256" uniqueCount="215">
  <si>
    <t xml:space="preserve">BILIBILI INC. (9626.HK / BILI) - REVISED DCF VALUATION</t>
  </si>
  <si>
    <t xml:space="preserve">Updated with FY2025E Actuals &amp; Management Guidance</t>
  </si>
  <si>
    <t xml:space="preserve">All figures in RMB millions unless otherwise stated | Blue = Inputs</t>
  </si>
  <si>
    <t xml:space="preserve">KEY ASSUMPTIONS</t>
  </si>
  <si>
    <t xml:space="preserve">Revenue Growth Rates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</si>
  <si>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</si>
  <si>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</si>
  <si>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</si>
  <si>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</si>
  <si>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</si>
  <si>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Terminal</t>
  </si>
  <si>
    <t xml:space="preserve">Original DCF</t>
  </si>
  <si>
    <t xml:space="preserve">REVISED</t>
  </si>
  <si>
    <t xml:space="preserve">EBITDA Margin</t>
  </si>
  <si>
    <t xml:space="preserve">Other Assumptions</t>
  </si>
  <si>
    <t xml:space="preserve">Tax Rate</t>
  </si>
  <si>
    <t xml:space="preserve">China statutory corporate rate</t>
  </si>
  <si>
    <t xml:space="preserve">D&amp;A % of Revenue</t>
  </si>
  <si>
    <t xml:space="preserve">Declining as % of rev</t>
  </si>
  <si>
    <t xml:space="preserve">CapEx % of Revenue</t>
  </si>
  <si>
    <t xml:space="preserve">Asset-light model</t>
  </si>
  <si>
    <t xml:space="preserve">Change in NWC</t>
  </si>
  <si>
    <t xml:space="preserve">% of revenue growth</t>
  </si>
  <si>
    <t xml:space="preserve">Risk-Free Rate</t>
  </si>
  <si>
    <t xml:space="preserve">10Y UST proxy</t>
  </si>
  <si>
    <t xml:space="preserve">Equity Risk Premium</t>
  </si>
  <si>
    <t xml:space="preserve">China premium</t>
  </si>
  <si>
    <t xml:space="preserve">Unlevered Beta</t>
  </si>
  <si>
    <t xml:space="preserve">Peer median</t>
  </si>
  <si>
    <t xml:space="preserve">Cost of Debt (pre-tax)</t>
  </si>
  <si>
    <t xml:space="preserve">Investment grade proxy</t>
  </si>
  <si>
    <t xml:space="preserve">Target D/E Ratio</t>
  </si>
  <si>
    <t xml:space="preserve">Conservative leverage</t>
  </si>
  <si>
    <t xml:space="preserve">WACC CALCULATION</t>
  </si>
  <si>
    <t xml:space="preserve">Cost of Equity</t>
  </si>
  <si>
    <t xml:space="preserve">Rf + β × ERP</t>
  </si>
  <si>
    <t xml:space="preserve">After-tax Cost of Debt</t>
  </si>
  <si>
    <t xml:space="preserve">Kd × (1-t)</t>
  </si>
  <si>
    <t xml:space="preserve">Equity Weight</t>
  </si>
  <si>
    <t xml:space="preserve">Debt Weight</t>
  </si>
  <si>
    <t xml:space="preserve">WACC</t>
  </si>
  <si>
    <t xml:space="preserve">Ke×We + Kd×Wd</t>
  </si>
  <si>
    <t xml:space="preserve">DCF PROJECTION (REVISED)</t>
  </si>
  <si>
    <t xml:space="preserve">Revenue</t>
  </si>
  <si>
    <t xml:space="preserve">YoY Growth</t>
  </si>
  <si>
    <t xml:space="preserve">EBITDA</t>
  </si>
  <si>
    <t xml:space="preserve">Less: D&amp;A</t>
  </si>
  <si>
    <t xml:space="preserve">EBIT</t>
  </si>
  <si>
    <t xml:space="preserve">Less: Taxes</t>
  </si>
  <si>
    <t xml:space="preserve">NOPAT</t>
  </si>
  <si>
    <t xml:space="preserve">Add: D&amp;A</t>
  </si>
  <si>
    <t xml:space="preserve">Less: CapEx</t>
  </si>
  <si>
    <t xml:space="preserve">Less: Chg in NWC</t>
  </si>
  <si>
    <t xml:space="preserve">Unlevered FCF</t>
  </si>
  <si>
    <t xml:space="preserve">VALUATION</t>
  </si>
  <si>
    <t xml:space="preserve">Discount Period</t>
  </si>
  <si>
    <t xml:space="preserve">Discount Factor</t>
  </si>
  <si>
    <t xml:space="preserve">PV of FCF</t>
  </si>
  <si>
    <t xml:space="preserve">Terminal Value Calculation</t>
  </si>
  <si>
    <t xml:space="preserve">Terminal FCF</t>
  </si>
  <si>
    <t xml:space="preserve">Terminal Growth</t>
  </si>
  <si>
    <t xml:space="preserve">Terminal Value</t>
  </si>
  <si>
    <t xml:space="preserve">PV of Terminal Value</t>
  </si>
  <si>
    <t xml:space="preserve">Enterprise Value Bridge</t>
  </si>
  <si>
    <t xml:space="preserve">Sum of PV of FCFs</t>
  </si>
  <si>
    <t xml:space="preserve">Enterprise Value</t>
  </si>
  <si>
    <t xml:space="preserve">Less: Total Debt</t>
  </si>
  <si>
    <t xml:space="preserve">Add: Cash &amp; Investments</t>
  </si>
  <si>
    <t xml:space="preserve">Equity Value</t>
  </si>
  <si>
    <t xml:space="preserve">Per Share Valuation</t>
  </si>
  <si>
    <t xml:space="preserve">Shares Outstanding (mm)</t>
  </si>
  <si>
    <t xml:space="preserve">Equity Value per Share (RMB)</t>
  </si>
  <si>
    <t xml:space="preserve">Equity Value per Share (HKD)</t>
  </si>
  <si>
    <t xml:space="preserve">Equity Value per ADS (USD)</t>
  </si>
  <si>
    <t xml:space="preserve">COMPARISON: ORIGINAL vs REVISED DCF</t>
  </si>
  <si>
    <t xml:space="preserve">Metric</t>
  </si>
  <si>
    <t xml:space="preserve">Revised DCF</t>
  </si>
  <si>
    <t xml:space="preserve">Change</t>
  </si>
  <si>
    <t xml:space="preserve">Commentary</t>
  </si>
  <si>
    <t xml:space="preserve">Base Year Revenue (RMB mm)</t>
  </si>
  <si>
    <t xml:space="preserve">FY2025E vs FY2024</t>
  </si>
  <si>
    <t xml:space="preserve">Terminal EBITDA Margin</t>
  </si>
  <si>
    <t xml:space="preserve">Mgmt guides 15-30% OPM</t>
  </si>
  <si>
    <t xml:space="preserve">Unchanged methodology</t>
  </si>
  <si>
    <t xml:space="preserve">Enterprise Value (RMB mm)</t>
  </si>
  <si>
    <t xml:space="preserve">Higher margins drive EV</t>
  </si>
  <si>
    <t xml:space="preserve">Equity Value (RMB mm)</t>
  </si>
  <si>
    <t xml:space="preserve">Net cash helps</t>
  </si>
  <si>
    <t xml:space="preserve">Target Price HKD</t>
  </si>
  <si>
    <t xml:space="preserve">Upside from revised model</t>
  </si>
  <si>
    <t xml:space="preserve">Target Price USD</t>
  </si>
  <si>
    <t xml:space="preserve">Current Price HKD</t>
  </si>
  <si>
    <t xml:space="preserve">As of Jan 2026</t>
  </si>
  <si>
    <t xml:space="preserve">Current Price USD</t>
  </si>
  <si>
    <t xml:space="preserve">Implied Upside (HKD)</t>
  </si>
  <si>
    <t xml:space="preserve">8%</t>
  </si>
  <si>
    <t xml:space="preserve">Implied Upside (USD)</t>
  </si>
  <si>
    <t xml:space="preserve">44%</t>
  </si>
  <si>
    <t xml:space="preserve">KEY TAKEAWAYS FROM REVISED MODEL</t>
  </si>
  <si>
    <t xml:space="preserve">1. BASE YEAR UPDATE: Using FY2025E actuals (RMB 30.1B revenue) vs FY2024 (RMB 26.8B)</t>
  </si>
  <si>
    <t xml:space="preserve">   This reflects the 12% growth actually achieved in 2025</t>
  </si>
  <si>
    <t xml:space="preserve">2. MARGIN EXPANSION: Management guides to 40-45% gross margin and 15-30% operating margin</t>
  </si>
  <si>
    <t xml:space="preserve">   Original model assumed 24% terminal EBITDA; revised to 28% (still conservative vs 30%)</t>
  </si>
  <si>
    <t xml:space="preserve">3. CASH POSITION: Updated to RMB 23.5B (from RMB 16.5B) reflecting strong FCF generation</t>
  </si>
  <si>
    <t xml:space="preserve">4. VALUATION IMPACT: Higher base revenue + higher margins = higher intrinsic value</t>
  </si>
  <si>
    <t xml:space="preserve">   Enterprise Value increases significantly driven by margin expansion assumptions</t>
  </si>
  <si>
    <t xml:space="preserve">5. RECOMMENDATION: The revised DCF supports a higher target price</t>
  </si>
  <si>
    <t xml:space="preserve">   Key risk: Execution on margin expansion; key catalyst: Continued ad growth</t>
  </si>
  <si>
    <t xml:space="preserve">BILIBILI DCF SENSITIVITY ANALYSIS</t>
  </si>
  <si>
    <t xml:space="preserve">Target Price (HKD) by WACC and Terminal EBITDA Margin</t>
  </si>
  <si>
    <t xml:space="preserve">Current Price: HKD 273 | Base Case highlighted in blue</t>
  </si>
  <si>
    <t xml:space="preserve">WACC CALCULATION EXPLAINED</t>
  </si>
  <si>
    <t xml:space="preserve">Step</t>
  </si>
  <si>
    <t xml:space="preserve">Component</t>
  </si>
  <si>
    <t xml:space="preserve">Formula</t>
  </si>
  <si>
    <t xml:space="preserve">Inputs</t>
  </si>
  <si>
    <t xml:space="preserve">Result</t>
  </si>
  <si>
    <t xml:space="preserve">1</t>
  </si>
  <si>
    <t xml:space="preserve">Risk-Free Rate (Rf)</t>
  </si>
  <si>
    <t xml:space="preserve">4.5%</t>
  </si>
  <si>
    <t xml:space="preserve">2</t>
  </si>
  <si>
    <t xml:space="preserve">Equity Risk Premium (ERP)</t>
  </si>
  <si>
    <t xml:space="preserve">China/EM premium</t>
  </si>
  <si>
    <t xml:space="preserve">6.5%</t>
  </si>
  <si>
    <t xml:space="preserve">3</t>
  </si>
  <si>
    <t xml:space="preserve">Beta (β)</t>
  </si>
  <si>
    <t xml:space="preserve">Peer median, unlevered</t>
  </si>
  <si>
    <t xml:space="preserve">0.85</t>
  </si>
  <si>
    <t xml:space="preserve">4</t>
  </si>
  <si>
    <t xml:space="preserve">Cost of Equity (Ke)</t>
  </si>
  <si>
    <t xml:space="preserve">4.5% + 0.85 × 6.5%</t>
  </si>
  <si>
    <t xml:space="preserve">10.0%</t>
  </si>
  <si>
    <t xml:space="preserve">5</t>
  </si>
  <si>
    <t xml:space="preserve">Pre-tax Cost of Debt (Kd)</t>
  </si>
  <si>
    <t xml:space="preserve">IG proxy for China tech</t>
  </si>
  <si>
    <t xml:space="preserve">5.5%</t>
  </si>
  <si>
    <t xml:space="preserve">6</t>
  </si>
  <si>
    <t xml:space="preserve">China statutory</t>
  </si>
  <si>
    <t xml:space="preserve">25%</t>
  </si>
  <si>
    <t xml:space="preserve">7</t>
  </si>
  <si>
    <t xml:space="preserve">Kd × (1 - Tax)</t>
  </si>
  <si>
    <t xml:space="preserve">5.5% × 75%</t>
  </si>
  <si>
    <t xml:space="preserve">4.1%</t>
  </si>
  <si>
    <t xml:space="preserve">8</t>
  </si>
  <si>
    <t xml:space="preserve">15%</t>
  </si>
  <si>
    <t xml:space="preserve">9</t>
  </si>
  <si>
    <t xml:space="preserve">Equity Weight (We)</t>
  </si>
  <si>
    <t xml:space="preserve">1 / (1 + D/E)</t>
  </si>
  <si>
    <t xml:space="preserve">1 / 1.15</t>
  </si>
  <si>
    <t xml:space="preserve">87.0%</t>
  </si>
  <si>
    <t xml:space="preserve">10</t>
  </si>
  <si>
    <t xml:space="preserve">Debt Weight (Wd)</t>
  </si>
  <si>
    <t xml:space="preserve">D/E / (1 + D/E)</t>
  </si>
  <si>
    <t xml:space="preserve">0.15 / 1.15</t>
  </si>
  <si>
    <t xml:space="preserve">13.0%</t>
  </si>
  <si>
    <t xml:space="preserve">11</t>
  </si>
  <si>
    <t xml:space="preserve">Ke×We + Kd_at×Wd</t>
  </si>
  <si>
    <t xml:space="preserve">10.0%×87% + 4.1%×13%</t>
  </si>
  <si>
    <t xml:space="preserve">9.3%</t>
  </si>
  <si>
    <t xml:space="preserve">SENSITIVITY TABLE 1: TARGET PRICE (HKD)</t>
  </si>
  <si>
    <t xml:space="preserve">WACC \ Terminal Margin</t>
  </si>
  <si>
    <t xml:space="preserve">SENSITIVITY TABLE 2: IMPLIED UPSIDE/(DOWNSIDE) vs HKD 273</t>
  </si>
  <si>
    <t xml:space="preserve">SUMMARY STATISTICS</t>
  </si>
  <si>
    <t xml:space="preserve">Value</t>
  </si>
  <si>
    <t xml:space="preserve">Price Range (HKD)</t>
  </si>
  <si>
    <t xml:space="preserve">250 - 465</t>
  </si>
  <si>
    <t xml:space="preserve">Base Case Target (HKD)</t>
  </si>
  <si>
    <t xml:space="preserve">349</t>
  </si>
  <si>
    <t xml:space="preserve">Current Price (HKD)</t>
  </si>
  <si>
    <t xml:space="preserve">273</t>
  </si>
  <si>
    <t xml:space="preserve">Base Case Upside</t>
  </si>
  <si>
    <t xml:space="preserve">+28%</t>
  </si>
  <si>
    <t xml:space="preserve">Scenarios Above Current Price</t>
  </si>
  <si>
    <t xml:space="preserve">32 of 35 (91%)</t>
  </si>
  <si>
    <t xml:space="preserve">Break-even WACC (at 28% margin)</t>
  </si>
  <si>
    <t xml:space="preserve">~10.5%</t>
  </si>
  <si>
    <t xml:space="preserve">Break-even Margin (at 9.3% WACC)</t>
  </si>
  <si>
    <t xml:space="preserve">~22%</t>
  </si>
  <si>
    <t xml:space="preserve">KEY ASSUMPTIONS FOR SENSITIVITY</t>
  </si>
  <si>
    <t xml:space="preserve">Input</t>
  </si>
  <si>
    <t xml:space="preserve">Rationale</t>
  </si>
  <si>
    <t xml:space="preserve">Base Year Revenue</t>
  </si>
  <si>
    <t xml:space="preserve">RMB 30,100mm</t>
  </si>
  <si>
    <t xml:space="preserve">FY2025E actual</t>
  </si>
  <si>
    <t xml:space="preserve">Revenue Growth (FY26-29)</t>
  </si>
  <si>
    <t xml:space="preserve">10%, 9%, 8%, 6%</t>
  </si>
  <si>
    <t xml:space="preserve">Decelerating growth</t>
  </si>
  <si>
    <t xml:space="preserve">3%</t>
  </si>
  <si>
    <t xml:space="preserve">China nominal GDP proxy</t>
  </si>
  <si>
    <t xml:space="preserve">24% - 32%</t>
  </si>
  <si>
    <t xml:space="preserve">WACC Range</t>
  </si>
  <si>
    <t xml:space="preserve">8% - 11%</t>
  </si>
  <si>
    <t xml:space="preserve">±2% around base case</t>
  </si>
  <si>
    <t xml:space="preserve">7%</t>
  </si>
  <si>
    <t xml:space="preserve">2.5%</t>
  </si>
  <si>
    <t xml:space="preserve">Low reinvestment needs</t>
  </si>
  <si>
    <t xml:space="preserve">Net Cash</t>
  </si>
  <si>
    <t xml:space="preserve">RMB 18,726mm</t>
  </si>
  <si>
    <t xml:space="preserve">Q3 2025 actual</t>
  </si>
  <si>
    <t xml:space="preserve">Shares Outstanding</t>
  </si>
  <si>
    <t xml:space="preserve">418mm</t>
  </si>
  <si>
    <t xml:space="preserve">Diluted</t>
  </si>
  <si>
    <t xml:space="preserve">RMB/HKD Rate</t>
  </si>
  <si>
    <t xml:space="preserve">1.07</t>
  </si>
  <si>
    <t xml:space="preserve">Current FX</t>
  </si>
  <si>
    <t xml:space="preserve">HOW TO READ THIS ANALYSIS</t>
  </si>
  <si>
    <t xml:space="preserve">GREEN cells = Target price ABOVE current price (HKD 273) → Potential upside</t>
  </si>
  <si>
    <t xml:space="preserve">RED cells = Target price BELOW current price → Potential downside</t>
  </si>
  <si>
    <t xml:space="preserve">BLUE cells = Base case scenario (WACC 9.3%, Terminal Margin 28%)</t>
  </si>
  <si>
    <t xml:space="preserve">KEY TAKEAWAYS:</t>
  </si>
  <si>
    <t xml:space="preserve">• 91% of scenarios show upside to current price</t>
  </si>
  <si>
    <t xml:space="preserve">• Even at punitive 11% WACC and 24% margin, downside is only -9%</t>
  </si>
  <si>
    <t xml:space="preserve">• Base case implies +28% upside (HKD 349 target)</t>
  </si>
  <si>
    <t xml:space="preserve">• Key risk: Margins below 24% or WACC above 10.5%</t>
  </si>
  <si>
    <t xml:space="preserve">• Key catalyst: Margin expansion toward management's 30% upper bound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</si>
</sst>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0%"/>
    <numFmt numFmtId="167" formatCode="#,##0"/>
    <numFmt numFmtId="168" formatCode="0.000"/>
    <numFmt numFmtId="169" formatCode="#,##0.00"/>
    <numFmt numFmtId="170" formatCode="0%"/>
    <numFmt numFmtId="171" formatCode="\+0%;\-0%;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8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00008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FF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B4C6E7"/>
        <bgColor rgb="FF99CCFF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1" t="s">
        <v>2</v>
      </c>
    </row>
    <row r="5" customFormat="false" ht="15" hidden="false" customHeight="true" outlineLevel="0" collapsed="false">
      <c r="A5" s="4" t="s">
        <v>3</v>
      </c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6"/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</row>
    <row r="9" customFormat="false" ht="15" hidden="false" customHeight="true" outlineLevel="0" collapsed="false">
      <c r="A9" s="1" t="s">
        <v>11</v>
      </c>
      <c r="B9" s="7" t="n">
        <v>0.1</v>
      </c>
      <c r="C9" s="7" t="n">
        <v>0.11</v>
      </c>
      <c r="D9" s="7" t="n">
        <v>0.1</v>
      </c>
      <c r="E9" s="7" t="n">
        <v>0.08</v>
      </c>
      <c r="F9" s="7" t="n">
        <v>0.06</v>
      </c>
      <c r="G9" s="7" t="n">
        <v>0.03</v>
      </c>
    </row>
    <row r="10" customFormat="false" ht="15" hidden="false" customHeight="true" outlineLevel="0" collapsed="false">
      <c r="A10" s="1" t="s">
        <v>12</v>
      </c>
      <c r="B10" s="8" t="n">
        <v>0.12</v>
      </c>
      <c r="C10" s="8" t="n">
        <v>0.1</v>
      </c>
      <c r="D10" s="8" t="n">
        <v>0.09</v>
      </c>
      <c r="E10" s="8" t="n">
        <v>0.08</v>
      </c>
      <c r="F10" s="8" t="n">
        <v>0.06</v>
      </c>
      <c r="G10" s="8" t="n">
        <v>0.03</v>
      </c>
    </row>
    <row r="12" customFormat="false" ht="15" hidden="false" customHeight="true" outlineLevel="0" collapsed="false">
      <c r="A12" s="5" t="s">
        <v>13</v>
      </c>
    </row>
    <row r="13" customFormat="false" ht="15" hidden="false" customHeight="true" outlineLevel="0" collapsed="false">
      <c r="A13" s="6"/>
      <c r="B13" s="6" t="s">
        <v>5</v>
      </c>
      <c r="C13" s="6" t="s">
        <v>6</v>
      </c>
      <c r="D13" s="6" t="s">
        <v>7</v>
      </c>
      <c r="E13" s="6" t="s">
        <v>8</v>
      </c>
      <c r="F13" s="6" t="s">
        <v>9</v>
      </c>
      <c r="G13" s="6" t="s">
        <v>10</v>
      </c>
    </row>
    <row r="14" customFormat="false" ht="15" hidden="false" customHeight="true" outlineLevel="0" collapsed="false">
      <c r="A14" s="1" t="s">
        <v>11</v>
      </c>
      <c r="B14" s="7" t="n">
        <v>0.18</v>
      </c>
      <c r="C14" s="7" t="n">
        <v>0.2</v>
      </c>
      <c r="D14" s="7" t="n">
        <v>0.22</v>
      </c>
      <c r="E14" s="7" t="n">
        <v>0.23</v>
      </c>
      <c r="F14" s="7" t="n">
        <v>0.24</v>
      </c>
      <c r="G14" s="7" t="n">
        <v>0.24</v>
      </c>
    </row>
    <row r="15" customFormat="false" ht="15" hidden="false" customHeight="true" outlineLevel="0" collapsed="false">
      <c r="A15" s="1" t="s">
        <v>12</v>
      </c>
      <c r="B15" s="8" t="n">
        <v>0.15</v>
      </c>
      <c r="C15" s="8" t="n">
        <v>0.2</v>
      </c>
      <c r="D15" s="8" t="n">
        <v>0.24</v>
      </c>
      <c r="E15" s="8" t="n">
        <v>0.27</v>
      </c>
      <c r="F15" s="8" t="n">
        <v>0.28</v>
      </c>
      <c r="G15" s="8" t="n">
        <v>0.28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9" t="s">
        <v>15</v>
      </c>
      <c r="B18" s="8" t="n">
        <v>0.25</v>
      </c>
      <c r="C18" s="9" t="s">
        <v>16</v>
      </c>
    </row>
    <row r="19" customFormat="false" ht="15" hidden="false" customHeight="true" outlineLevel="0" collapsed="false">
      <c r="A19" s="9" t="s">
        <v>17</v>
      </c>
      <c r="B19" s="8" t="n">
        <v>0.07</v>
      </c>
      <c r="C19" s="9" t="s">
        <v>18</v>
      </c>
    </row>
    <row r="20" customFormat="false" ht="15" hidden="false" customHeight="true" outlineLevel="0" collapsed="false">
      <c r="A20" s="9" t="s">
        <v>19</v>
      </c>
      <c r="B20" s="8" t="n">
        <v>0.025</v>
      </c>
      <c r="C20" s="9" t="s">
        <v>20</v>
      </c>
    </row>
    <row r="21" customFormat="false" ht="15" hidden="false" customHeight="true" outlineLevel="0" collapsed="false">
      <c r="A21" s="9" t="s">
        <v>21</v>
      </c>
      <c r="B21" s="8" t="n">
        <v>0.05</v>
      </c>
      <c r="C21" s="9" t="s">
        <v>22</v>
      </c>
    </row>
    <row r="22" customFormat="false" ht="15" hidden="false" customHeight="true" outlineLevel="0" collapsed="false">
      <c r="A22" s="9" t="s">
        <v>23</v>
      </c>
      <c r="B22" s="8" t="n">
        <v>0.045</v>
      </c>
      <c r="C22" s="9" t="s">
        <v>24</v>
      </c>
    </row>
    <row r="23" customFormat="false" ht="15" hidden="false" customHeight="true" outlineLevel="0" collapsed="false">
      <c r="A23" s="9" t="s">
        <v>25</v>
      </c>
      <c r="B23" s="8" t="n">
        <v>0.065</v>
      </c>
      <c r="C23" s="9" t="s">
        <v>26</v>
      </c>
    </row>
    <row r="24" customFormat="false" ht="15" hidden="false" customHeight="true" outlineLevel="0" collapsed="false">
      <c r="A24" s="9" t="s">
        <v>27</v>
      </c>
      <c r="B24" s="8" t="n">
        <v>0.85</v>
      </c>
      <c r="C24" s="9" t="s">
        <v>28</v>
      </c>
    </row>
    <row r="25" customFormat="false" ht="15" hidden="false" customHeight="true" outlineLevel="0" collapsed="false">
      <c r="A25" s="9" t="s">
        <v>29</v>
      </c>
      <c r="B25" s="8" t="n">
        <v>0.055</v>
      </c>
      <c r="C25" s="9" t="s">
        <v>30</v>
      </c>
    </row>
    <row r="26" customFormat="false" ht="15" hidden="false" customHeight="true" outlineLevel="0" collapsed="false">
      <c r="A26" s="9" t="s">
        <v>31</v>
      </c>
      <c r="B26" s="8" t="n">
        <v>0.15</v>
      </c>
      <c r="C26" s="9" t="s">
        <v>32</v>
      </c>
    </row>
    <row r="28" customFormat="false" ht="15" hidden="false" customHeight="true" outlineLevel="0" collapsed="false">
      <c r="A28" s="4" t="s">
        <v>33</v>
      </c>
    </row>
    <row r="29" customFormat="false" ht="15" hidden="false" customHeight="true" outlineLevel="0" collapsed="false">
      <c r="A29" s="9" t="s">
        <v>34</v>
      </c>
      <c r="B29" s="10" t="n">
        <f aca="false">B22+(B23*B24)</f>
        <v>0.10025</v>
      </c>
      <c r="C29" s="9" t="s">
        <v>35</v>
      </c>
    </row>
    <row r="30" customFormat="false" ht="15" hidden="false" customHeight="true" outlineLevel="0" collapsed="false">
      <c r="A30" s="9" t="s">
        <v>36</v>
      </c>
      <c r="B30" s="10" t="n">
        <f aca="false">B25*(1-B18)</f>
        <v>0.04125</v>
      </c>
      <c r="C30" s="9" t="s">
        <v>37</v>
      </c>
    </row>
    <row r="31" customFormat="false" ht="15" hidden="false" customHeight="true" outlineLevel="0" collapsed="false">
      <c r="A31" s="9" t="s">
        <v>38</v>
      </c>
      <c r="B31" s="10" t="n">
        <f aca="false">1/(1+B26)</f>
        <v>0.869565217391304</v>
      </c>
      <c r="C31" s="9"/>
    </row>
    <row r="32" customFormat="false" ht="15" hidden="false" customHeight="true" outlineLevel="0" collapsed="false">
      <c r="A32" s="9" t="s">
        <v>39</v>
      </c>
      <c r="B32" s="10" t="n">
        <f aca="false">B26/(1+B26)</f>
        <v>0.130434782608696</v>
      </c>
      <c r="C32" s="9"/>
    </row>
    <row r="33" customFormat="false" ht="15" hidden="false" customHeight="true" outlineLevel="0" collapsed="false">
      <c r="A33" s="9" t="s">
        <v>40</v>
      </c>
      <c r="B33" s="10" t="n">
        <f aca="false">B29*B31+B30*B32</f>
        <v>0.092554347826087</v>
      </c>
      <c r="C33" s="9" t="s">
        <v>41</v>
      </c>
    </row>
    <row r="36" customFormat="false" ht="15" hidden="false" customHeight="true" outlineLevel="0" collapsed="false">
      <c r="A36" s="4" t="s">
        <v>42</v>
      </c>
    </row>
    <row r="37" customFormat="false" ht="15" hidden="false" customHeight="true" outlineLevel="0" collapsed="false">
      <c r="A37" s="6"/>
      <c r="B37" s="6" t="s">
        <v>5</v>
      </c>
      <c r="C37" s="6" t="s">
        <v>6</v>
      </c>
      <c r="D37" s="6" t="s">
        <v>7</v>
      </c>
      <c r="E37" s="6" t="s">
        <v>8</v>
      </c>
      <c r="F37" s="6" t="s">
        <v>9</v>
      </c>
      <c r="G37" s="6" t="s">
        <v>10</v>
      </c>
    </row>
    <row r="38" customFormat="false" ht="15" hidden="false" customHeight="true" outlineLevel="0" collapsed="false">
      <c r="A38" s="11" t="s">
        <v>43</v>
      </c>
      <c r="B38" s="12" t="n">
        <v>30100</v>
      </c>
      <c r="C38" s="13" t="n">
        <f aca="false">B38*(1+C10)</f>
        <v>33110</v>
      </c>
      <c r="D38" s="13" t="n">
        <f aca="false">C38*(1+D10)</f>
        <v>36089.9</v>
      </c>
      <c r="E38" s="13" t="n">
        <f aca="false">D38*(1+E10)</f>
        <v>38977.092</v>
      </c>
      <c r="F38" s="13" t="n">
        <f aca="false">E38*(1+F10)</f>
        <v>41315.71752</v>
      </c>
      <c r="G38" s="13" t="n">
        <f aca="false">F38*(1+G10)</f>
        <v>42555.1890456</v>
      </c>
    </row>
    <row r="39" customFormat="false" ht="15" hidden="false" customHeight="true" outlineLevel="0" collapsed="false">
      <c r="A39" s="14" t="s">
        <v>44</v>
      </c>
      <c r="B39" s="7" t="n">
        <f aca="false">B10</f>
        <v>0.12</v>
      </c>
      <c r="C39" s="7" t="n">
        <f aca="false">C10</f>
        <v>0.1</v>
      </c>
      <c r="D39" s="7" t="n">
        <f aca="false">D10</f>
        <v>0.09</v>
      </c>
      <c r="E39" s="7" t="n">
        <f aca="false">E10</f>
        <v>0.08</v>
      </c>
      <c r="F39" s="7" t="n">
        <f aca="false">F10</f>
        <v>0.06</v>
      </c>
      <c r="G39" s="7" t="n">
        <f aca="false">G10</f>
        <v>0.03</v>
      </c>
    </row>
    <row r="40" customFormat="false" ht="15" hidden="false" customHeight="true" outlineLevel="0" collapsed="false">
      <c r="A40" s="11" t="s">
        <v>45</v>
      </c>
      <c r="B40" s="13" t="n">
        <f aca="false">B38*B15</f>
        <v>4515</v>
      </c>
      <c r="C40" s="13" t="n">
        <f aca="false">C38*C15</f>
        <v>6622</v>
      </c>
      <c r="D40" s="13" t="n">
        <f aca="false">D38*D15</f>
        <v>8661.576</v>
      </c>
      <c r="E40" s="13" t="n">
        <f aca="false">E38*E15</f>
        <v>10523.81484</v>
      </c>
      <c r="F40" s="13" t="n">
        <f aca="false">F38*F15</f>
        <v>11568.4009056</v>
      </c>
      <c r="G40" s="13" t="n">
        <f aca="false">G38*G15</f>
        <v>11915.452932768</v>
      </c>
    </row>
    <row r="41" customFormat="false" ht="15" hidden="false" customHeight="true" outlineLevel="0" collapsed="false">
      <c r="A41" s="14" t="s">
        <v>13</v>
      </c>
      <c r="B41" s="7" t="n">
        <f aca="false">B15</f>
        <v>0.15</v>
      </c>
      <c r="C41" s="7" t="n">
        <f aca="false">C15</f>
        <v>0.2</v>
      </c>
      <c r="D41" s="7" t="n">
        <f aca="false">D15</f>
        <v>0.24</v>
      </c>
      <c r="E41" s="7" t="n">
        <f aca="false">E15</f>
        <v>0.27</v>
      </c>
      <c r="F41" s="7" t="n">
        <f aca="false">F15</f>
        <v>0.28</v>
      </c>
      <c r="G41" s="7" t="n">
        <f aca="false">G15</f>
        <v>0.28</v>
      </c>
    </row>
    <row r="42" customFormat="false" ht="15" hidden="false" customHeight="true" outlineLevel="0" collapsed="false">
      <c r="A42" s="14" t="s">
        <v>46</v>
      </c>
      <c r="B42" s="13" t="n">
        <f aca="false">-B38*$B$19</f>
        <v>-2107</v>
      </c>
      <c r="C42" s="13" t="n">
        <f aca="false">-C38*$B$19</f>
        <v>-2317.7</v>
      </c>
      <c r="D42" s="13" t="n">
        <f aca="false">-D38*$B$19</f>
        <v>-2526.293</v>
      </c>
      <c r="E42" s="13" t="n">
        <f aca="false">-E38*$B$19</f>
        <v>-2728.39644</v>
      </c>
      <c r="F42" s="13" t="n">
        <f aca="false">-F38*$B$19</f>
        <v>-2892.1002264</v>
      </c>
      <c r="G42" s="13" t="n">
        <f aca="false">-G38*$B$19</f>
        <v>-2978.863233192</v>
      </c>
    </row>
    <row r="43" customFormat="false" ht="15" hidden="false" customHeight="true" outlineLevel="0" collapsed="false">
      <c r="A43" s="11" t="s">
        <v>47</v>
      </c>
      <c r="B43" s="13" t="n">
        <f aca="false">B40+B42</f>
        <v>2408</v>
      </c>
      <c r="C43" s="13" t="n">
        <f aca="false">C40+C42</f>
        <v>4304.3</v>
      </c>
      <c r="D43" s="13" t="n">
        <f aca="false">D40+D42</f>
        <v>6135.283</v>
      </c>
      <c r="E43" s="13" t="n">
        <f aca="false">E40+E42</f>
        <v>7795.4184</v>
      </c>
      <c r="F43" s="13" t="n">
        <f aca="false">F40+F42</f>
        <v>8676.3006792</v>
      </c>
      <c r="G43" s="13" t="n">
        <f aca="false">G40+G42</f>
        <v>8936.589699576</v>
      </c>
    </row>
    <row r="44" customFormat="false" ht="15" hidden="false" customHeight="true" outlineLevel="0" collapsed="false">
      <c r="A44" s="14" t="s">
        <v>48</v>
      </c>
      <c r="B44" s="13" t="n">
        <f aca="false">-MAX(B43,0)*$B$18</f>
        <v>-602</v>
      </c>
      <c r="C44" s="13" t="n">
        <f aca="false">-MAX(C43,0)*$B$18</f>
        <v>-1076.075</v>
      </c>
      <c r="D44" s="13" t="n">
        <f aca="false">-MAX(D43,0)*$B$18</f>
        <v>-1533.82075</v>
      </c>
      <c r="E44" s="13" t="n">
        <f aca="false">-MAX(E43,0)*$B$18</f>
        <v>-1948.8546</v>
      </c>
      <c r="F44" s="13" t="n">
        <f aca="false">-MAX(F43,0)*$B$18</f>
        <v>-2169.0751698</v>
      </c>
      <c r="G44" s="13" t="n">
        <f aca="false">-MAX(G43,0)*$B$18</f>
        <v>-2234.147424894</v>
      </c>
    </row>
    <row r="45" customFormat="false" ht="15" hidden="false" customHeight="true" outlineLevel="0" collapsed="false">
      <c r="A45" s="11" t="s">
        <v>49</v>
      </c>
      <c r="B45" s="13" t="n">
        <f aca="false">B43+B44</f>
        <v>1806</v>
      </c>
      <c r="C45" s="13" t="n">
        <f aca="false">C43+C44</f>
        <v>3228.225</v>
      </c>
      <c r="D45" s="13" t="n">
        <f aca="false">D43+D44</f>
        <v>4601.46225</v>
      </c>
      <c r="E45" s="13" t="n">
        <f aca="false">E43+E44</f>
        <v>5846.5638</v>
      </c>
      <c r="F45" s="13" t="n">
        <f aca="false">F43+F44</f>
        <v>6507.2255094</v>
      </c>
      <c r="G45" s="13" t="n">
        <f aca="false">G43+G44</f>
        <v>6702.442274682</v>
      </c>
    </row>
    <row r="46" customFormat="false" ht="15" hidden="false" customHeight="true" outlineLevel="0" collapsed="false">
      <c r="A46" s="14" t="s">
        <v>50</v>
      </c>
      <c r="B46" s="13" t="n">
        <f aca="false">-B42</f>
        <v>2107</v>
      </c>
      <c r="C46" s="13" t="n">
        <f aca="false">-C42</f>
        <v>2317.7</v>
      </c>
      <c r="D46" s="13" t="n">
        <f aca="false">-D42</f>
        <v>2526.293</v>
      </c>
      <c r="E46" s="13" t="n">
        <f aca="false">-E42</f>
        <v>2728.39644</v>
      </c>
      <c r="F46" s="13" t="n">
        <f aca="false">-F42</f>
        <v>2892.1002264</v>
      </c>
      <c r="G46" s="13" t="n">
        <f aca="false">-G42</f>
        <v>2978.863233192</v>
      </c>
    </row>
    <row r="47" customFormat="false" ht="15" hidden="false" customHeight="true" outlineLevel="0" collapsed="false">
      <c r="A47" s="14" t="s">
        <v>51</v>
      </c>
      <c r="B47" s="13" t="n">
        <f aca="false">-B38*$B$20</f>
        <v>-752.5</v>
      </c>
      <c r="C47" s="13" t="n">
        <f aca="false">-C38*$B$20</f>
        <v>-827.75</v>
      </c>
      <c r="D47" s="13" t="n">
        <f aca="false">-D38*$B$20</f>
        <v>-902.2475</v>
      </c>
      <c r="E47" s="13" t="n">
        <f aca="false">-E38*$B$20</f>
        <v>-974.4273</v>
      </c>
      <c r="F47" s="13" t="n">
        <f aca="false">-F38*$B$20</f>
        <v>-1032.892938</v>
      </c>
      <c r="G47" s="13" t="n">
        <f aca="false">-G38*$B$20</f>
        <v>-1063.87972614</v>
      </c>
    </row>
    <row r="48" customFormat="false" ht="15" hidden="false" customHeight="true" outlineLevel="0" collapsed="false">
      <c r="A48" s="14" t="s">
        <v>52</v>
      </c>
      <c r="B48" s="13" t="n">
        <v>0</v>
      </c>
      <c r="C48" s="13" t="n">
        <f aca="false">-(C38-B38)*$B$21</f>
        <v>-150.5</v>
      </c>
      <c r="D48" s="13" t="n">
        <f aca="false">-(D38-C38)*$B$21</f>
        <v>-148.995</v>
      </c>
      <c r="E48" s="13" t="n">
        <f aca="false">-(E38-D38)*$B$21</f>
        <v>-144.3596</v>
      </c>
      <c r="F48" s="13" t="n">
        <f aca="false">-(F38-E38)*$B$21</f>
        <v>-116.931276</v>
      </c>
      <c r="G48" s="13" t="n">
        <f aca="false">-(G38-F38)*$B$21</f>
        <v>-61.9735762799999</v>
      </c>
    </row>
    <row r="49" customFormat="false" ht="15" hidden="false" customHeight="true" outlineLevel="0" collapsed="false">
      <c r="A49" s="11" t="s">
        <v>53</v>
      </c>
      <c r="B49" s="13" t="n">
        <f aca="false">B45+B46+B47+B48</f>
        <v>3160.5</v>
      </c>
      <c r="C49" s="13" t="n">
        <f aca="false">C45+C46+C47+C48</f>
        <v>4567.675</v>
      </c>
      <c r="D49" s="13" t="n">
        <f aca="false">D45+D46+D47+D48</f>
        <v>6076.51275</v>
      </c>
      <c r="E49" s="13" t="n">
        <f aca="false">E45+E46+E47+E48</f>
        <v>7456.17334</v>
      </c>
      <c r="F49" s="13" t="n">
        <f aca="false">F45+F46+F47+F48</f>
        <v>8249.5015218</v>
      </c>
      <c r="G49" s="13" t="n">
        <f aca="false">G45+G46+G47+G48</f>
        <v>8555.452205454</v>
      </c>
    </row>
    <row r="51" customFormat="false" ht="15" hidden="false" customHeight="true" outlineLevel="0" collapsed="false">
      <c r="A51" s="4" t="s">
        <v>54</v>
      </c>
    </row>
    <row r="52" customFormat="false" ht="15" hidden="false" customHeight="true" outlineLevel="0" collapsed="false">
      <c r="A52" s="9" t="s">
        <v>55</v>
      </c>
      <c r="B52" s="9" t="n">
        <v>0.5</v>
      </c>
      <c r="C52" s="9" t="n">
        <v>1.5</v>
      </c>
      <c r="D52" s="9" t="n">
        <v>2.5</v>
      </c>
      <c r="E52" s="9" t="n">
        <v>3.5</v>
      </c>
      <c r="F52" s="9" t="n">
        <v>4.5</v>
      </c>
    </row>
    <row r="53" customFormat="false" ht="15" hidden="false" customHeight="true" outlineLevel="0" collapsed="false">
      <c r="A53" s="15" t="s">
        <v>56</v>
      </c>
      <c r="B53" s="15" t="n">
        <f aca="false">1/(1+$B$33)^B52</f>
        <v>0.956705950478122</v>
      </c>
      <c r="C53" s="15" t="n">
        <f aca="false">1/(1+$B$33)^C52</f>
        <v>0.875659826334251</v>
      </c>
      <c r="D53" s="15" t="n">
        <f aca="false">1/(1+$B$33)^D52</f>
        <v>0.801479421208288</v>
      </c>
      <c r="E53" s="15" t="n">
        <f aca="false">1/(1+$B$33)^E52</f>
        <v>0.733583114472094</v>
      </c>
      <c r="F53" s="15" t="n">
        <f aca="false">1/(1+$B$33)^F52</f>
        <v>0.671438556747079</v>
      </c>
    </row>
    <row r="54" customFormat="false" ht="15" hidden="false" customHeight="true" outlineLevel="0" collapsed="false">
      <c r="A54" s="13" t="s">
        <v>57</v>
      </c>
      <c r="B54" s="13" t="n">
        <f aca="false">B49*B53</f>
        <v>3023.66915648611</v>
      </c>
      <c r="C54" s="13" t="n">
        <f aca="false">C49*C53</f>
        <v>3999.7294972513</v>
      </c>
      <c r="D54" s="13" t="n">
        <f aca="false">D49*D53</f>
        <v>4870.19992183478</v>
      </c>
      <c r="E54" s="13" t="n">
        <f aca="false">E49*E53</f>
        <v>5469.722860801</v>
      </c>
      <c r="F54" s="13" t="n">
        <f aca="false">F49*F53</f>
        <v>5539.03339568023</v>
      </c>
    </row>
    <row r="56" customFormat="false" ht="15" hidden="false" customHeight="true" outlineLevel="0" collapsed="false">
      <c r="A56" s="5" t="s">
        <v>58</v>
      </c>
    </row>
    <row r="57" customFormat="false" ht="15" hidden="false" customHeight="true" outlineLevel="0" collapsed="false">
      <c r="A57" s="9" t="s">
        <v>59</v>
      </c>
      <c r="B57" s="13" t="n">
        <f aca="false">G49</f>
        <v>8555.452205454</v>
      </c>
    </row>
    <row r="58" customFormat="false" ht="15" hidden="false" customHeight="true" outlineLevel="0" collapsed="false">
      <c r="A58" s="9" t="s">
        <v>60</v>
      </c>
      <c r="B58" s="7" t="n">
        <f aca="false">G10</f>
        <v>0.03</v>
      </c>
    </row>
    <row r="59" customFormat="false" ht="15" hidden="false" customHeight="true" outlineLevel="0" collapsed="false">
      <c r="A59" s="9" t="s">
        <v>61</v>
      </c>
      <c r="B59" s="13" t="n">
        <f aca="false">B57*(1+B58)/($B$33-B58)</f>
        <v>140871.355514999</v>
      </c>
    </row>
    <row r="60" customFormat="false" ht="15" hidden="false" customHeight="true" outlineLevel="0" collapsed="false">
      <c r="A60" s="9" t="s">
        <v>62</v>
      </c>
      <c r="B60" s="13" t="n">
        <f aca="false">B59*F53</f>
        <v>94586.4596339959</v>
      </c>
    </row>
    <row r="62" customFormat="false" ht="15" hidden="false" customHeight="true" outlineLevel="0" collapsed="false">
      <c r="A62" s="5" t="s">
        <v>63</v>
      </c>
    </row>
    <row r="63" customFormat="false" ht="15" hidden="false" customHeight="true" outlineLevel="0" collapsed="false">
      <c r="A63" s="9" t="s">
        <v>64</v>
      </c>
      <c r="B63" s="13" t="n">
        <f aca="false">SUM(B54:F54)</f>
        <v>22902.3548320534</v>
      </c>
    </row>
    <row r="64" customFormat="false" ht="15" hidden="false" customHeight="true" outlineLevel="0" collapsed="false">
      <c r="A64" s="9" t="s">
        <v>62</v>
      </c>
      <c r="B64" s="13" t="n">
        <f aca="false">B60</f>
        <v>94586.4596339959</v>
      </c>
    </row>
    <row r="65" customFormat="false" ht="15" hidden="false" customHeight="true" outlineLevel="0" collapsed="false">
      <c r="A65" s="9" t="s">
        <v>65</v>
      </c>
      <c r="B65" s="16" t="n">
        <f aca="false">B63+B64</f>
        <v>117488.814466049</v>
      </c>
    </row>
    <row r="66" customFormat="false" ht="15" hidden="false" customHeight="true" outlineLevel="0" collapsed="false">
      <c r="A66" s="9"/>
      <c r="B66" s="13"/>
    </row>
    <row r="67" customFormat="false" ht="15" hidden="false" customHeight="true" outlineLevel="0" collapsed="false">
      <c r="A67" s="9" t="s">
        <v>66</v>
      </c>
      <c r="B67" s="12" t="n">
        <v>-4764</v>
      </c>
    </row>
    <row r="68" customFormat="false" ht="15" hidden="false" customHeight="true" outlineLevel="0" collapsed="false">
      <c r="A68" s="9" t="s">
        <v>67</v>
      </c>
      <c r="B68" s="12" t="n">
        <v>23490</v>
      </c>
    </row>
    <row r="69" customFormat="false" ht="15" hidden="false" customHeight="true" outlineLevel="0" collapsed="false">
      <c r="A69" s="9" t="s">
        <v>68</v>
      </c>
      <c r="B69" s="16" t="n">
        <f aca="false">B65+B67+B68</f>
        <v>136214.814466049</v>
      </c>
    </row>
    <row r="71" customFormat="false" ht="15" hidden="false" customHeight="true" outlineLevel="0" collapsed="false">
      <c r="A71" s="5" t="s">
        <v>69</v>
      </c>
    </row>
    <row r="72" customFormat="false" ht="15" hidden="false" customHeight="true" outlineLevel="0" collapsed="false">
      <c r="A72" s="9" t="s">
        <v>70</v>
      </c>
      <c r="B72" s="12" t="n">
        <v>418</v>
      </c>
    </row>
    <row r="73" customFormat="false" ht="15" hidden="false" customHeight="true" outlineLevel="0" collapsed="false">
      <c r="A73" s="9" t="s">
        <v>71</v>
      </c>
      <c r="B73" s="17" t="n">
        <f aca="false">B69/B72</f>
        <v>325.872761880501</v>
      </c>
    </row>
    <row r="74" customFormat="false" ht="15" hidden="false" customHeight="true" outlineLevel="0" collapsed="false">
      <c r="A74" s="9" t="s">
        <v>72</v>
      </c>
      <c r="B74" s="17" t="n">
        <f aca="false">B73*1.07</f>
        <v>348.683855212136</v>
      </c>
    </row>
    <row r="75" customFormat="false" ht="15" hidden="false" customHeight="true" outlineLevel="0" collapsed="false">
      <c r="A75" s="9" t="s">
        <v>73</v>
      </c>
      <c r="B75" s="17" t="n">
        <f aca="false">B73/7.25</f>
        <v>44.9479671559311</v>
      </c>
    </row>
    <row r="78" customFormat="false" ht="15" hidden="false" customHeight="true" outlineLevel="0" collapsed="false">
      <c r="A78" s="4" t="s">
        <v>74</v>
      </c>
    </row>
    <row r="79" customFormat="false" ht="15" hidden="false" customHeight="true" outlineLevel="0" collapsed="false">
      <c r="A79" s="6" t="s">
        <v>75</v>
      </c>
      <c r="B79" s="6" t="s">
        <v>11</v>
      </c>
      <c r="C79" s="6" t="s">
        <v>76</v>
      </c>
      <c r="D79" s="6" t="s">
        <v>77</v>
      </c>
      <c r="E79" s="6" t="s">
        <v>78</v>
      </c>
    </row>
    <row r="80" customFormat="false" ht="15" hidden="false" customHeight="true" outlineLevel="0" collapsed="false">
      <c r="A80" s="11" t="s">
        <v>79</v>
      </c>
      <c r="B80" s="13" t="n">
        <v>26832</v>
      </c>
      <c r="C80" s="13" t="n">
        <v>30100</v>
      </c>
      <c r="D80" s="9" t="n">
        <f aca="false">C80-B80</f>
        <v>3268</v>
      </c>
      <c r="E80" s="9" t="s">
        <v>80</v>
      </c>
    </row>
    <row r="81" customFormat="false" ht="15" hidden="false" customHeight="true" outlineLevel="0" collapsed="false">
      <c r="A81" s="11" t="s">
        <v>81</v>
      </c>
      <c r="B81" s="13" t="n">
        <v>0.24</v>
      </c>
      <c r="C81" s="13" t="n">
        <v>0.28</v>
      </c>
      <c r="D81" s="9" t="n">
        <f aca="false">C80-B80</f>
        <v>3268</v>
      </c>
      <c r="E81" s="9" t="s">
        <v>82</v>
      </c>
    </row>
    <row r="82" customFormat="false" ht="15" hidden="false" customHeight="true" outlineLevel="0" collapsed="false">
      <c r="A82" s="11" t="s">
        <v>40</v>
      </c>
      <c r="B82" s="13" t="n">
        <v>0.1</v>
      </c>
      <c r="C82" s="10" t="n">
        <f aca="false">B33</f>
        <v>0.092554347826087</v>
      </c>
      <c r="D82" s="9" t="n">
        <f aca="false">C81-B81</f>
        <v>0.04</v>
      </c>
      <c r="E82" s="9" t="s">
        <v>83</v>
      </c>
    </row>
    <row r="83" customFormat="false" ht="15" hidden="false" customHeight="true" outlineLevel="0" collapsed="false">
      <c r="A83" s="11" t="s">
        <v>84</v>
      </c>
      <c r="B83" s="13" t="n">
        <v>110000</v>
      </c>
      <c r="C83" s="13" t="n">
        <f aca="false">B65</f>
        <v>117488.814466049</v>
      </c>
      <c r="D83" s="10" t="n">
        <f aca="false">C82-B82</f>
        <v>-0.00744565217391305</v>
      </c>
      <c r="E83" s="9" t="s">
        <v>85</v>
      </c>
    </row>
    <row r="84" customFormat="false" ht="15" hidden="false" customHeight="true" outlineLevel="0" collapsed="false">
      <c r="A84" s="11" t="s">
        <v>86</v>
      </c>
      <c r="B84" s="13" t="n">
        <v>118000</v>
      </c>
      <c r="C84" s="13" t="n">
        <f aca="false">B69</f>
        <v>136214.814466049</v>
      </c>
      <c r="D84" s="9" t="n">
        <f aca="false">C83-B83</f>
        <v>7488.81446604925</v>
      </c>
      <c r="E84" s="9" t="s">
        <v>87</v>
      </c>
    </row>
    <row r="85" customFormat="false" ht="15" hidden="false" customHeight="true" outlineLevel="0" collapsed="false">
      <c r="A85" s="11" t="s">
        <v>88</v>
      </c>
      <c r="B85" s="13" t="n">
        <v>280</v>
      </c>
      <c r="C85" s="18" t="n">
        <f aca="false">B74</f>
        <v>348.683855212136</v>
      </c>
      <c r="D85" s="9" t="n">
        <f aca="false">C84-B84</f>
        <v>18214.8144660493</v>
      </c>
      <c r="E85" s="9" t="s">
        <v>89</v>
      </c>
    </row>
    <row r="86" customFormat="false" ht="15" hidden="false" customHeight="true" outlineLevel="0" collapsed="false">
      <c r="A86" s="11" t="s">
        <v>90</v>
      </c>
      <c r="B86" s="13" t="n">
        <v>36</v>
      </c>
      <c r="C86" s="18" t="n">
        <f aca="false">B75</f>
        <v>44.9479671559311</v>
      </c>
      <c r="D86" s="9" t="n">
        <f aca="false">C85-B85</f>
        <v>68.6838552121357</v>
      </c>
      <c r="E86" s="9"/>
    </row>
    <row r="87" customFormat="false" ht="15" hidden="false" customHeight="true" outlineLevel="0" collapsed="false">
      <c r="A87" s="11" t="s">
        <v>91</v>
      </c>
      <c r="B87" s="13" t="n">
        <v>260</v>
      </c>
      <c r="C87" s="13" t="n">
        <v>260</v>
      </c>
      <c r="D87" s="9"/>
      <c r="E87" s="9" t="s">
        <v>92</v>
      </c>
    </row>
    <row r="88" customFormat="false" ht="15" hidden="false" customHeight="true" outlineLevel="0" collapsed="false">
      <c r="A88" s="11" t="s">
        <v>93</v>
      </c>
      <c r="B88" s="7" t="n">
        <v>25</v>
      </c>
      <c r="C88" s="7" t="n">
        <v>34</v>
      </c>
      <c r="D88" s="9"/>
      <c r="E88" s="9" t="s">
        <v>92</v>
      </c>
    </row>
    <row r="89" customFormat="false" ht="15" hidden="false" customHeight="true" outlineLevel="0" collapsed="false">
      <c r="A89" s="11" t="s">
        <v>94</v>
      </c>
      <c r="B89" s="7" t="s">
        <v>95</v>
      </c>
      <c r="C89" s="7" t="n">
        <f aca="false">(C84-C86)/C86</f>
        <v>3029.5</v>
      </c>
      <c r="D89" s="9"/>
      <c r="E89" s="9"/>
    </row>
    <row r="90" customFormat="false" ht="15" hidden="false" customHeight="true" outlineLevel="0" collapsed="false">
      <c r="A90" s="11" t="s">
        <v>96</v>
      </c>
      <c r="B90" s="9" t="s">
        <v>97</v>
      </c>
      <c r="C90" s="9" t="n">
        <f aca="false">(C85-C87)/C87</f>
        <v>0.341091750815906</v>
      </c>
      <c r="D90" s="9"/>
      <c r="E90" s="9"/>
    </row>
    <row r="92" customFormat="false" ht="15" hidden="false" customHeight="true" outlineLevel="0" collapsed="false">
      <c r="A92" s="4" t="s">
        <v>98</v>
      </c>
    </row>
    <row r="94" customFormat="false" ht="15" hidden="false" customHeight="true" outlineLevel="0" collapsed="false">
      <c r="A94" s="4" t="s">
        <v>99</v>
      </c>
    </row>
    <row r="95" customFormat="false" ht="15" hidden="false" customHeight="true" outlineLevel="0" collapsed="false">
      <c r="A95" s="1" t="s">
        <v>100</v>
      </c>
    </row>
    <row r="97" customFormat="false" ht="15" hidden="false" customHeight="true" outlineLevel="0" collapsed="false">
      <c r="A97" s="4" t="s">
        <v>101</v>
      </c>
    </row>
    <row r="98" customFormat="false" ht="15" hidden="false" customHeight="true" outlineLevel="0" collapsed="false">
      <c r="A98" s="1" t="s">
        <v>102</v>
      </c>
    </row>
    <row r="100" customFormat="false" ht="15" hidden="false" customHeight="true" outlineLevel="0" collapsed="false">
      <c r="A100" s="4" t="s">
        <v>103</v>
      </c>
    </row>
    <row r="102" customFormat="false" ht="15" hidden="false" customHeight="true" outlineLevel="0" collapsed="false">
      <c r="A102" s="4" t="s">
        <v>104</v>
      </c>
    </row>
    <row r="103" customFormat="false" ht="15" hidden="false" customHeight="true" outlineLevel="0" collapsed="false">
      <c r="A103" s="1" t="s">
        <v>105</v>
      </c>
    </row>
    <row r="105" customFormat="false" ht="15" hidden="false" customHeight="true" outlineLevel="0" collapsed="false">
      <c r="A105" s="4" t="s">
        <v>106</v>
      </c>
    </row>
    <row r="106" customFormat="false" ht="15" hidden="false" customHeight="true" outlineLevel="0" collapsed="false">
      <c r="A106" s="1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9" t="s">
        <v>108</v>
      </c>
    </row>
    <row r="2" customFormat="false" ht="15" hidden="false" customHeight="false" outlineLevel="0" collapsed="false">
      <c r="A2" s="0" t="s">
        <v>109</v>
      </c>
    </row>
    <row r="3" customFormat="false" ht="15" hidden="false" customHeight="false" outlineLevel="0" collapsed="false">
      <c r="A3" s="0" t="s">
        <v>110</v>
      </c>
    </row>
    <row r="5" customFormat="false" ht="15" hidden="false" customHeight="false" outlineLevel="0" collapsed="false">
      <c r="A5" s="20" t="s">
        <v>111</v>
      </c>
    </row>
    <row r="6" customFormat="false" ht="15" hidden="false" customHeight="false" outlineLevel="0" collapsed="false">
      <c r="A6" s="21" t="s">
        <v>112</v>
      </c>
      <c r="B6" s="21" t="s">
        <v>113</v>
      </c>
      <c r="C6" s="21" t="s">
        <v>114</v>
      </c>
      <c r="D6" s="21" t="s">
        <v>115</v>
      </c>
      <c r="E6" s="21" t="s">
        <v>116</v>
      </c>
    </row>
    <row r="7" customFormat="false" ht="15" hidden="false" customHeight="false" outlineLevel="0" collapsed="false">
      <c r="A7" s="22" t="s">
        <v>117</v>
      </c>
      <c r="B7" s="22" t="s">
        <v>118</v>
      </c>
      <c r="C7" s="22" t="s">
        <v>24</v>
      </c>
      <c r="D7" s="22" t="s">
        <v>119</v>
      </c>
      <c r="E7" s="22" t="s">
        <v>119</v>
      </c>
    </row>
    <row r="8" customFormat="false" ht="15" hidden="false" customHeight="false" outlineLevel="0" collapsed="false">
      <c r="A8" s="22" t="s">
        <v>120</v>
      </c>
      <c r="B8" s="22" t="s">
        <v>121</v>
      </c>
      <c r="C8" s="22" t="s">
        <v>122</v>
      </c>
      <c r="D8" s="22" t="s">
        <v>123</v>
      </c>
      <c r="E8" s="22" t="s">
        <v>123</v>
      </c>
    </row>
    <row r="9" customFormat="false" ht="15" hidden="false" customHeight="false" outlineLevel="0" collapsed="false">
      <c r="A9" s="22" t="s">
        <v>124</v>
      </c>
      <c r="B9" s="22" t="s">
        <v>125</v>
      </c>
      <c r="C9" s="22" t="s">
        <v>126</v>
      </c>
      <c r="D9" s="22" t="s">
        <v>127</v>
      </c>
      <c r="E9" s="22" t="s">
        <v>127</v>
      </c>
    </row>
    <row r="10" customFormat="false" ht="15" hidden="false" customHeight="false" outlineLevel="0" collapsed="false">
      <c r="A10" s="22" t="s">
        <v>128</v>
      </c>
      <c r="B10" s="22" t="s">
        <v>129</v>
      </c>
      <c r="C10" s="22" t="s">
        <v>35</v>
      </c>
      <c r="D10" s="22" t="s">
        <v>130</v>
      </c>
      <c r="E10" s="22" t="s">
        <v>131</v>
      </c>
    </row>
    <row r="11" customFormat="false" ht="15" hidden="false" customHeight="false" outlineLevel="0" collapsed="false">
      <c r="A11" s="22" t="s">
        <v>132</v>
      </c>
      <c r="B11" s="22" t="s">
        <v>133</v>
      </c>
      <c r="C11" s="22" t="s">
        <v>134</v>
      </c>
      <c r="D11" s="22" t="s">
        <v>135</v>
      </c>
      <c r="E11" s="22" t="s">
        <v>135</v>
      </c>
    </row>
    <row r="12" customFormat="false" ht="15" hidden="false" customHeight="false" outlineLevel="0" collapsed="false">
      <c r="A12" s="22" t="s">
        <v>136</v>
      </c>
      <c r="B12" s="22" t="s">
        <v>15</v>
      </c>
      <c r="C12" s="22" t="s">
        <v>137</v>
      </c>
      <c r="D12" s="22" t="s">
        <v>138</v>
      </c>
      <c r="E12" s="22" t="s">
        <v>138</v>
      </c>
    </row>
    <row r="13" customFormat="false" ht="15" hidden="false" customHeight="false" outlineLevel="0" collapsed="false">
      <c r="A13" s="22" t="s">
        <v>139</v>
      </c>
      <c r="B13" s="22" t="s">
        <v>36</v>
      </c>
      <c r="C13" s="22" t="s">
        <v>140</v>
      </c>
      <c r="D13" s="22" t="s">
        <v>141</v>
      </c>
      <c r="E13" s="22" t="s">
        <v>142</v>
      </c>
    </row>
    <row r="14" customFormat="false" ht="15" hidden="false" customHeight="false" outlineLevel="0" collapsed="false">
      <c r="A14" s="22" t="s">
        <v>143</v>
      </c>
      <c r="B14" s="22" t="s">
        <v>31</v>
      </c>
      <c r="C14" s="22" t="s">
        <v>32</v>
      </c>
      <c r="D14" s="22" t="s">
        <v>144</v>
      </c>
      <c r="E14" s="22" t="s">
        <v>144</v>
      </c>
    </row>
    <row r="15" customFormat="false" ht="15" hidden="false" customHeight="false" outlineLevel="0" collapsed="false">
      <c r="A15" s="22" t="s">
        <v>145</v>
      </c>
      <c r="B15" s="22" t="s">
        <v>146</v>
      </c>
      <c r="C15" s="22" t="s">
        <v>147</v>
      </c>
      <c r="D15" s="22" t="s">
        <v>148</v>
      </c>
      <c r="E15" s="22" t="s">
        <v>149</v>
      </c>
    </row>
    <row r="16" customFormat="false" ht="15" hidden="false" customHeight="false" outlineLevel="0" collapsed="false">
      <c r="A16" s="22" t="s">
        <v>150</v>
      </c>
      <c r="B16" s="22" t="s">
        <v>151</v>
      </c>
      <c r="C16" s="22" t="s">
        <v>152</v>
      </c>
      <c r="D16" s="22" t="s">
        <v>153</v>
      </c>
      <c r="E16" s="22" t="s">
        <v>154</v>
      </c>
    </row>
    <row r="17" customFormat="false" ht="15" hidden="false" customHeight="false" outlineLevel="0" collapsed="false">
      <c r="A17" s="23" t="s">
        <v>155</v>
      </c>
      <c r="B17" s="23" t="s">
        <v>40</v>
      </c>
      <c r="C17" s="23" t="s">
        <v>156</v>
      </c>
      <c r="D17" s="23" t="s">
        <v>157</v>
      </c>
      <c r="E17" s="23" t="s">
        <v>158</v>
      </c>
    </row>
    <row r="20" customFormat="false" ht="15" hidden="false" customHeight="false" outlineLevel="0" collapsed="false">
      <c r="A20" s="20" t="s">
        <v>159</v>
      </c>
    </row>
    <row r="22" customFormat="false" ht="15" hidden="false" customHeight="false" outlineLevel="0" collapsed="false">
      <c r="A22" s="21" t="s">
        <v>160</v>
      </c>
      <c r="B22" s="24" t="n">
        <v>0.24</v>
      </c>
      <c r="C22" s="24" t="n">
        <v>0.26</v>
      </c>
      <c r="D22" s="24" t="n">
        <v>0.28</v>
      </c>
      <c r="E22" s="24" t="n">
        <v>0.3</v>
      </c>
      <c r="F22" s="24" t="n">
        <v>0.32</v>
      </c>
    </row>
    <row r="23" customFormat="false" ht="15" hidden="false" customHeight="false" outlineLevel="0" collapsed="false">
      <c r="A23" s="25" t="n">
        <v>0.08</v>
      </c>
      <c r="B23" s="26" t="n">
        <v>372</v>
      </c>
      <c r="C23" s="26" t="n">
        <v>395</v>
      </c>
      <c r="D23" s="26" t="n">
        <v>418</v>
      </c>
      <c r="E23" s="26" t="n">
        <v>441</v>
      </c>
      <c r="F23" s="26" t="n">
        <v>465</v>
      </c>
    </row>
    <row r="24" customFormat="false" ht="15" hidden="false" customHeight="false" outlineLevel="0" collapsed="false">
      <c r="A24" s="25" t="n">
        <v>0.085</v>
      </c>
      <c r="B24" s="26" t="n">
        <v>342</v>
      </c>
      <c r="C24" s="26" t="n">
        <v>363</v>
      </c>
      <c r="D24" s="26" t="n">
        <v>384</v>
      </c>
      <c r="E24" s="26" t="n">
        <v>404</v>
      </c>
      <c r="F24" s="26" t="n">
        <v>425</v>
      </c>
    </row>
    <row r="25" customFormat="false" ht="15" hidden="false" customHeight="false" outlineLevel="0" collapsed="false">
      <c r="A25" s="25" t="n">
        <v>0.09</v>
      </c>
      <c r="B25" s="26" t="n">
        <v>318</v>
      </c>
      <c r="C25" s="26" t="n">
        <v>336</v>
      </c>
      <c r="D25" s="27" t="n">
        <v>355</v>
      </c>
      <c r="E25" s="26" t="n">
        <v>373</v>
      </c>
      <c r="F25" s="26" t="n">
        <v>392</v>
      </c>
    </row>
    <row r="26" customFormat="false" ht="15" hidden="false" customHeight="false" outlineLevel="0" collapsed="false">
      <c r="A26" s="25" t="n">
        <v>0.095</v>
      </c>
      <c r="B26" s="26" t="n">
        <v>297</v>
      </c>
      <c r="C26" s="26" t="n">
        <v>313</v>
      </c>
      <c r="D26" s="27" t="n">
        <v>330</v>
      </c>
      <c r="E26" s="26" t="n">
        <v>347</v>
      </c>
      <c r="F26" s="26" t="n">
        <v>364</v>
      </c>
    </row>
    <row r="27" customFormat="false" ht="15" hidden="false" customHeight="false" outlineLevel="0" collapsed="false">
      <c r="A27" s="25" t="n">
        <v>0.1</v>
      </c>
      <c r="B27" s="26" t="n">
        <v>279</v>
      </c>
      <c r="C27" s="26" t="n">
        <v>294</v>
      </c>
      <c r="D27" s="26" t="n">
        <v>309</v>
      </c>
      <c r="E27" s="26" t="n">
        <v>324</v>
      </c>
      <c r="F27" s="26" t="n">
        <v>340</v>
      </c>
    </row>
    <row r="28" customFormat="false" ht="15" hidden="false" customHeight="false" outlineLevel="0" collapsed="false">
      <c r="A28" s="25" t="n">
        <v>0.105</v>
      </c>
      <c r="B28" s="28" t="n">
        <v>263</v>
      </c>
      <c r="C28" s="26" t="n">
        <v>277</v>
      </c>
      <c r="D28" s="26" t="n">
        <v>291</v>
      </c>
      <c r="E28" s="26" t="n">
        <v>305</v>
      </c>
      <c r="F28" s="26" t="n">
        <v>319</v>
      </c>
    </row>
    <row r="29" customFormat="false" ht="15" hidden="false" customHeight="false" outlineLevel="0" collapsed="false">
      <c r="A29" s="25" t="n">
        <v>0.11</v>
      </c>
      <c r="B29" s="28" t="n">
        <v>250</v>
      </c>
      <c r="C29" s="28" t="n">
        <v>262</v>
      </c>
      <c r="D29" s="26" t="n">
        <v>275</v>
      </c>
      <c r="E29" s="26" t="n">
        <v>288</v>
      </c>
      <c r="F29" s="26" t="n">
        <v>301</v>
      </c>
    </row>
    <row r="32" customFormat="false" ht="15" hidden="false" customHeight="false" outlineLevel="0" collapsed="false">
      <c r="A32" s="20" t="s">
        <v>161</v>
      </c>
    </row>
    <row r="34" customFormat="false" ht="15" hidden="false" customHeight="false" outlineLevel="0" collapsed="false">
      <c r="A34" s="21" t="s">
        <v>160</v>
      </c>
      <c r="B34" s="24" t="n">
        <v>0.24</v>
      </c>
      <c r="C34" s="24" t="n">
        <v>0.26</v>
      </c>
      <c r="D34" s="24" t="n">
        <v>0.28</v>
      </c>
      <c r="E34" s="24" t="n">
        <v>0.3</v>
      </c>
      <c r="F34" s="24" t="n">
        <v>0.32</v>
      </c>
    </row>
    <row r="35" customFormat="false" ht="15" hidden="false" customHeight="false" outlineLevel="0" collapsed="false">
      <c r="A35" s="25" t="n">
        <v>0.08</v>
      </c>
      <c r="B35" s="29" t="n">
        <v>0.362637362637363</v>
      </c>
      <c r="C35" s="29" t="n">
        <v>0.446886446886447</v>
      </c>
      <c r="D35" s="29" t="n">
        <v>0.531135531135531</v>
      </c>
      <c r="E35" s="29" t="n">
        <v>0.615384615384615</v>
      </c>
      <c r="F35" s="29" t="n">
        <v>0.703296703296703</v>
      </c>
    </row>
    <row r="36" customFormat="false" ht="15" hidden="false" customHeight="false" outlineLevel="0" collapsed="false">
      <c r="A36" s="25" t="n">
        <v>0.085</v>
      </c>
      <c r="B36" s="29" t="n">
        <v>0.252747252747253</v>
      </c>
      <c r="C36" s="29" t="n">
        <v>0.32967032967033</v>
      </c>
      <c r="D36" s="29" t="n">
        <v>0.406593406593407</v>
      </c>
      <c r="E36" s="29" t="n">
        <v>0.47985347985348</v>
      </c>
      <c r="F36" s="29" t="n">
        <v>0.556776556776557</v>
      </c>
    </row>
    <row r="37" customFormat="false" ht="15" hidden="false" customHeight="false" outlineLevel="0" collapsed="false">
      <c r="A37" s="25" t="n">
        <v>0.09</v>
      </c>
      <c r="B37" s="29" t="n">
        <v>0.164835164835165</v>
      </c>
      <c r="C37" s="29" t="n">
        <v>0.230769230769231</v>
      </c>
      <c r="D37" s="30" t="n">
        <v>0.3003663003663</v>
      </c>
      <c r="E37" s="29" t="n">
        <v>0.366300366300366</v>
      </c>
      <c r="F37" s="29" t="n">
        <v>0.435897435897436</v>
      </c>
    </row>
    <row r="38" customFormat="false" ht="15" hidden="false" customHeight="false" outlineLevel="0" collapsed="false">
      <c r="A38" s="25" t="n">
        <v>0.095</v>
      </c>
      <c r="B38" s="29" t="n">
        <v>0.0879120879120879</v>
      </c>
      <c r="C38" s="29" t="n">
        <v>0.146520146520147</v>
      </c>
      <c r="D38" s="30" t="n">
        <v>0.208791208791209</v>
      </c>
      <c r="E38" s="29" t="n">
        <v>0.271062271062271</v>
      </c>
      <c r="F38" s="29" t="n">
        <v>0.333333333333333</v>
      </c>
    </row>
    <row r="39" customFormat="false" ht="15" hidden="false" customHeight="false" outlineLevel="0" collapsed="false">
      <c r="A39" s="25" t="n">
        <v>0.1</v>
      </c>
      <c r="B39" s="29" t="n">
        <v>0.021978021978022</v>
      </c>
      <c r="C39" s="29" t="n">
        <v>0.0769230769230769</v>
      </c>
      <c r="D39" s="29" t="n">
        <v>0.131868131868132</v>
      </c>
      <c r="E39" s="29" t="n">
        <v>0.186813186813187</v>
      </c>
      <c r="F39" s="29" t="n">
        <v>0.245421245421245</v>
      </c>
    </row>
    <row r="40" customFormat="false" ht="15" hidden="false" customHeight="false" outlineLevel="0" collapsed="false">
      <c r="A40" s="25" t="n">
        <v>0.105</v>
      </c>
      <c r="B40" s="31" t="n">
        <v>-0.0366300366300366</v>
      </c>
      <c r="C40" s="29" t="n">
        <v>0.0146520146520147</v>
      </c>
      <c r="D40" s="29" t="n">
        <v>0.0659340659340659</v>
      </c>
      <c r="E40" s="29" t="n">
        <v>0.117216117216117</v>
      </c>
      <c r="F40" s="29" t="n">
        <v>0.168498168498169</v>
      </c>
    </row>
    <row r="41" customFormat="false" ht="15" hidden="false" customHeight="false" outlineLevel="0" collapsed="false">
      <c r="A41" s="25" t="n">
        <v>0.11</v>
      </c>
      <c r="B41" s="31" t="n">
        <v>-0.0842490842490843</v>
      </c>
      <c r="C41" s="31" t="n">
        <v>-0.0402930402930403</v>
      </c>
      <c r="D41" s="29" t="n">
        <v>0.00732600732600733</v>
      </c>
      <c r="E41" s="29" t="n">
        <v>0.0549450549450549</v>
      </c>
      <c r="F41" s="29" t="n">
        <v>0.102564102564103</v>
      </c>
    </row>
    <row r="44" customFormat="false" ht="15" hidden="false" customHeight="false" outlineLevel="0" collapsed="false">
      <c r="A44" s="20" t="s">
        <v>162</v>
      </c>
    </row>
    <row r="45" customFormat="false" ht="15" hidden="false" customHeight="false" outlineLevel="0" collapsed="false">
      <c r="A45" s="21" t="s">
        <v>75</v>
      </c>
      <c r="B45" s="21" t="s">
        <v>163</v>
      </c>
    </row>
    <row r="46" customFormat="false" ht="15" hidden="false" customHeight="false" outlineLevel="0" collapsed="false">
      <c r="A46" s="22" t="s">
        <v>164</v>
      </c>
      <c r="B46" s="22" t="s">
        <v>165</v>
      </c>
    </row>
    <row r="47" customFormat="false" ht="15" hidden="false" customHeight="false" outlineLevel="0" collapsed="false">
      <c r="A47" s="22" t="s">
        <v>166</v>
      </c>
      <c r="B47" s="22" t="s">
        <v>167</v>
      </c>
    </row>
    <row r="48" customFormat="false" ht="15" hidden="false" customHeight="false" outlineLevel="0" collapsed="false">
      <c r="A48" s="22" t="s">
        <v>168</v>
      </c>
      <c r="B48" s="22" t="s">
        <v>169</v>
      </c>
    </row>
    <row r="49" customFormat="false" ht="15" hidden="false" customHeight="false" outlineLevel="0" collapsed="false">
      <c r="A49" s="22" t="s">
        <v>170</v>
      </c>
      <c r="B49" s="22" t="s">
        <v>171</v>
      </c>
    </row>
    <row r="50" customFormat="false" ht="15" hidden="false" customHeight="false" outlineLevel="0" collapsed="false">
      <c r="A50" s="22"/>
      <c r="B50" s="22"/>
    </row>
    <row r="51" customFormat="false" ht="15" hidden="false" customHeight="false" outlineLevel="0" collapsed="false">
      <c r="A51" s="22" t="s">
        <v>172</v>
      </c>
      <c r="B51" s="22" t="s">
        <v>173</v>
      </c>
    </row>
    <row r="52" customFormat="false" ht="15" hidden="false" customHeight="false" outlineLevel="0" collapsed="false">
      <c r="A52" s="22" t="s">
        <v>174</v>
      </c>
      <c r="B52" s="22" t="s">
        <v>175</v>
      </c>
    </row>
    <row r="53" customFormat="false" ht="15" hidden="false" customHeight="false" outlineLevel="0" collapsed="false">
      <c r="A53" s="22" t="s">
        <v>176</v>
      </c>
      <c r="B53" s="22" t="s">
        <v>177</v>
      </c>
    </row>
    <row r="56" customFormat="false" ht="15" hidden="false" customHeight="false" outlineLevel="0" collapsed="false">
      <c r="A56" s="20" t="s">
        <v>178</v>
      </c>
    </row>
    <row r="57" customFormat="false" ht="15" hidden="false" customHeight="false" outlineLevel="0" collapsed="false">
      <c r="A57" s="21" t="s">
        <v>179</v>
      </c>
      <c r="B57" s="21" t="s">
        <v>163</v>
      </c>
      <c r="C57" s="21" t="s">
        <v>180</v>
      </c>
    </row>
    <row r="58" customFormat="false" ht="15" hidden="false" customHeight="false" outlineLevel="0" collapsed="false">
      <c r="A58" s="22" t="s">
        <v>181</v>
      </c>
      <c r="B58" s="22" t="s">
        <v>182</v>
      </c>
      <c r="C58" s="22" t="s">
        <v>183</v>
      </c>
    </row>
    <row r="59" customFormat="false" ht="15" hidden="false" customHeight="false" outlineLevel="0" collapsed="false">
      <c r="A59" s="22" t="s">
        <v>184</v>
      </c>
      <c r="B59" s="22" t="s">
        <v>185</v>
      </c>
      <c r="C59" s="22" t="s">
        <v>186</v>
      </c>
    </row>
    <row r="60" customFormat="false" ht="15" hidden="false" customHeight="false" outlineLevel="0" collapsed="false">
      <c r="A60" s="22" t="s">
        <v>60</v>
      </c>
      <c r="B60" s="22" t="s">
        <v>187</v>
      </c>
      <c r="C60" s="22" t="s">
        <v>188</v>
      </c>
    </row>
    <row r="61" customFormat="false" ht="15" hidden="false" customHeight="false" outlineLevel="0" collapsed="false">
      <c r="A61" s="22" t="s">
        <v>81</v>
      </c>
      <c r="B61" s="22" t="s">
        <v>189</v>
      </c>
      <c r="C61" s="22" t="s">
        <v>82</v>
      </c>
    </row>
    <row r="62" customFormat="false" ht="15" hidden="false" customHeight="false" outlineLevel="0" collapsed="false">
      <c r="A62" s="22" t="s">
        <v>190</v>
      </c>
      <c r="B62" s="22" t="s">
        <v>191</v>
      </c>
      <c r="C62" s="22" t="s">
        <v>192</v>
      </c>
    </row>
    <row r="63" customFormat="false" ht="15" hidden="false" customHeight="false" outlineLevel="0" collapsed="false">
      <c r="A63" s="22" t="s">
        <v>17</v>
      </c>
      <c r="B63" s="22" t="s">
        <v>193</v>
      </c>
      <c r="C63" s="22" t="s">
        <v>20</v>
      </c>
    </row>
    <row r="64" customFormat="false" ht="15" hidden="false" customHeight="false" outlineLevel="0" collapsed="false">
      <c r="A64" s="22" t="s">
        <v>19</v>
      </c>
      <c r="B64" s="22" t="s">
        <v>194</v>
      </c>
      <c r="C64" s="22" t="s">
        <v>195</v>
      </c>
    </row>
    <row r="65" customFormat="false" ht="15" hidden="false" customHeight="false" outlineLevel="0" collapsed="false">
      <c r="A65" s="22" t="s">
        <v>196</v>
      </c>
      <c r="B65" s="22" t="s">
        <v>197</v>
      </c>
      <c r="C65" s="22" t="s">
        <v>198</v>
      </c>
    </row>
    <row r="66" customFormat="false" ht="15" hidden="false" customHeight="false" outlineLevel="0" collapsed="false">
      <c r="A66" s="22" t="s">
        <v>199</v>
      </c>
      <c r="B66" s="22" t="s">
        <v>200</v>
      </c>
      <c r="C66" s="22" t="s">
        <v>201</v>
      </c>
    </row>
    <row r="67" customFormat="false" ht="15" hidden="false" customHeight="false" outlineLevel="0" collapsed="false">
      <c r="A67" s="22" t="s">
        <v>202</v>
      </c>
      <c r="B67" s="22" t="s">
        <v>203</v>
      </c>
      <c r="C67" s="22" t="s">
        <v>204</v>
      </c>
    </row>
    <row r="70" customFormat="false" ht="15" hidden="false" customHeight="false" outlineLevel="0" collapsed="false">
      <c r="A70" s="20" t="s">
        <v>205</v>
      </c>
    </row>
    <row r="72" customFormat="false" ht="15" hidden="false" customHeight="false" outlineLevel="0" collapsed="false">
      <c r="A72" s="32" t="s">
        <v>206</v>
      </c>
    </row>
    <row r="73" customFormat="false" ht="15" hidden="false" customHeight="false" outlineLevel="0" collapsed="false">
      <c r="A73" s="33" t="s">
        <v>207</v>
      </c>
    </row>
    <row r="74" customFormat="false" ht="15" hidden="false" customHeight="false" outlineLevel="0" collapsed="false">
      <c r="A74" s="34" t="s">
        <v>208</v>
      </c>
    </row>
    <row r="76" customFormat="false" ht="15" hidden="false" customHeight="false" outlineLevel="0" collapsed="false">
      <c r="A76" s="35" t="s">
        <v>209</v>
      </c>
    </row>
    <row r="77" customFormat="false" ht="15" hidden="false" customHeight="false" outlineLevel="0" collapsed="false">
      <c r="A77" s="35" t="s">
        <v>210</v>
      </c>
    </row>
    <row r="78" customFormat="false" ht="15" hidden="false" customHeight="false" outlineLevel="0" collapsed="false">
      <c r="A78" s="35" t="s">
        <v>211</v>
      </c>
    </row>
    <row r="79" customFormat="false" ht="15" hidden="false" customHeight="false" outlineLevel="0" collapsed="false">
      <c r="A79" s="35" t="s">
        <v>212</v>
      </c>
    </row>
    <row r="80" customFormat="false" ht="15" hidden="false" customHeight="false" outlineLevel="0" collapsed="false">
      <c r="A80" s="35" t="s">
        <v>213</v>
      </c>
    </row>
    <row r="81" customFormat="false" ht="15" hidden="false" customHeight="false" outlineLevel="0" collapsed="false">
      <c r="A81" s="35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2026-01-30T23:29:31Z</dcterms:created>
  <dc:creator>openpyxl</dc:creator>
  <dc:description/>
  <dc:language>en-US</dc:language>
  <cp:lastModifiedBy/>
  <dcterms:modified xsi:type="dcterms:W3CDTF">2026-01-30T23:43:49Z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