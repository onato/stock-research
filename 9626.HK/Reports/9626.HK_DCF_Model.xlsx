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cenario Analysis" sheetId="2" r:id="rId2"/>
    <sheet name="Sensitivity" sheetId="3" r:id="rId3"/>
    <sheet name="Historical Data" sheetId="4" r:id="rId4"/>
    <sheet name="Investment Thesis" sheetId="5" r:id="rId5"/>
  </sheets>
  <calcPr calcId="124519" fullCalcOnLoad="1"/>
</workbook>
</file>

<file path=xl/sharedStrings.xml><?xml version="1.0" encoding="utf-8"?>
<sst xmlns="http://schemas.openxmlformats.org/spreadsheetml/2006/main" count="151" uniqueCount="142">
  <si>
    <t>9626.HK Bilibili Inc. - DCF Valuation Model</t>
  </si>
  <si>
    <t>Gray cells are INPUTS - adjust to see valuation change</t>
  </si>
  <si>
    <t>All financial values in RMB millions unless noted. Stock price in HKD.</t>
  </si>
  <si>
    <t>KEY INPUTS</t>
  </si>
  <si>
    <t>Current Stock Price (HKD)</t>
  </si>
  <si>
    <t>HKD to RMB Exchange Rate</t>
  </si>
  <si>
    <t>Shares Outstanding (M)</t>
  </si>
  <si>
    <t>Cash &amp; Equivalents (RMB M)</t>
  </si>
  <si>
    <t>Total Debt (RMB M)</t>
  </si>
  <si>
    <t>Net Debt (RMB M)</t>
  </si>
  <si>
    <t>Base Year Revenue (RMB M)</t>
  </si>
  <si>
    <t>Base Year FCF (RMB M)</t>
  </si>
  <si>
    <t>WACC</t>
  </si>
  <si>
    <t>Terminal Growth Rate</t>
  </si>
  <si>
    <t>PROJECTION ASSUMPTIONS</t>
  </si>
  <si>
    <t>Revenue Growth Rate</t>
  </si>
  <si>
    <t>2026E</t>
  </si>
  <si>
    <t>2027E</t>
  </si>
  <si>
    <t>2028E</t>
  </si>
  <si>
    <t>2029E</t>
  </si>
  <si>
    <t>2030E</t>
  </si>
  <si>
    <t>FCF Margin %</t>
  </si>
  <si>
    <t>REVENUE PROJECTIONS</t>
  </si>
  <si>
    <t>Revenue (RMB M)</t>
  </si>
  <si>
    <t>Base</t>
  </si>
  <si>
    <t>FREE CASH FLOW PROJECTIONS</t>
  </si>
  <si>
    <t>Free Cash Flow (RMB M)</t>
  </si>
  <si>
    <t>Discount Factor</t>
  </si>
  <si>
    <t>PV of FCF (RMB M)</t>
  </si>
  <si>
    <t>VALUATION</t>
  </si>
  <si>
    <t>Sum of PV of FCF (RMB M)</t>
  </si>
  <si>
    <t>Terminal FCF (Year 5 * (1+g))</t>
  </si>
  <si>
    <t>Terminal Value (RMB M)</t>
  </si>
  <si>
    <t>PV of Terminal Value (RMB M)</t>
  </si>
  <si>
    <t>Enterprise Value (RMB M)</t>
  </si>
  <si>
    <t>Less: Net Debt (RMB M)</t>
  </si>
  <si>
    <t>Equity Value (RMB M)</t>
  </si>
  <si>
    <t>INTRINSIC VALUE/SHARE (RMB)</t>
  </si>
  <si>
    <t>INTRINSIC VALUE/SHARE (HKD)</t>
  </si>
  <si>
    <t>RETURN ANALYSIS</t>
  </si>
  <si>
    <t>Current Price (HKD)</t>
  </si>
  <si>
    <t>Upside to Intrinsic Value</t>
  </si>
  <si>
    <t>ENTRY PRICE (15% CAGR Target)</t>
  </si>
  <si>
    <t>Terminal Value per Share (RMB)</t>
  </si>
  <si>
    <t>Entry Price (RMB, 15% CAGR)</t>
  </si>
  <si>
    <t>Entry Price (HKD, 15% CAGR)</t>
  </si>
  <si>
    <t>Discount from Current Price</t>
  </si>
  <si>
    <t>Scenario Analysis</t>
  </si>
  <si>
    <t>Compare Bull, Base, and Bear case valuations</t>
  </si>
  <si>
    <t>Metric</t>
  </si>
  <si>
    <t>Bull Case</t>
  </si>
  <si>
    <t>Base Case</t>
  </si>
  <si>
    <t>Bear Case</t>
  </si>
  <si>
    <t>ASSUMPTIONS</t>
  </si>
  <si>
    <t>Terminal Growth</t>
  </si>
  <si>
    <t>Avg Revenue Growth (5yr)</t>
  </si>
  <si>
    <t>Avg FCF Margin (5yr)</t>
  </si>
  <si>
    <t>VALUATION RESULTS</t>
  </si>
  <si>
    <t>Intrinsic Value (HKD)</t>
  </si>
  <si>
    <t>Upside from HKD 209</t>
  </si>
  <si>
    <t>PROBABILITY WEIGHTED</t>
  </si>
  <si>
    <t>Probability</t>
  </si>
  <si>
    <t>Weighted IV (HKD)</t>
  </si>
  <si>
    <t>TOTAL WEIGHTED IV (HKD)</t>
  </si>
  <si>
    <t>Weighted Upside</t>
  </si>
  <si>
    <t>SCENARIO DESCRIPTIONS</t>
  </si>
  <si>
    <t>Bull:</t>
  </si>
  <si>
    <t>Strong execution with advertising acceleration, gaming stabilization, and achievement of upper-end mid-term margin targets (45% gross, 30% operating). Market share gains in Gen Z monetization.</t>
  </si>
  <si>
    <t>Base:</t>
  </si>
  <si>
    <t>Moderate growth with margin expansion to mid-term targets by Year 5. Assumes successful execution of profitability roadmap, stable competitive position, no major regulatory disruptions.</t>
  </si>
  <si>
    <t>Bear:</t>
  </si>
  <si>
    <t>Gaming weakness persists, competition intensifies, macro headwinds pressure ad spending, regulatory tightening. Margin expansion stalls as company must invest heavily to defend position.</t>
  </si>
  <si>
    <t>Sensitivity Analysis</t>
  </si>
  <si>
    <t>Intrinsic Value (HKD) by WACC &amp; Terminal Growth</t>
  </si>
  <si>
    <t>Based on Base Case revenue and FCF margin assumptions</t>
  </si>
  <si>
    <t>WACC \ Term G</t>
  </si>
  <si>
    <t>2.5%</t>
  </si>
  <si>
    <t>3.0%</t>
  </si>
  <si>
    <t>3.5%</t>
  </si>
  <si>
    <t>4.0%</t>
  </si>
  <si>
    <t>4.5%</t>
  </si>
  <si>
    <t>9.5%</t>
  </si>
  <si>
    <t>10.5%</t>
  </si>
  <si>
    <t>11.5%</t>
  </si>
  <si>
    <t>12.5%</t>
  </si>
  <si>
    <t>13.5%</t>
  </si>
  <si>
    <t>Current Price: HKD 209</t>
  </si>
  <si>
    <t>Green cell = Base case assumptions (11.5% WACC, 3.5% terminal growth)</t>
  </si>
  <si>
    <t>Historical Growth Rates &amp; Metrics</t>
  </si>
  <si>
    <t>Source: 9626.HK_Metrics.csv and 9626.HK_Analysis.json</t>
  </si>
  <si>
    <t>GROWTH RATES</t>
  </si>
  <si>
    <t>3-Year CAGR</t>
  </si>
  <si>
    <t>5-Year CAGR</t>
  </si>
  <si>
    <t>Revenue</t>
  </si>
  <si>
    <t>Gross Profit</t>
  </si>
  <si>
    <t>MARGIN PROGRESSION</t>
  </si>
  <si>
    <t>Period</t>
  </si>
  <si>
    <t>Gross Margin</t>
  </si>
  <si>
    <t>Operating Margin</t>
  </si>
  <si>
    <t>FY2018</t>
  </si>
  <si>
    <t>FY2024</t>
  </si>
  <si>
    <t>Q3 2025</t>
  </si>
  <si>
    <t>KEY METRICS PROGRESSION</t>
  </si>
  <si>
    <t>Operating Cash Flow (RMB M)</t>
  </si>
  <si>
    <t>Est. Free Cash Flow (RMB M)</t>
  </si>
  <si>
    <t>MAU (Millions)</t>
  </si>
  <si>
    <t>DAU (Millions)</t>
  </si>
  <si>
    <t>PROFITABILITY INFLECTION</t>
  </si>
  <si>
    <t>Q2 2025: First GAAP net profit of RMB 218M</t>
  </si>
  <si>
    <t>Q3 2025: Net profit RMB 469M, 6.1% margin</t>
  </si>
  <si>
    <t>13 consecutive quarters of gross margin expansion</t>
  </si>
  <si>
    <t>Investment Thesis &amp; Recommendation</t>
  </si>
  <si>
    <t>As of 2026-01-30</t>
  </si>
  <si>
    <t>RECOMMENDATION: BUY</t>
  </si>
  <si>
    <t>Target Price: HKD 506.49 | Current: HKD 209.00 | Upside: 142.3%</t>
  </si>
  <si>
    <t>INVESTMENT THESIS</t>
  </si>
  <si>
    <t>Bilibili has reached a profitability inflection point after years of losses, achieving 3 consecutive quarters of GAAP net profit with expanding margins (36.7% gross, 10.2% adjusted net margin in Q3 2025). Management's credible mid-term margin targets (40-45% gross, 15-30% operating) combined with sustainable revenue growth (high teens) create a compelling value creation pathway. At HKD 209, the stock trades at a significant discount to intrinsic value across all scenarios (base: +124% upside; probability-weighted: +142% upside), offering attractive risk/reward. The unique Gen Z community moat, accelerating advertising business (+23% YoY), and improving FCF generation (RMB 8.1B TTM) support the investment case. Key risks include gaming revenue volatility (-17% YoY Q3), competitive pressure from larger platforms, and China regulatory uncertainty. However, the current valuation appears to overly discount these risks given the company's proven execution on profitability and strong user engagement metrics (112 min daily time spent, 80% retention). Entry at current levels offers good margin of safety with potential for multi-year value realization as profitability track record strengthens.</t>
  </si>
  <si>
    <t>KEY CATALYSTS</t>
  </si>
  <si>
    <t>• Q4 2025 results demonstrating continued margin expansion toward ~37% gross, ~10% operating</t>
  </si>
  <si>
    <t>• FY2026 guidance reinforcing path to mid-term margin targets</t>
  </si>
  <si>
    <t>• Gaming revenue stabilization or recovery from new title launches</t>
  </si>
  <si>
    <t>• Advertising revenue acceleration continuing (&gt;20% growth) with expanding advertiser base</t>
  </si>
  <si>
    <t>• Further share buyback execution (US$200M program, US$116M executed to date)</t>
  </si>
  <si>
    <t>• Inclusion in major indices (MSCI China, Hang Seng Tech) driving institutional inflows</t>
  </si>
  <si>
    <t>BULL CASE POINTS</t>
  </si>
  <si>
    <t>• Proven profitability turnaround with 3 consecutive quarters of GAAP net profit and expanding margins (10.2% adjusted net margin in Q3 2025)</t>
  </si>
  <si>
    <t>• Strong user engagement metrics (112 min daily time spent, 80% retention) and growing paying user base (+17% YoY) demonstrate monetization runway</t>
  </si>
  <si>
    <t>• Advertising business accelerating (23% growth in Q3, 30% in Double Eleven) with AI-enhanced efficiency and expanding advertiser base</t>
  </si>
  <si>
    <t>• Clear path to mid-term margin targets (40-45% gross margin, 15-30% operating margin) through operational leverage</t>
  </si>
  <si>
    <t>• Dominant position in Gen Z+ market with unique community moat and brand loyalty that competitors struggle to replicate</t>
  </si>
  <si>
    <t>• Cash generation improving significantly (RMB 2.0B operating cash flow in Q3) enabling reinvestment and shareholder returns</t>
  </si>
  <si>
    <t>BEAR CASE RISKS</t>
  </si>
  <si>
    <t>• Gaming revenue volatility is a major concern (-17% YoY in Q3 2025) and represents 20%+ of total revenue; hit-driven model creates uncertainty</t>
  </si>
  <si>
    <t>• Profitability is recent and unproven over economic cycles; maintaining margins while investing in growth is challenging</t>
  </si>
  <si>
    <t>• Competition from Douyin (700M+ users), Kuaishou, and deep-pocketed Tencent/iQiyi intensifying for users, creators, and advertisers</t>
  </si>
  <si>
    <t>• China macro headwinds (economic slowdown, youth unemployment) could pressure consumer spending on games and premium services</t>
  </si>
  <si>
    <t>• Regulatory risks remain high in China's internet sector (content rules, VIE structure uncertainty, platform regulations effective April 2026)</t>
  </si>
  <si>
    <t>• Limited pricing power due to competition; need to balance user/creator satisfaction with monetization efficiency</t>
  </si>
  <si>
    <t>HOLD CRITERIA</t>
  </si>
  <si>
    <t>Hold until price reaches HKD 450-500 (base to probability-weighted IV), or if fundamentals deteriorate (gaming revenue decline accelerates, margin expansion stalls, regulatory crackdown, loss of user engagement). Re-evaluate if quarterly profitability reverses or competitive position weakens materially.</t>
  </si>
  <si>
    <t>SELL CRITERIA</t>
  </si>
  <si>
    <t>Sell if: (1) Price exceeds HKD 650 (bull case with limited further upside), (2) Gaming revenue declines &gt;25% for 2+ consecutive quarters, (3) Gross margin expansion stalls or reverses for 2+ quarters, (4) Major regulatory action threatens business model, (5) User engagement metrics (DAU, time spent, retention) deteriorate significantly, (6) Large platforms (Douyin, Kuaishou) successfully replicate Bilibili's Gen Z community moat.</t>
  </si>
</sst>
</file>

<file path=xl/styles.xml><?xml version="1.0" encoding="utf-8"?>
<styleSheet xmlns="http://schemas.openxmlformats.org/spreadsheetml/2006/main">
  <numFmts count="4">
    <numFmt numFmtId="164" formatCode="#,##0.0"/>
    <numFmt numFmtId="165" formatCode="0.0%"/>
    <numFmt numFmtId="166" formatCode="&quot;RMB &quot;#,##0.0"/>
    <numFmt numFmtId="167" formatCode="&quot;HKD &quot;#,##0.00"/>
  </numFmts>
  <fonts count="8">
    <font>
      <sz val="11"/>
      <color theme="1"/>
      <name val="Calibri"/>
      <family val="2"/>
      <scheme val="minor"/>
    </font>
    <font>
      <b/>
      <sz val="16"/>
      <color theme="1"/>
      <name val="Calibri"/>
      <family val="2"/>
      <scheme val="minor"/>
    </font>
    <font>
      <i/>
      <sz val="11"/>
      <color rgb="FF808080"/>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
      <b/>
      <sz val="11"/>
      <color rgb="FFFF0000"/>
      <name val="Calibri"/>
      <family val="2"/>
      <scheme val="minor"/>
    </font>
    <font>
      <b/>
      <sz val="14"/>
      <color rgb="FFFFFFFF"/>
      <name val="Calibri"/>
      <family val="2"/>
      <scheme val="minor"/>
    </font>
  </fonts>
  <fills count="5">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00B894"/>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wrapText="1"/>
    </xf>
    <xf numFmtId="0" fontId="3" fillId="0" borderId="1" xfId="0" applyFont="1" applyBorder="1"/>
    <xf numFmtId="164" fontId="0" fillId="2" borderId="2" xfId="0" applyNumberFormat="1" applyFill="1" applyBorder="1"/>
    <xf numFmtId="165" fontId="0" fillId="2" borderId="2" xfId="0" applyNumberFormat="1" applyFill="1" applyBorder="1"/>
    <xf numFmtId="164" fontId="0" fillId="0" borderId="2" xfId="0" applyNumberFormat="1" applyBorder="1"/>
    <xf numFmtId="0" fontId="4" fillId="3" borderId="2" xfId="0" applyFont="1" applyFill="1" applyBorder="1" applyAlignment="1">
      <alignment horizontal="center"/>
    </xf>
    <xf numFmtId="0" fontId="5" fillId="0" borderId="0" xfId="0" applyFont="1"/>
    <xf numFmtId="166" fontId="4" fillId="4" borderId="2" xfId="0" applyNumberFormat="1" applyFont="1" applyFill="1" applyBorder="1"/>
    <xf numFmtId="167" fontId="4" fillId="4" borderId="2" xfId="0" applyNumberFormat="1" applyFont="1" applyFill="1" applyBorder="1"/>
    <xf numFmtId="167" fontId="0" fillId="0" borderId="2" xfId="0" applyNumberFormat="1" applyBorder="1"/>
    <xf numFmtId="165" fontId="0" fillId="0" borderId="2" xfId="0" applyNumberFormat="1" applyBorder="1"/>
    <xf numFmtId="166" fontId="0" fillId="0" borderId="2" xfId="0" applyNumberFormat="1" applyBorder="1"/>
    <xf numFmtId="165" fontId="4" fillId="4" borderId="2" xfId="0" applyNumberFormat="1" applyFont="1" applyFill="1" applyBorder="1"/>
    <xf numFmtId="0" fontId="6" fillId="0" borderId="0" xfId="0" applyFont="1"/>
    <xf numFmtId="0" fontId="7" fillId="4" borderId="0" xfId="0" applyFont="1" applyFill="1"/>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width="28.7109375" customWidth="1"/>
    <col min="2" max="8" width="14.7109375" customWidth="1"/>
  </cols>
  <sheetData>
    <row r="1" spans="1:2">
      <c r="A1" s="1" t="s">
        <v>0</v>
      </c>
    </row>
    <row r="2" spans="1:2">
      <c r="A2" s="2" t="s">
        <v>1</v>
      </c>
    </row>
    <row r="3" spans="1:2">
      <c r="A3" s="2" t="s">
        <v>2</v>
      </c>
    </row>
    <row r="5" spans="1:2">
      <c r="A5" s="3" t="s">
        <v>3</v>
      </c>
    </row>
    <row r="6" spans="1:2">
      <c r="A6" t="s">
        <v>4</v>
      </c>
      <c r="B6" s="4">
        <v>209</v>
      </c>
    </row>
    <row r="7" spans="1:2">
      <c r="A7" t="s">
        <v>5</v>
      </c>
      <c r="B7" s="5">
        <v>0.92</v>
      </c>
    </row>
    <row r="8" spans="1:2">
      <c r="A8" t="s">
        <v>6</v>
      </c>
      <c r="B8" s="4">
        <v>416.6</v>
      </c>
    </row>
    <row r="9" spans="1:2">
      <c r="A9" t="s">
        <v>7</v>
      </c>
      <c r="B9" s="4">
        <v>10249.4</v>
      </c>
    </row>
    <row r="10" spans="1:2">
      <c r="A10" t="s">
        <v>8</v>
      </c>
      <c r="B10" s="4">
        <v>4835.9</v>
      </c>
    </row>
    <row r="11" spans="1:2">
      <c r="A11" t="s">
        <v>9</v>
      </c>
      <c r="B11" s="6">
        <f>B10-B9</f>
        <v>0</v>
      </c>
    </row>
    <row r="13" spans="1:2">
      <c r="A13" t="s">
        <v>10</v>
      </c>
      <c r="B13" s="4">
        <v>29760.7</v>
      </c>
    </row>
    <row r="14" spans="1:2">
      <c r="A14" t="s">
        <v>11</v>
      </c>
      <c r="B14" s="4">
        <v>8059</v>
      </c>
    </row>
    <row r="16" spans="1:2">
      <c r="A16" t="s">
        <v>12</v>
      </c>
      <c r="B16" s="5">
        <v>0.115</v>
      </c>
    </row>
    <row r="17" spans="1:7">
      <c r="A17" t="s">
        <v>13</v>
      </c>
      <c r="B17" s="5">
        <v>0.035</v>
      </c>
    </row>
    <row r="19" spans="1:7">
      <c r="A19" s="3" t="s">
        <v>14</v>
      </c>
    </row>
    <row r="20" spans="1:7">
      <c r="A20" t="s">
        <v>15</v>
      </c>
      <c r="B20" s="7" t="s">
        <v>16</v>
      </c>
      <c r="C20" s="7" t="s">
        <v>17</v>
      </c>
      <c r="D20" s="7" t="s">
        <v>18</v>
      </c>
      <c r="E20" s="7" t="s">
        <v>19</v>
      </c>
      <c r="F20" s="7" t="s">
        <v>20</v>
      </c>
    </row>
    <row r="21" spans="1:7">
      <c r="A21" t="s">
        <v>21</v>
      </c>
      <c r="B21" s="5">
        <v>0.18</v>
      </c>
      <c r="C21" s="5">
        <v>0.15</v>
      </c>
      <c r="D21" s="5">
        <v>0.12</v>
      </c>
      <c r="E21" s="5">
        <v>0.1</v>
      </c>
      <c r="F21" s="5">
        <v>0.08</v>
      </c>
    </row>
    <row r="22" spans="1:7">
      <c r="B22" s="5">
        <v>0.24</v>
      </c>
      <c r="C22" s="5">
        <v>0.26</v>
      </c>
      <c r="D22" s="5">
        <v>0.28</v>
      </c>
      <c r="E22" s="5">
        <v>0.3</v>
      </c>
      <c r="F22" s="5">
        <v>0.32</v>
      </c>
    </row>
    <row r="24" spans="1:7">
      <c r="A24" s="3" t="s">
        <v>22</v>
      </c>
    </row>
    <row r="25" spans="1:7">
      <c r="A25" t="s">
        <v>23</v>
      </c>
      <c r="B25" s="7" t="s">
        <v>24</v>
      </c>
      <c r="C25" s="6">
        <f>$B$13*(1+B21)</f>
        <v>0</v>
      </c>
      <c r="D25" s="6">
        <f>C25*(1+C21)</f>
        <v>0</v>
      </c>
      <c r="E25" s="6">
        <f>D25*(1+D21)</f>
        <v>0</v>
      </c>
      <c r="F25" s="6">
        <f>E25*(1+E21)</f>
        <v>0</v>
      </c>
      <c r="G25" s="6">
        <f>F25*(1+F21)</f>
        <v>0</v>
      </c>
    </row>
    <row r="27" spans="1:7">
      <c r="A27" s="3" t="s">
        <v>25</v>
      </c>
    </row>
    <row r="28" spans="1:7">
      <c r="A28" t="s">
        <v>26</v>
      </c>
      <c r="B28" s="7" t="s">
        <v>24</v>
      </c>
      <c r="C28" s="6">
        <f>C25*B22</f>
        <v>0</v>
      </c>
      <c r="D28" s="6">
        <f>D25*C22</f>
        <v>0</v>
      </c>
      <c r="E28" s="6">
        <f>E25*D22</f>
        <v>0</v>
      </c>
      <c r="F28" s="6">
        <f>F25*E22</f>
        <v>0</v>
      </c>
      <c r="G28" s="6">
        <f>G25*F22</f>
        <v>0</v>
      </c>
    </row>
    <row r="29" spans="1:7">
      <c r="A29" t="s">
        <v>27</v>
      </c>
      <c r="C29" s="6">
        <f>1/(1+$B$16)^1</f>
        <v>0</v>
      </c>
      <c r="D29" s="6">
        <f>1/(1+$B$16)^2</f>
        <v>0</v>
      </c>
      <c r="E29" s="6">
        <f>1/(1+$B$16)^3</f>
        <v>0</v>
      </c>
      <c r="F29" s="6">
        <f>1/(1+$B$16)^4</f>
        <v>0</v>
      </c>
      <c r="G29" s="6">
        <f>1/(1+$B$16)^5</f>
        <v>0</v>
      </c>
    </row>
    <row r="30" spans="1:7">
      <c r="A30" t="s">
        <v>28</v>
      </c>
      <c r="C30" s="6">
        <f>C28*C29</f>
        <v>0</v>
      </c>
      <c r="D30" s="6">
        <f>D28*D29</f>
        <v>0</v>
      </c>
      <c r="E30" s="6">
        <f>E28*E29</f>
        <v>0</v>
      </c>
      <c r="F30" s="6">
        <f>F28*F29</f>
        <v>0</v>
      </c>
      <c r="G30" s="6">
        <f>G28*G29</f>
        <v>0</v>
      </c>
    </row>
    <row r="32" spans="1:7">
      <c r="A32" s="3" t="s">
        <v>29</v>
      </c>
    </row>
    <row r="33" spans="1:2">
      <c r="A33" t="s">
        <v>30</v>
      </c>
      <c r="B33" s="6">
        <f>SUM(C30:G30)</f>
        <v>0</v>
      </c>
    </row>
    <row r="35" spans="1:2">
      <c r="A35" t="s">
        <v>31</v>
      </c>
      <c r="B35" s="6">
        <f>G28*(1+$B$17)</f>
        <v>0</v>
      </c>
    </row>
    <row r="36" spans="1:2">
      <c r="A36" t="s">
        <v>32</v>
      </c>
      <c r="B36" s="6">
        <f>B35/($B$16-$B$17)</f>
        <v>0</v>
      </c>
    </row>
    <row r="37" spans="1:2">
      <c r="A37" t="s">
        <v>33</v>
      </c>
      <c r="B37" s="6">
        <f>B36*G29</f>
        <v>0</v>
      </c>
    </row>
    <row r="39" spans="1:2">
      <c r="A39" t="s">
        <v>34</v>
      </c>
      <c r="B39" s="6">
        <f>B33+B37</f>
        <v>0</v>
      </c>
    </row>
    <row r="40" spans="1:2">
      <c r="A40" t="s">
        <v>35</v>
      </c>
      <c r="B40" s="6">
        <f>B11</f>
        <v>0</v>
      </c>
    </row>
    <row r="41" spans="1:2">
      <c r="A41" t="s">
        <v>36</v>
      </c>
      <c r="B41" s="6">
        <f>B39-B40</f>
        <v>0</v>
      </c>
    </row>
    <row r="43" spans="1:2">
      <c r="A43" s="8" t="s">
        <v>37</v>
      </c>
      <c r="B43" s="9">
        <f>B41/B8</f>
        <v>0</v>
      </c>
    </row>
    <row r="44" spans="1:2">
      <c r="A44" s="8" t="s">
        <v>38</v>
      </c>
      <c r="B44" s="10">
        <f>B43/B7</f>
        <v>0</v>
      </c>
    </row>
    <row r="46" spans="1:2">
      <c r="A46" s="3" t="s">
        <v>39</v>
      </c>
    </row>
    <row r="47" spans="1:2">
      <c r="A47" t="s">
        <v>40</v>
      </c>
      <c r="B47" s="11">
        <f>B6</f>
        <v>0</v>
      </c>
    </row>
    <row r="48" spans="1:2">
      <c r="A48" t="s">
        <v>41</v>
      </c>
      <c r="B48" s="12">
        <f>(B44-B6)/B6</f>
        <v>0</v>
      </c>
    </row>
    <row r="50" spans="1:2">
      <c r="A50" s="3" t="s">
        <v>42</v>
      </c>
    </row>
    <row r="51" spans="1:2">
      <c r="A51" t="s">
        <v>43</v>
      </c>
      <c r="B51" s="13">
        <f>B36/B8</f>
        <v>0</v>
      </c>
    </row>
    <row r="52" spans="1:2">
      <c r="A52" t="s">
        <v>44</v>
      </c>
      <c r="B52" s="9">
        <f>B51/(1.15^5)</f>
        <v>0</v>
      </c>
    </row>
    <row r="53" spans="1:2">
      <c r="A53" t="s">
        <v>45</v>
      </c>
      <c r="B53" s="10">
        <f>B52/B7</f>
        <v>0</v>
      </c>
    </row>
    <row r="54" spans="1:2">
      <c r="A54" t="s">
        <v>46</v>
      </c>
      <c r="B54" s="12">
        <f>(B6-B53)/B6</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1"/>
  <sheetViews>
    <sheetView workbookViewId="0"/>
  </sheetViews>
  <sheetFormatPr defaultRowHeight="15"/>
  <cols>
    <col min="1" max="1" width="25.7109375" customWidth="1"/>
    <col min="2" max="4" width="16.7109375" customWidth="1"/>
  </cols>
  <sheetData>
    <row r="1" spans="1:4">
      <c r="A1" s="1" t="s">
        <v>47</v>
      </c>
    </row>
    <row r="2" spans="1:4">
      <c r="A2" t="s">
        <v>48</v>
      </c>
    </row>
    <row r="4" spans="1:4">
      <c r="A4" s="7" t="s">
        <v>49</v>
      </c>
      <c r="B4" s="7" t="s">
        <v>50</v>
      </c>
      <c r="C4" s="7" t="s">
        <v>51</v>
      </c>
      <c r="D4" s="7" t="s">
        <v>52</v>
      </c>
    </row>
    <row r="6" spans="1:4">
      <c r="A6" s="8" t="s">
        <v>53</v>
      </c>
    </row>
    <row r="7" spans="1:4">
      <c r="A7" t="s">
        <v>12</v>
      </c>
      <c r="B7" s="12">
        <v>0.105</v>
      </c>
      <c r="C7" s="12">
        <v>0.115</v>
      </c>
      <c r="D7" s="12">
        <v>0.13</v>
      </c>
    </row>
    <row r="8" spans="1:4">
      <c r="A8" t="s">
        <v>54</v>
      </c>
      <c r="B8" s="12">
        <v>0.04</v>
      </c>
      <c r="C8" s="12">
        <v>0.035</v>
      </c>
      <c r="D8" s="12">
        <v>0.025</v>
      </c>
    </row>
    <row r="9" spans="1:4">
      <c r="A9" t="s">
        <v>55</v>
      </c>
      <c r="B9" s="12">
        <v>0.158</v>
      </c>
      <c r="C9" s="12">
        <v>0.126</v>
      </c>
      <c r="D9" s="12">
        <v>0.066</v>
      </c>
    </row>
    <row r="10" spans="1:4">
      <c r="A10" t="s">
        <v>56</v>
      </c>
      <c r="B10" s="12">
        <v>0.32</v>
      </c>
      <c r="C10" s="12">
        <v>0.28</v>
      </c>
      <c r="D10" s="12">
        <v>0.22</v>
      </c>
    </row>
    <row r="12" spans="1:4">
      <c r="A12" s="8" t="s">
        <v>57</v>
      </c>
    </row>
    <row r="13" spans="1:4">
      <c r="A13" t="s">
        <v>34</v>
      </c>
      <c r="B13" s="6">
        <v>285597</v>
      </c>
      <c r="C13" s="6">
        <v>173859</v>
      </c>
      <c r="D13" s="6">
        <v>80550</v>
      </c>
    </row>
    <row r="14" spans="1:4">
      <c r="A14" t="s">
        <v>36</v>
      </c>
      <c r="B14" s="6">
        <v>291010</v>
      </c>
      <c r="C14" s="6">
        <v>179272</v>
      </c>
      <c r="D14" s="6">
        <v>85963</v>
      </c>
    </row>
    <row r="15" spans="1:4">
      <c r="A15" t="s">
        <v>58</v>
      </c>
      <c r="B15" s="11">
        <v>759.25</v>
      </c>
      <c r="C15" s="11">
        <v>467.72</v>
      </c>
      <c r="D15" s="11">
        <v>224.27</v>
      </c>
    </row>
    <row r="16" spans="1:4">
      <c r="A16" t="s">
        <v>59</v>
      </c>
      <c r="B16" s="12">
        <v>2.633</v>
      </c>
      <c r="C16" s="12">
        <v>1.238</v>
      </c>
      <c r="D16" s="12">
        <v>0.073</v>
      </c>
    </row>
    <row r="18" spans="1:4">
      <c r="A18" s="8" t="s">
        <v>60</v>
      </c>
    </row>
    <row r="19" spans="1:4">
      <c r="A19" t="s">
        <v>61</v>
      </c>
      <c r="B19" s="12">
        <v>0.3</v>
      </c>
      <c r="C19" s="12">
        <v>0.5</v>
      </c>
      <c r="D19" s="12">
        <v>0.2</v>
      </c>
    </row>
    <row r="20" spans="1:4">
      <c r="A20" t="s">
        <v>62</v>
      </c>
      <c r="B20" s="11">
        <v>227.775</v>
      </c>
      <c r="C20" s="11">
        <v>233.86</v>
      </c>
      <c r="D20" s="11">
        <v>44.85400000000001</v>
      </c>
    </row>
    <row r="22" spans="1:4">
      <c r="A22" s="8" t="s">
        <v>63</v>
      </c>
      <c r="B22" s="10">
        <f>B20+C20+D20</f>
        <v>0</v>
      </c>
    </row>
    <row r="23" spans="1:4">
      <c r="A23" t="s">
        <v>64</v>
      </c>
      <c r="B23" s="14">
        <f>(B22-209)/209</f>
        <v>0</v>
      </c>
    </row>
    <row r="25" spans="1:4">
      <c r="A25" s="8" t="s">
        <v>65</v>
      </c>
    </row>
    <row r="27" spans="1:4">
      <c r="A27" s="8" t="s">
        <v>66</v>
      </c>
      <c r="B27" s="2" t="s">
        <v>67</v>
      </c>
      <c r="C27" s="2"/>
      <c r="D27" s="2"/>
    </row>
    <row r="29" spans="1:4">
      <c r="A29" s="8" t="s">
        <v>68</v>
      </c>
      <c r="B29" s="2" t="s">
        <v>69</v>
      </c>
      <c r="C29" s="2"/>
      <c r="D29" s="2"/>
    </row>
    <row r="31" spans="1:4">
      <c r="A31" s="8" t="s">
        <v>70</v>
      </c>
      <c r="B31" s="2" t="s">
        <v>71</v>
      </c>
      <c r="C31" s="2"/>
      <c r="D31" s="2"/>
    </row>
  </sheetData>
  <mergeCells count="3">
    <mergeCell ref="B27:D27"/>
    <mergeCell ref="B29:D29"/>
    <mergeCell ref="B31:D3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3"/>
  <sheetViews>
    <sheetView workbookViewId="0"/>
  </sheetViews>
  <sheetFormatPr defaultRowHeight="15"/>
  <cols>
    <col min="1" max="1" width="18.7109375" customWidth="1"/>
    <col min="2" max="7" width="12.7109375" customWidth="1"/>
  </cols>
  <sheetData>
    <row r="1" spans="1:6">
      <c r="A1" s="1" t="s">
        <v>72</v>
      </c>
    </row>
    <row r="2" spans="1:6">
      <c r="A2" t="s">
        <v>73</v>
      </c>
    </row>
    <row r="3" spans="1:6">
      <c r="A3" s="2" t="s">
        <v>74</v>
      </c>
    </row>
    <row r="5" spans="1:6">
      <c r="A5" s="7" t="s">
        <v>75</v>
      </c>
      <c r="B5" s="7" t="s">
        <v>76</v>
      </c>
      <c r="C5" s="7" t="s">
        <v>77</v>
      </c>
      <c r="D5" s="7" t="s">
        <v>78</v>
      </c>
      <c r="E5" s="7" t="s">
        <v>79</v>
      </c>
      <c r="F5" s="7" t="s">
        <v>80</v>
      </c>
    </row>
    <row r="6" spans="1:6">
      <c r="A6" s="7" t="s">
        <v>81</v>
      </c>
      <c r="B6" s="11">
        <v>618.48</v>
      </c>
      <c r="C6" s="11">
        <v>679.35</v>
      </c>
      <c r="D6" s="11">
        <v>756.52</v>
      </c>
      <c r="E6" s="11">
        <v>857.61</v>
      </c>
      <c r="F6" s="11">
        <v>996.74</v>
      </c>
    </row>
    <row r="7" spans="1:6">
      <c r="A7" s="7" t="s">
        <v>82</v>
      </c>
      <c r="B7" s="11">
        <v>538.04</v>
      </c>
      <c r="C7" s="11">
        <v>585.87</v>
      </c>
      <c r="D7" s="11">
        <v>645.65</v>
      </c>
      <c r="E7" s="11">
        <v>724.13</v>
      </c>
      <c r="F7" s="11">
        <v>831.52</v>
      </c>
    </row>
    <row r="8" spans="1:6">
      <c r="A8" s="7" t="s">
        <v>83</v>
      </c>
      <c r="B8" s="11">
        <v>475</v>
      </c>
      <c r="C8" s="11">
        <v>513.04</v>
      </c>
      <c r="D8" s="10">
        <v>560.87</v>
      </c>
      <c r="E8" s="11">
        <v>622.83</v>
      </c>
      <c r="F8" s="11">
        <v>707.61</v>
      </c>
    </row>
    <row r="9" spans="1:6">
      <c r="A9" s="7" t="s">
        <v>84</v>
      </c>
      <c r="B9" s="11">
        <v>424.35</v>
      </c>
      <c r="C9" s="11">
        <v>454.78</v>
      </c>
      <c r="D9" s="11">
        <v>491.74</v>
      </c>
      <c r="E9" s="11">
        <v>538.26</v>
      </c>
      <c r="F9" s="11">
        <v>599.13</v>
      </c>
    </row>
    <row r="10" spans="1:6">
      <c r="A10" s="7" t="s">
        <v>85</v>
      </c>
      <c r="B10" s="11">
        <v>382.61</v>
      </c>
      <c r="C10" s="11">
        <v>407.39</v>
      </c>
      <c r="D10" s="11">
        <v>436.96</v>
      </c>
      <c r="E10" s="11">
        <v>472.17</v>
      </c>
      <c r="F10" s="11">
        <v>515.22</v>
      </c>
    </row>
    <row r="12" spans="1:6">
      <c r="A12" s="15" t="s">
        <v>86</v>
      </c>
    </row>
    <row r="13" spans="1:6">
      <c r="A13" s="2"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6"/>
  <sheetViews>
    <sheetView workbookViewId="0"/>
  </sheetViews>
  <sheetFormatPr defaultRowHeight="15"/>
  <cols>
    <col min="1" max="1" width="30.7109375" customWidth="1"/>
    <col min="2" max="3" width="15.7109375" customWidth="1"/>
  </cols>
  <sheetData>
    <row r="1" spans="1:3">
      <c r="A1" s="1" t="s">
        <v>88</v>
      </c>
    </row>
    <row r="2" spans="1:3">
      <c r="A2" s="2" t="s">
        <v>89</v>
      </c>
    </row>
    <row r="4" spans="1:3">
      <c r="A4" s="8" t="s">
        <v>90</v>
      </c>
    </row>
    <row r="5" spans="1:3">
      <c r="A5" s="7" t="s">
        <v>49</v>
      </c>
      <c r="B5" s="7" t="s">
        <v>91</v>
      </c>
      <c r="C5" s="7" t="s">
        <v>92</v>
      </c>
    </row>
    <row r="7" spans="1:3">
      <c r="A7" t="s">
        <v>93</v>
      </c>
      <c r="B7" s="12">
        <v>0.191</v>
      </c>
      <c r="C7" s="12">
        <v>0.338</v>
      </c>
    </row>
    <row r="8" spans="1:3">
      <c r="A8" t="s">
        <v>94</v>
      </c>
      <c r="B8" s="12">
        <v>0.374</v>
      </c>
      <c r="C8" s="12">
        <v>0.492</v>
      </c>
    </row>
    <row r="9" spans="1:3">
      <c r="A9" s="8" t="s">
        <v>95</v>
      </c>
    </row>
    <row r="10" spans="1:3">
      <c r="A10" s="7" t="s">
        <v>96</v>
      </c>
      <c r="B10" s="7" t="s">
        <v>97</v>
      </c>
      <c r="C10" s="7" t="s">
        <v>98</v>
      </c>
    </row>
    <row r="12" spans="1:3">
      <c r="A12" t="s">
        <v>99</v>
      </c>
      <c r="B12" s="12">
        <v>0.209</v>
      </c>
      <c r="C12" s="12">
        <v>-0.177</v>
      </c>
    </row>
    <row r="13" spans="1:3">
      <c r="A13" t="s">
        <v>100</v>
      </c>
      <c r="B13" s="12">
        <v>0.327</v>
      </c>
      <c r="C13" s="12">
        <v>-0.05</v>
      </c>
    </row>
    <row r="14" spans="1:3">
      <c r="A14" t="s">
        <v>101</v>
      </c>
      <c r="B14" s="12">
        <v>0.367</v>
      </c>
      <c r="C14" s="12">
        <v>0.046</v>
      </c>
    </row>
    <row r="15" spans="1:3">
      <c r="A15" s="8" t="s">
        <v>102</v>
      </c>
    </row>
    <row r="16" spans="1:3">
      <c r="A16" s="7" t="s">
        <v>49</v>
      </c>
      <c r="B16" s="7" t="s">
        <v>100</v>
      </c>
      <c r="C16" s="7" t="s">
        <v>101</v>
      </c>
    </row>
    <row r="18" spans="1:3">
      <c r="A18" t="s">
        <v>23</v>
      </c>
      <c r="B18" s="6">
        <v>26831.5</v>
      </c>
      <c r="C18" s="6">
        <v>29760.7</v>
      </c>
    </row>
    <row r="19" spans="1:3">
      <c r="A19" t="s">
        <v>103</v>
      </c>
      <c r="B19" s="6">
        <v>6014.9</v>
      </c>
      <c r="C19" s="6">
        <v>8308.299999999999</v>
      </c>
    </row>
    <row r="20" spans="1:3">
      <c r="A20" t="s">
        <v>104</v>
      </c>
      <c r="B20" s="6">
        <v>5834.4</v>
      </c>
      <c r="C20" s="6">
        <v>8059</v>
      </c>
    </row>
    <row r="21" spans="1:3">
      <c r="A21" t="s">
        <v>105</v>
      </c>
      <c r="B21" s="6">
        <v>340</v>
      </c>
      <c r="C21" s="6">
        <v>376</v>
      </c>
    </row>
    <row r="22" spans="1:3">
      <c r="A22" t="s">
        <v>106</v>
      </c>
      <c r="B22" s="6">
        <v>103</v>
      </c>
      <c r="C22" s="6">
        <v>117.3</v>
      </c>
    </row>
    <row r="23" spans="1:3">
      <c r="A23" s="8" t="s">
        <v>107</v>
      </c>
    </row>
    <row r="24" spans="1:3">
      <c r="A24" s="2" t="s">
        <v>108</v>
      </c>
    </row>
    <row r="25" spans="1:3">
      <c r="A25" s="2" t="s">
        <v>109</v>
      </c>
    </row>
    <row r="26" spans="1:3">
      <c r="A26" s="2" t="s">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45"/>
  <sheetViews>
    <sheetView workbookViewId="0"/>
  </sheetViews>
  <sheetFormatPr defaultRowHeight="15"/>
  <cols>
    <col min="1" max="1" width="100.7109375" customWidth="1"/>
  </cols>
  <sheetData>
    <row r="1" spans="1:1">
      <c r="A1" s="1" t="s">
        <v>111</v>
      </c>
    </row>
    <row r="2" spans="1:1">
      <c r="A2" s="2" t="s">
        <v>112</v>
      </c>
    </row>
    <row r="4" spans="1:1">
      <c r="A4" s="16" t="s">
        <v>113</v>
      </c>
    </row>
    <row r="5" spans="1:1">
      <c r="A5" s="17" t="s">
        <v>114</v>
      </c>
    </row>
    <row r="7" spans="1:1">
      <c r="A7" s="8" t="s">
        <v>115</v>
      </c>
    </row>
    <row r="8" spans="1:1">
      <c r="A8" s="2" t="s">
        <v>116</v>
      </c>
    </row>
    <row r="9" spans="1:1">
      <c r="A9" s="2"/>
    </row>
    <row r="10" spans="1:1">
      <c r="A10" s="2"/>
    </row>
    <row r="11" spans="1:1">
      <c r="A11" s="2"/>
    </row>
    <row r="12" spans="1:1">
      <c r="A12" s="2"/>
    </row>
    <row r="14" spans="1:1">
      <c r="A14" s="8" t="s">
        <v>117</v>
      </c>
    </row>
    <row r="15" spans="1:1">
      <c r="A15" s="2" t="s">
        <v>118</v>
      </c>
    </row>
    <row r="16" spans="1:1">
      <c r="A16" s="2" t="s">
        <v>119</v>
      </c>
    </row>
    <row r="17" spans="1:1">
      <c r="A17" s="2" t="s">
        <v>120</v>
      </c>
    </row>
    <row r="18" spans="1:1">
      <c r="A18" s="2" t="s">
        <v>121</v>
      </c>
    </row>
    <row r="19" spans="1:1">
      <c r="A19" s="2" t="s">
        <v>122</v>
      </c>
    </row>
    <row r="20" spans="1:1">
      <c r="A20" s="2" t="s">
        <v>123</v>
      </c>
    </row>
    <row r="22" spans="1:1">
      <c r="A22" s="8" t="s">
        <v>124</v>
      </c>
    </row>
    <row r="23" spans="1:1">
      <c r="A23" s="2" t="s">
        <v>125</v>
      </c>
    </row>
    <row r="24" spans="1:1">
      <c r="A24" s="2" t="s">
        <v>126</v>
      </c>
    </row>
    <row r="25" spans="1:1">
      <c r="A25" s="2" t="s">
        <v>127</v>
      </c>
    </row>
    <row r="26" spans="1:1">
      <c r="A26" s="2" t="s">
        <v>128</v>
      </c>
    </row>
    <row r="27" spans="1:1">
      <c r="A27" s="2" t="s">
        <v>129</v>
      </c>
    </row>
    <row r="28" spans="1:1">
      <c r="A28" s="2" t="s">
        <v>130</v>
      </c>
    </row>
    <row r="30" spans="1:1">
      <c r="A30" s="8" t="s">
        <v>131</v>
      </c>
    </row>
    <row r="31" spans="1:1">
      <c r="A31" s="2" t="s">
        <v>132</v>
      </c>
    </row>
    <row r="32" spans="1:1">
      <c r="A32" s="2" t="s">
        <v>133</v>
      </c>
    </row>
    <row r="33" spans="1:1">
      <c r="A33" s="2" t="s">
        <v>134</v>
      </c>
    </row>
    <row r="34" spans="1:1">
      <c r="A34" s="2" t="s">
        <v>135</v>
      </c>
    </row>
    <row r="35" spans="1:1">
      <c r="A35" s="2" t="s">
        <v>136</v>
      </c>
    </row>
    <row r="36" spans="1:1">
      <c r="A36" s="2" t="s">
        <v>137</v>
      </c>
    </row>
    <row r="38" spans="1:1">
      <c r="A38" s="8" t="s">
        <v>138</v>
      </c>
    </row>
    <row r="39" spans="1:1">
      <c r="A39" s="2" t="s">
        <v>139</v>
      </c>
    </row>
    <row r="40" spans="1:1">
      <c r="A40" s="2"/>
    </row>
    <row r="42" spans="1:1">
      <c r="A42" s="8" t="s">
        <v>140</v>
      </c>
    </row>
    <row r="43" spans="1:1">
      <c r="A43" s="2" t="s">
        <v>141</v>
      </c>
    </row>
    <row r="44" spans="1:1">
      <c r="A44" s="2"/>
    </row>
    <row r="45" spans="1:1">
      <c r="A45" s="2"/>
    </row>
  </sheetData>
  <mergeCells count="3">
    <mergeCell ref="A8:A12"/>
    <mergeCell ref="A39:A40"/>
    <mergeCell ref="A43:A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DCF Model</vt:lpstr>
      <vt:lpstr>Scenario Analysis</vt:lpstr>
      <vt:lpstr>Sensitivity</vt:lpstr>
      <vt:lpstr>Historical Data</vt:lpstr>
      <vt:lpstr>Investment Thesis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2026-01-30T07:10:14Z</dcterms:created>
  <dcterms:modified xsi:type="dcterms:W3CDTF">2026-01-30T07:10:14Z</dcterms:modified>
</cp:coreProperties>
</file>