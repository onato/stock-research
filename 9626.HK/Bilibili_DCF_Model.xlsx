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Historical Financials" sheetId="2" state="visible" r:id="rId4"/>
    <sheet name="DCF Model" sheetId="3" state="visible" r:id="rId5"/>
    <sheet name="Sensitivity Analysis" sheetId="4" state="visible" r:id="rId6"/>
    <sheet name="Comps Analysis" sheetId="5" state="visible" r:id="rId7"/>
    <sheet name="Investmen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<sst xmlns="http://schemas.openxmlformats.org/spreadsheetml/2006/main" count="454" uniqueCount="396">
  <si>
    <t xml:space="preserve">BILIBILI INC. (9626.HK / BILI)</t>
  </si>
  <si>
    <t xml:space="preserve">Discounted Cash Flow Valuation Model</t>
  </si>
  <si>
    <t xml:space="preserve">All figures in RMB millions unless otherwise stated</t>
  </si>
  <si>
    <t xml:space="preserve">COMPANY OVERVIEW</t>
  </si>
  <si>
    <t xml:space="preserve">Company Name:</t>
  </si>
  <si>
    <t xml:space="preserve">Bilibili Inc.</t>
  </si>
  <si>
    <t xml:space="preserve">Ticker:</t>
  </si>
  <si>
    <t xml:space="preserve">9626.HK (HKEX) / BILI (NASDAQ)</t>
  </si>
  <si>
    <t xml:space="preserve">Industry:</t>
  </si>
  <si>
    <t xml:space="preserve">Interactive Media &amp; Services</t>
  </si>
  <si>
    <t xml:space="preserve">Headquarters:</t>
  </si>
  <si>
    <t xml:space="preserve">Shanghai, China</t>
  </si>
  <si>
    <t xml:space="preserve">Founded:</t>
  </si>
  <si>
    <t xml:space="preserve">2009</t>
  </si>
  <si>
    <t xml:space="preserve">Employees:</t>
  </si>
  <si>
    <t xml:space="preserve">~8,000</t>
  </si>
  <si>
    <t xml:space="preserve">Business Description:</t>
  </si>
  <si>
    <t xml:space="preserve">Leading video community for young generations in China</t>
  </si>
  <si>
    <t xml:space="preserve">- Professional user-generated videos (PUGV)</t>
  </si>
  <si>
    <t xml:space="preserve">- Mobile games publishing</t>
  </si>
  <si>
    <t xml:space="preserve">- Value-added services (VAS) - live streaming, memberships</t>
  </si>
  <si>
    <t xml:space="preserve">- Advertising services</t>
  </si>
  <si>
    <t xml:space="preserve">- IP derivatives and e-commerce</t>
  </si>
  <si>
    <t xml:space="preserve">KEY OPERATING METRICS (Q3 2025)</t>
  </si>
  <si>
    <t xml:space="preserve">Daily Active Users (DAU):</t>
  </si>
  <si>
    <t xml:space="preserve">117 million</t>
  </si>
  <si>
    <t xml:space="preserve">+9% YoY</t>
  </si>
  <si>
    <t xml:space="preserve">Monthly Active Users (MAU):</t>
  </si>
  <si>
    <t xml:space="preserve">376 million</t>
  </si>
  <si>
    <t xml:space="preserve">+8% YoY</t>
  </si>
  <si>
    <t xml:space="preserve">Monthly Paying Users:</t>
  </si>
  <si>
    <t xml:space="preserve">35 million</t>
  </si>
  <si>
    <t xml:space="preserve">+17% YoY</t>
  </si>
  <si>
    <t xml:space="preserve">Avg. Daily Time Spent:</t>
  </si>
  <si>
    <t xml:space="preserve">112 minutes</t>
  </si>
  <si>
    <t xml:space="preserve">Strong engagement</t>
  </si>
  <si>
    <t xml:space="preserve">Premium Membership Auto-renewal:</t>
  </si>
  <si>
    <t xml:space="preserve">~80%</t>
  </si>
  <si>
    <t xml:space="preserve">High retention</t>
  </si>
  <si>
    <t xml:space="preserve">REVENUE BREAKDOWN (FY2024)</t>
  </si>
  <si>
    <t xml:space="preserve">Segment</t>
  </si>
  <si>
    <t xml:space="preserve">Revenue (RMB mm)</t>
  </si>
  <si>
    <t xml:space="preserve">% of Total</t>
  </si>
  <si>
    <t xml:space="preserve">YoY Growth</t>
  </si>
  <si>
    <t xml:space="preserve">Advertising</t>
  </si>
  <si>
    <t xml:space="preserve">30.5%</t>
  </si>
  <si>
    <t xml:space="preserve">+28%</t>
  </si>
  <si>
    <t xml:space="preserve">Mobile Games</t>
  </si>
  <si>
    <t xml:space="preserve">20.9%</t>
  </si>
  <si>
    <t xml:space="preserve">+40%</t>
  </si>
  <si>
    <t xml:space="preserve">Value-Added Services</t>
  </si>
  <si>
    <t xml:space="preserve">40.0%</t>
  </si>
  <si>
    <t xml:space="preserve">+8%</t>
  </si>
  <si>
    <t xml:space="preserve">IP Derivatives &amp; Others</t>
  </si>
  <si>
    <t xml:space="preserve">8.6%</t>
  </si>
  <si>
    <t xml:space="preserve">-16%</t>
  </si>
  <si>
    <t xml:space="preserve">Total Revenue</t>
  </si>
  <si>
    <t xml:space="preserve">100.0%</t>
  </si>
  <si>
    <t xml:space="preserve">+19%</t>
  </si>
  <si>
    <t xml:space="preserve">BILIBILI - HISTORICAL FINANCIAL STATEMENTS</t>
  </si>
  <si>
    <t xml:space="preserve">INCOME STATEMENT (RMB millions)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</si>
  <si>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</si>
  <si>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</si>
  <si>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</si>
  <si>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</si>
  <si>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</si>
  <si>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Cost of Revenue</t>
  </si>
  <si>
    <t xml:space="preserve">Gross Profit</t>
  </si>
  <si>
    <t xml:space="preserve">Gross Margin %</t>
  </si>
  <si>
    <t xml:space="preserve">19.3%</t>
  </si>
  <si>
    <t xml:space="preserve">17.6%</t>
  </si>
  <si>
    <t xml:space="preserve">24.2%</t>
  </si>
  <si>
    <t xml:space="preserve">32.7%</t>
  </si>
  <si>
    <t xml:space="preserve">Operating Expenses:</t>
  </si>
  <si>
    <t xml:space="preserve">  Selling &amp; Marketing</t>
  </si>
  <si>
    <t xml:space="preserve">  G&amp;A</t>
  </si>
  <si>
    <t xml:space="preserve">  R&amp;D</t>
  </si>
  <si>
    <t xml:space="preserve">Total OpEx</t>
  </si>
  <si>
    <t xml:space="preserve">Operating Income</t>
  </si>
  <si>
    <t xml:space="preserve">Operating Margin %</t>
  </si>
  <si>
    <t xml:space="preserve">-24.9%</t>
  </si>
  <si>
    <t xml:space="preserve">-33.2%</t>
  </si>
  <si>
    <t xml:space="preserve">-38.2%</t>
  </si>
  <si>
    <t xml:space="preserve">-22.5%</t>
  </si>
  <si>
    <t xml:space="preserve">-1.7%</t>
  </si>
  <si>
    <t xml:space="preserve">Other Income/(Expense)</t>
  </si>
  <si>
    <t xml:space="preserve">Pre-Tax Income</t>
  </si>
  <si>
    <t xml:space="preserve">Income Tax</t>
  </si>
  <si>
    <t xml:space="preserve">Net Income</t>
  </si>
  <si>
    <t xml:space="preserve">Net Margin %</t>
  </si>
  <si>
    <t xml:space="preserve">-24.1%</t>
  </si>
  <si>
    <t xml:space="preserve">-35.4%</t>
  </si>
  <si>
    <t xml:space="preserve">-34.6%</t>
  </si>
  <si>
    <t xml:space="preserve">-21.9%</t>
  </si>
  <si>
    <t xml:space="preserve">-5.3%</t>
  </si>
  <si>
    <t xml:space="preserve">CASH FLOW STATEMENT (RMB millions)</t>
  </si>
  <si>
    <t xml:space="preserve">D&amp;A</t>
  </si>
  <si>
    <t xml:space="preserve">Stock-Based Comp</t>
  </si>
  <si>
    <t xml:space="preserve">Other Adjustments</t>
  </si>
  <si>
    <t xml:space="preserve">Operating Cash Flow</t>
  </si>
  <si>
    <t xml:space="preserve">CapEx</t>
  </si>
  <si>
    <t xml:space="preserve">Intangibles &amp; Content</t>
  </si>
  <si>
    <t xml:space="preserve">Investments</t>
  </si>
  <si>
    <t xml:space="preserve">Other Investing</t>
  </si>
  <si>
    <t xml:space="preserve">Investing Cash Flow</t>
  </si>
  <si>
    <t xml:space="preserve">Debt Issued/(Repaid)</t>
  </si>
  <si>
    <t xml:space="preserve">Equity Issued</t>
  </si>
  <si>
    <t xml:space="preserve">Share Repurchases</t>
  </si>
  <si>
    <t xml:space="preserve">Other Financing</t>
  </si>
  <si>
    <t xml:space="preserve">Financing Cash Flow</t>
  </si>
  <si>
    <t xml:space="preserve">Free Cash Flow</t>
  </si>
  <si>
    <t xml:space="preserve">FCF Margin %</t>
  </si>
  <si>
    <t xml:space="preserve">1.3%</t>
  </si>
  <si>
    <t xml:space="preserve">-18.6%</t>
  </si>
  <si>
    <t xml:space="preserve">-21.3%</t>
  </si>
  <si>
    <t xml:space="preserve">0.4%</t>
  </si>
  <si>
    <t xml:space="preserve">20.7%</t>
  </si>
  <si>
    <t xml:space="preserve">BALANCE SHEET SUMMARY (RMB millions)</t>
  </si>
  <si>
    <t xml:space="preserve">Cash &amp; Equivalents</t>
  </si>
  <si>
    <t xml:space="preserve">Short-term Investments</t>
  </si>
  <si>
    <t xml:space="preserve">Total Cash Position</t>
  </si>
  <si>
    <t xml:space="preserve">Total Assets</t>
  </si>
  <si>
    <t xml:space="preserve">Total Debt</t>
  </si>
  <si>
    <t xml:space="preserve">Total Equity</t>
  </si>
  <si>
    <t xml:space="preserve">Net Cash/(Debt)</t>
  </si>
  <si>
    <t xml:space="preserve">BILIBILI - DISCOUNTED CASH FLOW MODEL</t>
  </si>
  <si>
    <t xml:space="preserve">KEY ASSUMPTIONS</t>
  </si>
  <si>
    <t xml:space="preserve">Assumption</t>
  </si>
  <si>
    <t xml:space="preserve">Value</t>
  </si>
  <si>
    <t xml:space="preserve">Source/Notes</t>
  </si>
  <si>
    <t xml:space="preserve">Base Year Revenue (FY2024)</t>
  </si>
  <si>
    <t xml:space="preserve">Company 10-K, FY2024</t>
  </si>
  <si>
    <t xml:space="preserve">Revenue Growth - Year 1 (2025E)</t>
  </si>
  <si>
    <t xml:space="preserve">10.0%</t>
  </si>
  <si>
    <t xml:space="preserve">Analyst consensus ~8-11%</t>
  </si>
  <si>
    <t xml:space="preserve">Revenue Growth - Year 2 (2026E)</t>
  </si>
  <si>
    <t xml:space="preserve">11.0%</t>
  </si>
  <si>
    <t xml:space="preserve">Strong ad &amp; gaming momentum</t>
  </si>
  <si>
    <t xml:space="preserve">Revenue Growth - Year 3 (2027E)</t>
  </si>
  <si>
    <t xml:space="preserve">Moderating growth</t>
  </si>
  <si>
    <t xml:space="preserve">Revenue Growth - Year 4 (2028E)</t>
  </si>
  <si>
    <t xml:space="preserve">8.0%</t>
  </si>
  <si>
    <t xml:space="preserve">Maturing business</t>
  </si>
  <si>
    <t xml:space="preserve">Revenue Growth - Year 5 (2029E)</t>
  </si>
  <si>
    <t xml:space="preserve">6.0%</t>
  </si>
  <si>
    <t xml:space="preserve">Approaching terminal</t>
  </si>
  <si>
    <t xml:space="preserve">Terminal Growth Rate</t>
  </si>
  <si>
    <t xml:space="preserve">3.0%</t>
  </si>
  <si>
    <t xml:space="preserve">China nominal GDP growth proxy</t>
  </si>
  <si>
    <t xml:space="preserve">EBITDA Margin - Year 1</t>
  </si>
  <si>
    <t xml:space="preserve">18.0%</t>
  </si>
  <si>
    <t xml:space="preserve">Improving from 15% in 2024</t>
  </si>
  <si>
    <t xml:space="preserve">EBITDA Margin - Year 2</t>
  </si>
  <si>
    <t xml:space="preserve">20.0%</t>
  </si>
  <si>
    <t xml:space="preserve">Operating leverage</t>
  </si>
  <si>
    <t xml:space="preserve">EBITDA Margin - Year 3</t>
  </si>
  <si>
    <t xml:space="preserve">22.0%</t>
  </si>
  <si>
    <t xml:space="preserve">Scale benefits</t>
  </si>
  <si>
    <t xml:space="preserve">EBITDA Margin - Year 4</t>
  </si>
  <si>
    <t xml:space="preserve">23.0%</t>
  </si>
  <si>
    <t xml:space="preserve">Approaching target</t>
  </si>
  <si>
    <t xml:space="preserve">EBITDA Margin - Year 5 (Terminal)</t>
  </si>
  <si>
    <t xml:space="preserve">24.0%</t>
  </si>
  <si>
    <t xml:space="preserve">Mature steady-state</t>
  </si>
  <si>
    <t xml:space="preserve">Tax Rate</t>
  </si>
  <si>
    <t xml:space="preserve">25.0%</t>
  </si>
  <si>
    <t xml:space="preserve">China corporate tax rate</t>
  </si>
  <si>
    <t xml:space="preserve">D&amp;A as % of Revenue</t>
  </si>
  <si>
    <t xml:space="preserve">Historical average</t>
  </si>
  <si>
    <t xml:space="preserve">CapEx as % of Revenue</t>
  </si>
  <si>
    <t xml:space="preserve">Low capital intensity</t>
  </si>
  <si>
    <t xml:space="preserve">Change in NWC as % of Rev Growth</t>
  </si>
  <si>
    <t xml:space="preserve">5.0%</t>
  </si>
  <si>
    <t xml:space="preserve">Working capital investment</t>
  </si>
  <si>
    <t xml:space="preserve">Risk-Free Rate</t>
  </si>
  <si>
    <t xml:space="preserve">4.5%</t>
  </si>
  <si>
    <t xml:space="preserve">10-year US Treasury + China spread</t>
  </si>
  <si>
    <t xml:space="preserve">Equity Risk Premium</t>
  </si>
  <si>
    <t xml:space="preserve">6.5%</t>
  </si>
  <si>
    <t xml:space="preserve">China/EM premium</t>
  </si>
  <si>
    <t xml:space="preserve">Beta (unlevered)</t>
  </si>
  <si>
    <t xml:space="preserve">0.85</t>
  </si>
  <si>
    <t xml:space="preserve">Historical average, low vol</t>
  </si>
  <si>
    <t xml:space="preserve">Cost of Debt (pre-tax)</t>
  </si>
  <si>
    <t xml:space="preserve">Estimated borrowing cost</t>
  </si>
  <si>
    <t xml:space="preserve">Target D/E Ratio</t>
  </si>
  <si>
    <t xml:space="preserve">15.0%</t>
  </si>
  <si>
    <t xml:space="preserve">Conservative leverage</t>
  </si>
  <si>
    <t xml:space="preserve">WACC CALCULATION</t>
  </si>
  <si>
    <t xml:space="preserve">Component</t>
  </si>
  <si>
    <t xml:space="preserve">Formula</t>
  </si>
  <si>
    <t xml:space="preserve">Cost of Equity:</t>
  </si>
  <si>
    <t xml:space="preserve">  Risk-Free Rate</t>
  </si>
  <si>
    <t xml:space="preserve">Input</t>
  </si>
  <si>
    <t xml:space="preserve">  Equity Risk Premium</t>
  </si>
  <si>
    <t xml:space="preserve">  Beta</t>
  </si>
  <si>
    <t xml:space="preserve">  Cost of Equity</t>
  </si>
  <si>
    <t xml:space="preserve">Cost of Debt:</t>
  </si>
  <si>
    <t xml:space="preserve">  Pre-tax Cost</t>
  </si>
  <si>
    <t xml:space="preserve">  Tax Rate</t>
  </si>
  <si>
    <t xml:space="preserve">  After-tax Cost of Debt</t>
  </si>
  <si>
    <t xml:space="preserve">Capital Structure:</t>
  </si>
  <si>
    <t xml:space="preserve">  Equity Weight</t>
  </si>
  <si>
    <t xml:space="preserve">87.0%</t>
  </si>
  <si>
    <t xml:space="preserve">1/(1+D/E)</t>
  </si>
  <si>
    <t xml:space="preserve">  Debt Weight</t>
  </si>
  <si>
    <t xml:space="preserve">13.0%</t>
  </si>
  <si>
    <t xml:space="preserve">D/E/(1+D/E)</t>
  </si>
  <si>
    <t xml:space="preserve">WACC</t>
  </si>
  <si>
    <t xml:space="preserve">FREE CASH FLOW PROJECTIONS</t>
  </si>
  <si>
    <t xml:space="preserve">FY2024A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</si>
  <si>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</si>
  <si>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</si>
  <si>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</si>
  <si>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</si>
  <si>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</si>
  <si>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Terminal</t>
  </si>
  <si>
    <t xml:space="preserve">Revenue</t>
  </si>
  <si>
    <t xml:space="preserve">Revenue Growth %</t>
  </si>
  <si>
    <t xml:space="preserve">19.1%</t>
  </si>
  <si>
    <t xml:space="preserve">EBITDA</t>
  </si>
  <si>
    <t xml:space="preserve">EBITDA Margin %</t>
  </si>
  <si>
    <t xml:space="preserve">Less: D&amp;A</t>
  </si>
  <si>
    <t xml:space="preserve">EBIT</t>
  </si>
  <si>
    <t xml:space="preserve">Less: Taxes</t>
  </si>
  <si>
    <t xml:space="preserve">NOPAT</t>
  </si>
  <si>
    <t xml:space="preserve">Add: D&amp;A</t>
  </si>
  <si>
    <t xml:space="preserve">Less: CapEx</t>
  </si>
  <si>
    <t xml:space="preserve">Less: Change in NWC</t>
  </si>
  <si>
    <t xml:space="preserve">Unlevered Free Cash Flow</t>
  </si>
  <si>
    <t xml:space="preserve">DCF VALUATION</t>
  </si>
  <si>
    <t xml:space="preserve">Present Value Calculations</t>
  </si>
  <si>
    <t xml:space="preserve">Year</t>
  </si>
  <si>
    <t xml:space="preserve">UFCF</t>
  </si>
  <si>
    <t xml:space="preserve">Discount Factor</t>
  </si>
  <si>
    <t xml:space="preserve">PV of UFCF</t>
  </si>
  <si>
    <t xml:space="preserve">Terminal Value Calculation</t>
  </si>
  <si>
    <t xml:space="preserve">Terminal Year UFCF</t>
  </si>
  <si>
    <t xml:space="preserve">Terminal Value (Gordon Growth)</t>
  </si>
  <si>
    <t xml:space="preserve">PV of Terminal Value</t>
  </si>
  <si>
    <t xml:space="preserve">Implied Terminal EV/EBITDA</t>
  </si>
  <si>
    <t xml:space="preserve">ENTERPRISE VALUE CALCULATION</t>
  </si>
  <si>
    <t xml:space="preserve">Sum of PV of UFCF</t>
  </si>
  <si>
    <t xml:space="preserve">Enterprise Value</t>
  </si>
  <si>
    <t xml:space="preserve">EQUITY VALUE BRIDGE</t>
  </si>
  <si>
    <t xml:space="preserve">Less: Total Debt</t>
  </si>
  <si>
    <t xml:space="preserve">Add: Cash &amp; Equivalents</t>
  </si>
  <si>
    <t xml:space="preserve">Equity Value</t>
  </si>
  <si>
    <t xml:space="preserve">PER SHARE VALUATION</t>
  </si>
  <si>
    <t xml:space="preserve">Shares Outstanding (millions)</t>
  </si>
  <si>
    <t xml:space="preserve">Based on diluted shares (~416M equivalent)</t>
  </si>
  <si>
    <t xml:space="preserve">Equity Value per Share (RMB)</t>
  </si>
  <si>
    <t xml:space="preserve">USD/RMB Exchange Rate</t>
  </si>
  <si>
    <t xml:space="preserve">Equity Value per ADS (USD)</t>
  </si>
  <si>
    <t xml:space="preserve">HKD/RMB Exchange Rate</t>
  </si>
  <si>
    <t xml:space="preserve">Equity Value per Share (HKD)</t>
  </si>
  <si>
    <t xml:space="preserve">VALUATION COMPARISON</t>
  </si>
  <si>
    <t xml:space="preserve">Current Stock Price (HKD)</t>
  </si>
  <si>
    <t xml:space="preserve">Implied Upside/(Downside)</t>
  </si>
  <si>
    <t xml:space="preserve">Current Stock Price (USD)</t>
  </si>
  <si>
    <t xml:space="preserve">BILIBILI - SENSITIVITY ANALYSIS</t>
  </si>
  <si>
    <t xml:space="preserve">EQUITY VALUE PER SHARE (HKD) - WACC vs Terminal Growth</t>
  </si>
  <si>
    <t xml:space="preserve">2.0%</t>
  </si>
  <si>
    <t xml:space="preserve">2.5%</t>
  </si>
  <si>
    <t xml:space="preserve">3.5%</t>
  </si>
  <si>
    <t xml:space="preserve">4.0%</t>
  </si>
  <si>
    <t xml:space="preserve">9.0%</t>
  </si>
  <si>
    <t xml:space="preserve">12.0%</t>
  </si>
  <si>
    <t xml:space="preserve">EQUITY VALUE PER SHARE (HKD) - EBITDA Margin vs Revenue Growth</t>
  </si>
  <si>
    <t xml:space="preserve">Revenue CAGR (5Y)</t>
  </si>
  <si>
    <t xml:space="preserve">7.5%</t>
  </si>
  <si>
    <t xml:space="preserve">10.5%</t>
  </si>
  <si>
    <t xml:space="preserve">Terminal EBITDA</t>
  </si>
  <si>
    <t xml:space="preserve">26.0%</t>
  </si>
  <si>
    <t xml:space="preserve">28.0%</t>
  </si>
  <si>
    <t xml:space="preserve">Note: Green highlighted cells indicate base case assumptions</t>
  </si>
  <si>
    <t xml:space="preserve">BILIBILI - COMPARABLE COMPANY ANALYSIS</t>
  </si>
  <si>
    <t xml:space="preserve">Trading Comparables</t>
  </si>
  <si>
    <t xml:space="preserve">Company</t>
  </si>
  <si>
    <t xml:space="preserve">Ticker</t>
  </si>
  <si>
    <t xml:space="preserve">Market Cap (USD B)</t>
  </si>
  <si>
    <t xml:space="preserve">EV (USD B)</t>
  </si>
  <si>
    <t xml:space="preserve">Rev Growth</t>
  </si>
  <si>
    <t xml:space="preserve">Gross Margin</t>
  </si>
  <si>
    <t xml:space="preserve">EBITDA Margin</t>
  </si>
  <si>
    <t xml:space="preserve">EV/Revenue</t>
  </si>
  <si>
    <t xml:space="preserve">EV/EBITDA</t>
  </si>
  <si>
    <t xml:space="preserve">Bilibili</t>
  </si>
  <si>
    <t xml:space="preserve">BILI</t>
  </si>
  <si>
    <t xml:space="preserve">19%</t>
  </si>
  <si>
    <t xml:space="preserve">33%</t>
  </si>
  <si>
    <t xml:space="preserve">15%</t>
  </si>
  <si>
    <t xml:space="preserve">2.4x</t>
  </si>
  <si>
    <t xml:space="preserve">16.0x</t>
  </si>
  <si>
    <t xml:space="preserve">Kuaishou</t>
  </si>
  <si>
    <t xml:space="preserve">1024.HK</t>
  </si>
  <si>
    <t xml:space="preserve">50%</t>
  </si>
  <si>
    <t xml:space="preserve">12%</t>
  </si>
  <si>
    <t xml:space="preserve">2.8x</t>
  </si>
  <si>
    <t xml:space="preserve">23.3x</t>
  </si>
  <si>
    <t xml:space="preserve">Tencent Music</t>
  </si>
  <si>
    <t xml:space="preserve">TME</t>
  </si>
  <si>
    <t xml:space="preserve">3%</t>
  </si>
  <si>
    <t xml:space="preserve">36%</t>
  </si>
  <si>
    <t xml:space="preserve">22%</t>
  </si>
  <si>
    <t xml:space="preserve">2.5x</t>
  </si>
  <si>
    <t xml:space="preserve">11.4x</t>
  </si>
  <si>
    <t xml:space="preserve">iQIYI</t>
  </si>
  <si>
    <t xml:space="preserve">IQ</t>
  </si>
  <si>
    <t xml:space="preserve">5%</t>
  </si>
  <si>
    <t xml:space="preserve">18%</t>
  </si>
  <si>
    <t xml:space="preserve">8%</t>
  </si>
  <si>
    <t xml:space="preserve">1.5x</t>
  </si>
  <si>
    <t xml:space="preserve">18.8x</t>
  </si>
  <si>
    <t xml:space="preserve">Weibo</t>
  </si>
  <si>
    <t xml:space="preserve">WB</t>
  </si>
  <si>
    <t xml:space="preserve">-3%</t>
  </si>
  <si>
    <t xml:space="preserve">82%</t>
  </si>
  <si>
    <t xml:space="preserve">35%</t>
  </si>
  <si>
    <t xml:space="preserve">0.7x</t>
  </si>
  <si>
    <t xml:space="preserve">2.0x</t>
  </si>
  <si>
    <t xml:space="preserve">Baidu</t>
  </si>
  <si>
    <t xml:space="preserve">BIDU</t>
  </si>
  <si>
    <t xml:space="preserve">6%</t>
  </si>
  <si>
    <t xml:space="preserve">54%</t>
  </si>
  <si>
    <t xml:space="preserve">1.7x</t>
  </si>
  <si>
    <t xml:space="preserve">7.7x</t>
  </si>
  <si>
    <t xml:space="preserve">Median</t>
  </si>
  <si>
    <t xml:space="preserve">45%</t>
  </si>
  <si>
    <t xml:space="preserve">2.1x</t>
  </si>
  <si>
    <t xml:space="preserve">14.2x</t>
  </si>
  <si>
    <t xml:space="preserve">Mean</t>
  </si>
  <si>
    <t xml:space="preserve">46%</t>
  </si>
  <si>
    <t xml:space="preserve">1.9x</t>
  </si>
  <si>
    <t xml:space="preserve">13.2x</t>
  </si>
  <si>
    <t xml:space="preserve">Implied Valuation Range</t>
  </si>
  <si>
    <t xml:space="preserve">Multiple</t>
  </si>
  <si>
    <t xml:space="preserve">Metric (RMB mm)</t>
  </si>
  <si>
    <t xml:space="preserve">Low Multiple</t>
  </si>
  <si>
    <t xml:space="preserve">High Multiple</t>
  </si>
  <si>
    <t xml:space="preserve">Low Value (RMB mm)</t>
  </si>
  <si>
    <t xml:space="preserve">High Value (RMB mm)</t>
  </si>
  <si>
    <t xml:space="preserve">EV/Revenue (FY25E)</t>
  </si>
  <si>
    <t xml:space="preserve">EV/EBITDA (FY25E)</t>
  </si>
  <si>
    <t xml:space="preserve">10.0x</t>
  </si>
  <si>
    <t xml:space="preserve">15.0x</t>
  </si>
  <si>
    <t xml:space="preserve">Implied Equity Value Range</t>
  </si>
  <si>
    <t xml:space="preserve">Low</t>
  </si>
  <si>
    <t xml:space="preserve">High</t>
  </si>
  <si>
    <t xml:space="preserve">Less: Debt</t>
  </si>
  <si>
    <t xml:space="preserve">Add: Cash</t>
  </si>
  <si>
    <t xml:space="preserve">Equity Value (RMB mm)</t>
  </si>
  <si>
    <t xml:space="preserve">Shares Outstanding (mm)</t>
  </si>
  <si>
    <t xml:space="preserve">BILIBILI - INVESTMENT SUMMARY</t>
  </si>
  <si>
    <t xml:space="preserve">VALUATION SUMMARY</t>
  </si>
  <si>
    <t xml:space="preserve">Methodology</t>
  </si>
  <si>
    <t xml:space="preserve">Implied Value (HKD)</t>
  </si>
  <si>
    <t xml:space="preserve">Weight</t>
  </si>
  <si>
    <t xml:space="preserve">Weighted Value</t>
  </si>
  <si>
    <t xml:space="preserve">DCF Analysis</t>
  </si>
  <si>
    <t xml:space="preserve">Trading Comps - Low</t>
  </si>
  <si>
    <t xml:space="preserve">Trading Comps - High</t>
  </si>
  <si>
    <t xml:space="preserve">Analyst Consensus PT</t>
  </si>
  <si>
    <t xml:space="preserve">20%</t>
  </si>
  <si>
    <t xml:space="preserve">Weighted Average Target Price</t>
  </si>
  <si>
    <t xml:space="preserve">Current Price (HKD)</t>
  </si>
  <si>
    <t xml:space="preserve">Implied Return</t>
  </si>
  <si>
    <t xml:space="preserve">-5%</t>
  </si>
  <si>
    <t xml:space="preserve">KEY INVESTMENT THESIS</t>
  </si>
  <si>
    <t xml:space="preserve">Bull Case:</t>
  </si>
  <si>
    <t xml:space="preserve">• Strong user engagement (117M DAU, 112 min/day) with sticky Gen-Z community</t>
  </si>
  <si>
    <t xml:space="preserve">• Advertising revenue growing 23%+ YoY with significant runway</t>
  </si>
  <si>
    <t xml:space="preserve">• First GAAP profitability achieved in Q4 2024 - inflection point</t>
  </si>
  <si>
    <t xml:space="preserve">• Strong net cash position (RMB 12B+) provides financial flexibility</t>
  </si>
  <si>
    <t xml:space="preserve">• AI-driven content tools could accelerate creator productivity</t>
  </si>
  <si>
    <t xml:space="preserve">• New game pipeline (End Card Sanguo, international launches)</t>
  </si>
  <si>
    <t xml:space="preserve">Bear Case:</t>
  </si>
  <si>
    <t xml:space="preserve">• Mobile games revenue volatility (-17% in Q3 2025)</t>
  </si>
  <si>
    <t xml:space="preserve">• Intense competition from Kuaishou, Douyin (TikTok), other platforms</t>
  </si>
  <si>
    <t xml:space="preserve">• China regulatory risk for internet platforms</t>
  </si>
  <si>
    <t xml:space="preserve">• Path to sustained profitability still unproven</t>
  </si>
  <si>
    <t xml:space="preserve">• Slowing revenue growth (8-11% expected vs 19% historical)</t>
  </si>
  <si>
    <t xml:space="preserve">Key Metrics to Monitor:</t>
  </si>
  <si>
    <t xml:space="preserve">• DAU/MAU growth and time spent</t>
  </si>
  <si>
    <t xml:space="preserve">• ARPU trends across segments</t>
  </si>
  <si>
    <t xml:space="preserve">• Gross margin expansion trajectory</t>
  </si>
  <si>
    <t xml:space="preserve">• Operating expense leverage</t>
  </si>
  <si>
    <t xml:space="preserve">• New game performance and pipeline</t>
  </si>
  <si>
    <t xml:space="preserve">RECOMMENDATION</t>
  </si>
  <si>
    <t xml:space="preserve">Rating:</t>
  </si>
  <si>
    <t xml:space="preserve">HOLD</t>
  </si>
  <si>
    <t xml:space="preserve">Target Price (HKD):</t>
  </si>
  <si>
    <t xml:space="preserve">Current Price (HKD):</t>
  </si>
  <si>
    <t xml:space="preserve">Potential Return:</t>
  </si>
  <si>
    <t xml:space="preserve">Investment Horizon:</t>
  </si>
  <si>
    <t xml:space="preserve">12-18 months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</si>
</sst>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00"/>
    <numFmt numFmtId="168" formatCode="0.0\x"/>
    <numFmt numFmtId="169" formatCode="#,##0.00"/>
    <numFmt numFmtId="170" formatCode="\$#,##0.00"/>
    <numFmt numFmtId="171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8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00008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FFA5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90EE90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22.0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s">
        <v>5</v>
      </c>
    </row>
    <row r="7" customFormat="false" ht="15" hidden="false" customHeight="false" outlineLevel="0" collapsed="false">
      <c r="A7" s="4" t="s">
        <v>6</v>
      </c>
      <c r="B7" s="5" t="s">
        <v>7</v>
      </c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4" t="s">
        <v>14</v>
      </c>
      <c r="B11" s="5" t="s">
        <v>15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/>
      <c r="B14" s="5" t="s">
        <v>18</v>
      </c>
    </row>
    <row r="15" customFormat="false" ht="15" hidden="false" customHeight="false" outlineLevel="0" collapsed="false">
      <c r="A15" s="4"/>
      <c r="B15" s="5" t="s">
        <v>19</v>
      </c>
    </row>
    <row r="16" customFormat="false" ht="15" hidden="false" customHeight="false" outlineLevel="0" collapsed="false">
      <c r="A16" s="4"/>
      <c r="B16" s="5" t="s">
        <v>20</v>
      </c>
    </row>
    <row r="17" customFormat="false" ht="15" hidden="false" customHeight="false" outlineLevel="0" collapsed="false">
      <c r="A17" s="4"/>
      <c r="B17" s="5" t="s">
        <v>21</v>
      </c>
    </row>
    <row r="18" customFormat="false" ht="15" hidden="false" customHeight="false" outlineLevel="0" collapsed="false">
      <c r="A18" s="4"/>
      <c r="B18" s="5" t="s">
        <v>22</v>
      </c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4" t="s">
        <v>24</v>
      </c>
      <c r="B22" s="5" t="s">
        <v>25</v>
      </c>
      <c r="C22" s="6" t="s">
        <v>26</v>
      </c>
    </row>
    <row r="23" customFormat="false" ht="15" hidden="false" customHeight="false" outlineLevel="0" collapsed="false">
      <c r="A23" s="4" t="s">
        <v>27</v>
      </c>
      <c r="B23" s="5" t="s">
        <v>28</v>
      </c>
      <c r="C23" s="6" t="s">
        <v>29</v>
      </c>
    </row>
    <row r="24" customFormat="false" ht="15" hidden="false" customHeight="false" outlineLevel="0" collapsed="false">
      <c r="A24" s="4" t="s">
        <v>30</v>
      </c>
      <c r="B24" s="5" t="s">
        <v>31</v>
      </c>
      <c r="C24" s="6" t="s">
        <v>32</v>
      </c>
    </row>
    <row r="25" customFormat="false" ht="15" hidden="false" customHeight="false" outlineLevel="0" collapsed="false">
      <c r="A25" s="4" t="s">
        <v>33</v>
      </c>
      <c r="B25" s="5" t="s">
        <v>34</v>
      </c>
      <c r="C25" s="6" t="s">
        <v>35</v>
      </c>
    </row>
    <row r="26" customFormat="false" ht="15" hidden="false" customHeight="false" outlineLevel="0" collapsed="false">
      <c r="A26" s="4" t="s">
        <v>36</v>
      </c>
      <c r="B26" s="5" t="s">
        <v>37</v>
      </c>
      <c r="C26" s="6" t="s">
        <v>38</v>
      </c>
    </row>
    <row r="29" customFormat="false" ht="15" hidden="false" customHeight="false" outlineLevel="0" collapsed="false">
      <c r="A29" s="3" t="s">
        <v>39</v>
      </c>
    </row>
    <row r="30" customFormat="false" ht="15" hidden="false" customHeight="false" outlineLevel="0" collapsed="false">
      <c r="A30" s="7" t="s">
        <v>40</v>
      </c>
      <c r="B30" s="7" t="s">
        <v>41</v>
      </c>
      <c r="C30" s="7" t="s">
        <v>42</v>
      </c>
      <c r="D30" s="7" t="s">
        <v>43</v>
      </c>
    </row>
    <row r="31" customFormat="false" ht="15" hidden="false" customHeight="false" outlineLevel="0" collapsed="false">
      <c r="A31" s="8" t="s">
        <v>44</v>
      </c>
      <c r="B31" s="8" t="n">
        <v>8190</v>
      </c>
      <c r="C31" s="8" t="s">
        <v>45</v>
      </c>
      <c r="D31" s="8" t="s">
        <v>46</v>
      </c>
    </row>
    <row r="32" customFormat="false" ht="15" hidden="false" customHeight="false" outlineLevel="0" collapsed="false">
      <c r="A32" s="8" t="s">
        <v>47</v>
      </c>
      <c r="B32" s="8" t="n">
        <v>5610</v>
      </c>
      <c r="C32" s="8" t="s">
        <v>48</v>
      </c>
      <c r="D32" s="8" t="s">
        <v>49</v>
      </c>
    </row>
    <row r="33" customFormat="false" ht="15" hidden="false" customHeight="false" outlineLevel="0" collapsed="false">
      <c r="A33" s="8" t="s">
        <v>50</v>
      </c>
      <c r="B33" s="8" t="n">
        <v>10730</v>
      </c>
      <c r="C33" s="8" t="s">
        <v>51</v>
      </c>
      <c r="D33" s="8" t="s">
        <v>52</v>
      </c>
    </row>
    <row r="34" customFormat="false" ht="15" hidden="false" customHeight="false" outlineLevel="0" collapsed="false">
      <c r="A34" s="8" t="s">
        <v>53</v>
      </c>
      <c r="B34" s="8" t="n">
        <v>2300</v>
      </c>
      <c r="C34" s="8" t="s">
        <v>54</v>
      </c>
      <c r="D34" s="8" t="s">
        <v>55</v>
      </c>
    </row>
    <row r="35" customFormat="false" ht="15" hidden="false" customHeight="false" outlineLevel="0" collapsed="false">
      <c r="A35" s="9" t="s">
        <v>56</v>
      </c>
      <c r="B35" s="9" t="n">
        <v>26830</v>
      </c>
      <c r="C35" s="9" t="s">
        <v>57</v>
      </c>
      <c r="D35" s="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2" t="s">
        <v>59</v>
      </c>
    </row>
    <row r="3" customFormat="false" ht="15" hidden="false" customHeight="false" outlineLevel="0" collapsed="false">
      <c r="A3" s="3" t="s">
        <v>60</v>
      </c>
    </row>
    <row r="4" customFormat="false" ht="15" hidden="false" customHeight="false" outlineLevel="0" collapsed="false">
      <c r="A4" s="7"/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</row>
    <row r="5" customFormat="false" ht="15" hidden="false" customHeight="false" outlineLevel="0" collapsed="false">
      <c r="A5" s="9" t="s">
        <v>56</v>
      </c>
      <c r="B5" s="10" t="n">
        <v>11996</v>
      </c>
      <c r="C5" s="10" t="n">
        <v>19384</v>
      </c>
      <c r="D5" s="10" t="n">
        <v>21899</v>
      </c>
      <c r="E5" s="10" t="n">
        <v>22528</v>
      </c>
      <c r="F5" s="10" t="n">
        <v>26832</v>
      </c>
    </row>
    <row r="6" customFormat="false" ht="15" hidden="false" customHeight="false" outlineLevel="0" collapsed="false">
      <c r="A6" s="9" t="s">
        <v>66</v>
      </c>
      <c r="B6" s="10" t="n">
        <v>9679</v>
      </c>
      <c r="C6" s="10" t="n">
        <v>15341</v>
      </c>
      <c r="D6" s="10" t="n">
        <v>18050</v>
      </c>
      <c r="E6" s="10" t="n">
        <v>17086</v>
      </c>
      <c r="F6" s="10" t="n">
        <v>18058</v>
      </c>
    </row>
    <row r="7" customFormat="false" ht="15" hidden="false" customHeight="false" outlineLevel="0" collapsed="false">
      <c r="A7" s="9" t="s">
        <v>67</v>
      </c>
      <c r="B7" s="10" t="n">
        <v>2317</v>
      </c>
      <c r="C7" s="10" t="n">
        <v>4043</v>
      </c>
      <c r="D7" s="10" t="n">
        <v>3849</v>
      </c>
      <c r="E7" s="10" t="n">
        <v>5442</v>
      </c>
      <c r="F7" s="10" t="n">
        <v>8774</v>
      </c>
    </row>
    <row r="8" customFormat="false" ht="15" hidden="false" customHeight="false" outlineLevel="0" collapsed="false">
      <c r="A8" s="9" t="s">
        <v>68</v>
      </c>
      <c r="B8" s="11" t="s">
        <v>69</v>
      </c>
      <c r="C8" s="11" t="s">
        <v>48</v>
      </c>
      <c r="D8" s="11" t="s">
        <v>70</v>
      </c>
      <c r="E8" s="11" t="s">
        <v>71</v>
      </c>
      <c r="F8" s="11" t="s">
        <v>72</v>
      </c>
    </row>
    <row r="9" customFormat="false" ht="15" hidden="false" customHeight="false" outlineLevel="0" collapsed="false">
      <c r="A9" s="9"/>
      <c r="B9" s="11"/>
      <c r="C9" s="11"/>
      <c r="D9" s="11"/>
      <c r="E9" s="11"/>
      <c r="F9" s="11"/>
    </row>
    <row r="10" customFormat="false" ht="15" hidden="false" customHeight="false" outlineLevel="0" collapsed="false">
      <c r="A10" s="9" t="s">
        <v>73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74</v>
      </c>
      <c r="B11" s="10" t="n">
        <v>2196</v>
      </c>
      <c r="C11" s="10" t="n">
        <v>4475</v>
      </c>
      <c r="D11" s="10" t="n">
        <v>4884</v>
      </c>
      <c r="E11" s="10" t="n">
        <v>4206</v>
      </c>
      <c r="F11" s="10" t="n">
        <v>3843</v>
      </c>
    </row>
    <row r="12" customFormat="false" ht="15" hidden="false" customHeight="false" outlineLevel="0" collapsed="false">
      <c r="A12" s="12" t="s">
        <v>75</v>
      </c>
      <c r="B12" s="10" t="n">
        <v>845</v>
      </c>
      <c r="C12" s="10" t="n">
        <v>1460</v>
      </c>
      <c r="D12" s="10" t="n">
        <v>2176</v>
      </c>
      <c r="E12" s="10" t="n">
        <v>2084</v>
      </c>
      <c r="F12" s="10" t="n">
        <v>2021</v>
      </c>
    </row>
    <row r="13" customFormat="false" ht="15" hidden="false" customHeight="false" outlineLevel="0" collapsed="false">
      <c r="A13" s="12" t="s">
        <v>76</v>
      </c>
      <c r="B13" s="10" t="n">
        <v>2267</v>
      </c>
      <c r="C13" s="10" t="n">
        <v>4537</v>
      </c>
      <c r="D13" s="10" t="n">
        <v>5147</v>
      </c>
      <c r="E13" s="10" t="n">
        <v>4216</v>
      </c>
      <c r="F13" s="10" t="n">
        <v>3370</v>
      </c>
    </row>
    <row r="14" customFormat="false" ht="15" hidden="false" customHeight="false" outlineLevel="0" collapsed="false">
      <c r="A14" s="9" t="s">
        <v>77</v>
      </c>
      <c r="B14" s="10" t="n">
        <v>5308</v>
      </c>
      <c r="C14" s="10" t="n">
        <v>10472</v>
      </c>
      <c r="D14" s="10" t="n">
        <v>12207</v>
      </c>
      <c r="E14" s="10" t="n">
        <v>10506</v>
      </c>
      <c r="F14" s="10" t="n">
        <v>9234</v>
      </c>
    </row>
    <row r="15" customFormat="false" ht="15" hidden="false" customHeight="false" outlineLevel="0" collapsed="false">
      <c r="A15" s="9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9" t="s">
        <v>78</v>
      </c>
      <c r="B16" s="10" t="n">
        <v>-2991</v>
      </c>
      <c r="C16" s="10" t="n">
        <v>-6429</v>
      </c>
      <c r="D16" s="10" t="n">
        <v>-8358</v>
      </c>
      <c r="E16" s="10" t="n">
        <v>-5064</v>
      </c>
      <c r="F16" s="10" t="n">
        <v>-460</v>
      </c>
    </row>
    <row r="17" customFormat="false" ht="15" hidden="false" customHeight="false" outlineLevel="0" collapsed="false">
      <c r="A17" s="9" t="s">
        <v>79</v>
      </c>
      <c r="B17" s="11" t="s">
        <v>80</v>
      </c>
      <c r="C17" s="11" t="s">
        <v>81</v>
      </c>
      <c r="D17" s="11" t="s">
        <v>82</v>
      </c>
      <c r="E17" s="11" t="s">
        <v>83</v>
      </c>
      <c r="F17" s="11" t="s">
        <v>84</v>
      </c>
    </row>
    <row r="18" customFormat="false" ht="15" hidden="false" customHeight="false" outlineLevel="0" collapsed="false">
      <c r="A18" s="9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9" t="s">
        <v>85</v>
      </c>
      <c r="B19" s="10" t="n">
        <v>167</v>
      </c>
      <c r="C19" s="10" t="n">
        <v>-360</v>
      </c>
      <c r="D19" s="10" t="n">
        <v>862</v>
      </c>
      <c r="E19" s="10" t="n">
        <v>242</v>
      </c>
      <c r="F19" s="10" t="n">
        <v>-888</v>
      </c>
    </row>
    <row r="20" customFormat="false" ht="15" hidden="false" customHeight="false" outlineLevel="0" collapsed="false">
      <c r="A20" s="9" t="s">
        <v>86</v>
      </c>
      <c r="B20" s="10" t="n">
        <v>-2824</v>
      </c>
      <c r="C20" s="10" t="n">
        <v>-6789</v>
      </c>
      <c r="D20" s="10" t="n">
        <v>-7497</v>
      </c>
      <c r="E20" s="10" t="n">
        <v>-4822</v>
      </c>
      <c r="F20" s="10" t="n">
        <v>-1348</v>
      </c>
    </row>
    <row r="21" customFormat="false" ht="15" hidden="false" customHeight="false" outlineLevel="0" collapsed="false">
      <c r="A21" s="9" t="s">
        <v>87</v>
      </c>
      <c r="B21" s="10" t="n">
        <v>-68</v>
      </c>
      <c r="C21" s="10" t="n">
        <v>-74</v>
      </c>
      <c r="D21" s="10" t="n">
        <v>-81</v>
      </c>
      <c r="E21" s="10" t="n">
        <v>-103</v>
      </c>
      <c r="F21" s="10" t="n">
        <v>-87</v>
      </c>
    </row>
    <row r="22" customFormat="false" ht="15" hidden="false" customHeight="false" outlineLevel="0" collapsed="false">
      <c r="A22" s="9" t="s">
        <v>88</v>
      </c>
      <c r="B22" s="10" t="n">
        <v>-2892</v>
      </c>
      <c r="C22" s="10" t="n">
        <v>-6863</v>
      </c>
      <c r="D22" s="10" t="n">
        <v>-7578</v>
      </c>
      <c r="E22" s="10" t="n">
        <v>-4925</v>
      </c>
      <c r="F22" s="10" t="n">
        <v>-1435</v>
      </c>
    </row>
    <row r="23" customFormat="false" ht="15" hidden="false" customHeight="false" outlineLevel="0" collapsed="false">
      <c r="A23" s="9" t="s">
        <v>89</v>
      </c>
      <c r="B23" s="11" t="s">
        <v>90</v>
      </c>
      <c r="C23" s="11" t="s">
        <v>91</v>
      </c>
      <c r="D23" s="11" t="s">
        <v>92</v>
      </c>
      <c r="E23" s="11" t="s">
        <v>93</v>
      </c>
      <c r="F23" s="11" t="s">
        <v>94</v>
      </c>
    </row>
    <row r="28" customFormat="false" ht="15" hidden="false" customHeight="false" outlineLevel="0" collapsed="false">
      <c r="A28" s="3" t="s">
        <v>95</v>
      </c>
    </row>
    <row r="29" customFormat="false" ht="15" hidden="false" customHeight="false" outlineLevel="0" collapsed="false">
      <c r="A29" s="7"/>
      <c r="B29" s="7" t="s">
        <v>61</v>
      </c>
      <c r="C29" s="7" t="s">
        <v>62</v>
      </c>
      <c r="D29" s="7" t="s">
        <v>63</v>
      </c>
      <c r="E29" s="7" t="s">
        <v>64</v>
      </c>
      <c r="F29" s="7" t="s">
        <v>65</v>
      </c>
    </row>
    <row r="30" customFormat="false" ht="15" hidden="false" customHeight="false" outlineLevel="0" collapsed="false">
      <c r="A30" s="9" t="s">
        <v>88</v>
      </c>
      <c r="B30" s="10" t="n">
        <v>-3012</v>
      </c>
      <c r="C30" s="10" t="n">
        <v>-6789</v>
      </c>
      <c r="D30" s="10" t="n">
        <v>-7497</v>
      </c>
      <c r="E30" s="10" t="n">
        <v>-4822</v>
      </c>
      <c r="F30" s="10" t="n">
        <v>-1347</v>
      </c>
    </row>
    <row r="31" customFormat="false" ht="15" hidden="false" customHeight="false" outlineLevel="0" collapsed="false">
      <c r="A31" s="9" t="s">
        <v>96</v>
      </c>
      <c r="B31" s="10" t="n">
        <v>1818</v>
      </c>
      <c r="C31" s="10" t="n">
        <v>2604</v>
      </c>
      <c r="D31" s="10" t="n">
        <v>3566</v>
      </c>
      <c r="E31" s="10" t="n">
        <v>2900</v>
      </c>
      <c r="F31" s="10" t="n">
        <v>2501</v>
      </c>
    </row>
    <row r="32" customFormat="false" ht="15" hidden="false" customHeight="false" outlineLevel="0" collapsed="false">
      <c r="A32" s="9" t="s">
        <v>97</v>
      </c>
      <c r="B32" s="10" t="n">
        <v>386</v>
      </c>
      <c r="C32" s="10" t="n">
        <v>1000</v>
      </c>
      <c r="D32" s="10" t="n">
        <v>1041</v>
      </c>
      <c r="E32" s="10" t="n">
        <v>1133</v>
      </c>
      <c r="F32" s="10" t="n">
        <v>1116</v>
      </c>
    </row>
    <row r="33" customFormat="false" ht="15" hidden="false" customHeight="false" outlineLevel="0" collapsed="false">
      <c r="A33" s="9" t="s">
        <v>98</v>
      </c>
      <c r="B33" s="10" t="n">
        <v>1561</v>
      </c>
      <c r="C33" s="10" t="n">
        <v>538</v>
      </c>
      <c r="D33" s="10" t="n">
        <v>-1021</v>
      </c>
      <c r="E33" s="10" t="n">
        <v>1055</v>
      </c>
      <c r="F33" s="10" t="n">
        <v>3745</v>
      </c>
    </row>
    <row r="34" customFormat="false" ht="15" hidden="false" customHeight="false" outlineLevel="0" collapsed="false">
      <c r="A34" s="9" t="s">
        <v>99</v>
      </c>
      <c r="B34" s="10" t="n">
        <v>753</v>
      </c>
      <c r="C34" s="10" t="n">
        <v>-2647</v>
      </c>
      <c r="D34" s="10" t="n">
        <v>-3911</v>
      </c>
      <c r="E34" s="10" t="n">
        <v>267</v>
      </c>
      <c r="F34" s="10" t="n">
        <v>6015</v>
      </c>
    </row>
    <row r="35" customFormat="false" ht="15" hidden="false" customHeight="false" outlineLevel="0" collapsed="false">
      <c r="A35" s="9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9" t="s">
        <v>100</v>
      </c>
      <c r="B36" s="10" t="n">
        <v>-602</v>
      </c>
      <c r="C36" s="10" t="n">
        <v>-965</v>
      </c>
      <c r="D36" s="10" t="n">
        <v>-760</v>
      </c>
      <c r="E36" s="10" t="n">
        <v>-182</v>
      </c>
      <c r="F36" s="10" t="n">
        <v>-465</v>
      </c>
    </row>
    <row r="37" customFormat="false" ht="15" hidden="false" customHeight="false" outlineLevel="0" collapsed="false">
      <c r="A37" s="9" t="s">
        <v>101</v>
      </c>
      <c r="B37" s="10" t="n">
        <v>-1637</v>
      </c>
      <c r="C37" s="10" t="n">
        <v>-2722</v>
      </c>
      <c r="D37" s="10" t="n">
        <v>-1978</v>
      </c>
      <c r="E37" s="10" t="n">
        <v>-1148</v>
      </c>
      <c r="F37" s="10" t="n">
        <v>-1290</v>
      </c>
    </row>
    <row r="38" customFormat="false" ht="15" hidden="false" customHeight="false" outlineLevel="0" collapsed="false">
      <c r="A38" s="9" t="s">
        <v>102</v>
      </c>
      <c r="B38" s="10" t="n">
        <v>-6172</v>
      </c>
      <c r="C38" s="10" t="n">
        <v>-20908</v>
      </c>
      <c r="D38" s="10" t="n">
        <v>13931</v>
      </c>
      <c r="E38" s="10" t="n">
        <v>2477</v>
      </c>
      <c r="F38" s="10" t="n">
        <v>1538</v>
      </c>
    </row>
    <row r="39" customFormat="false" ht="15" hidden="false" customHeight="false" outlineLevel="0" collapsed="false">
      <c r="A39" s="9" t="s">
        <v>103</v>
      </c>
      <c r="B39" s="10" t="n">
        <v>-498</v>
      </c>
      <c r="C39" s="10" t="n">
        <v>-983</v>
      </c>
      <c r="D39" s="10" t="n">
        <v>-583</v>
      </c>
      <c r="E39" s="10" t="n">
        <v>615</v>
      </c>
      <c r="F39" s="10" t="n">
        <v>79</v>
      </c>
    </row>
    <row r="40" customFormat="false" ht="15" hidden="false" customHeight="false" outlineLevel="0" collapsed="false">
      <c r="A40" s="9" t="s">
        <v>104</v>
      </c>
      <c r="B40" s="10" t="n">
        <v>-8907</v>
      </c>
      <c r="C40" s="10" t="n">
        <v>-24578</v>
      </c>
      <c r="D40" s="10" t="n">
        <v>10609</v>
      </c>
      <c r="E40" s="10" t="n">
        <v>1762</v>
      </c>
      <c r="F40" s="10" t="n">
        <v>-138</v>
      </c>
    </row>
    <row r="41" customFormat="false" ht="15" hidden="false" customHeight="false" outlineLevel="0" collapsed="false">
      <c r="A41" s="9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9" t="s">
        <v>105</v>
      </c>
      <c r="B42" s="10" t="n">
        <v>5709</v>
      </c>
      <c r="C42" s="10" t="n">
        <v>11227</v>
      </c>
      <c r="D42" s="10" t="n">
        <v>-3951</v>
      </c>
      <c r="E42" s="10" t="n">
        <v>-7757</v>
      </c>
      <c r="F42" s="10" t="n">
        <v>-2718</v>
      </c>
    </row>
    <row r="43" customFormat="false" ht="15" hidden="false" customHeight="false" outlineLevel="0" collapsed="false">
      <c r="A43" s="9" t="s">
        <v>106</v>
      </c>
      <c r="B43" s="10" t="n">
        <v>2818</v>
      </c>
      <c r="C43" s="10" t="n">
        <v>19626</v>
      </c>
      <c r="D43" s="10" t="n">
        <v>0</v>
      </c>
      <c r="E43" s="10" t="n">
        <v>2689</v>
      </c>
      <c r="F43" s="10" t="n">
        <v>10</v>
      </c>
    </row>
    <row r="44" customFormat="false" ht="15" hidden="false" customHeight="false" outlineLevel="0" collapsed="false">
      <c r="A44" s="9" t="s">
        <v>107</v>
      </c>
      <c r="B44" s="10" t="n">
        <v>0</v>
      </c>
      <c r="C44" s="10" t="n">
        <v>0</v>
      </c>
      <c r="D44" s="10" t="n">
        <v>-348</v>
      </c>
      <c r="E44" s="10" t="n">
        <v>0</v>
      </c>
      <c r="F44" s="10" t="n">
        <v>-118</v>
      </c>
    </row>
    <row r="45" customFormat="false" ht="15" hidden="false" customHeight="false" outlineLevel="0" collapsed="false">
      <c r="A45" s="9" t="s">
        <v>108</v>
      </c>
      <c r="B45" s="10" t="n">
        <v>-191</v>
      </c>
      <c r="C45" s="10" t="n">
        <v>-463</v>
      </c>
      <c r="D45" s="10" t="n">
        <v>-57</v>
      </c>
      <c r="E45" s="10" t="n">
        <v>-7</v>
      </c>
      <c r="F45" s="10" t="n">
        <v>0</v>
      </c>
    </row>
    <row r="46" customFormat="false" ht="15" hidden="false" customHeight="false" outlineLevel="0" collapsed="false">
      <c r="A46" s="9" t="s">
        <v>109</v>
      </c>
      <c r="B46" s="10" t="n">
        <v>8335</v>
      </c>
      <c r="C46" s="10" t="n">
        <v>30389</v>
      </c>
      <c r="D46" s="10" t="n">
        <v>-4355</v>
      </c>
      <c r="E46" s="10" t="n">
        <v>-5075</v>
      </c>
      <c r="F46" s="10" t="n">
        <v>-2825</v>
      </c>
    </row>
    <row r="47" customFormat="false" ht="15" hidden="false" customHeight="false" outlineLevel="0" collapsed="false">
      <c r="A47" s="9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9" t="s">
        <v>110</v>
      </c>
      <c r="B48" s="10" t="n">
        <v>151</v>
      </c>
      <c r="C48" s="10" t="n">
        <v>-3612</v>
      </c>
      <c r="D48" s="10" t="n">
        <v>-4672</v>
      </c>
      <c r="E48" s="10" t="n">
        <v>85</v>
      </c>
      <c r="F48" s="10" t="n">
        <v>5549</v>
      </c>
    </row>
    <row r="49" customFormat="false" ht="15" hidden="false" customHeight="false" outlineLevel="0" collapsed="false">
      <c r="A49" s="9" t="s">
        <v>111</v>
      </c>
      <c r="B49" s="11" t="s">
        <v>112</v>
      </c>
      <c r="C49" s="11" t="s">
        <v>113</v>
      </c>
      <c r="D49" s="11" t="s">
        <v>114</v>
      </c>
      <c r="E49" s="11" t="s">
        <v>115</v>
      </c>
      <c r="F49" s="11" t="s">
        <v>116</v>
      </c>
    </row>
    <row r="52" customFormat="false" ht="15" hidden="false" customHeight="false" outlineLevel="0" collapsed="false">
      <c r="A52" s="3" t="s">
        <v>117</v>
      </c>
    </row>
    <row r="53" customFormat="false" ht="15" hidden="false" customHeight="false" outlineLevel="0" collapsed="false">
      <c r="A53" s="7"/>
      <c r="B53" s="7" t="s">
        <v>61</v>
      </c>
      <c r="C53" s="7" t="s">
        <v>62</v>
      </c>
      <c r="D53" s="7" t="s">
        <v>63</v>
      </c>
      <c r="E53" s="7" t="s">
        <v>64</v>
      </c>
      <c r="F53" s="7" t="s">
        <v>65</v>
      </c>
    </row>
    <row r="54" customFormat="false" ht="15" hidden="false" customHeight="false" outlineLevel="0" collapsed="false">
      <c r="A54" s="9" t="s">
        <v>118</v>
      </c>
      <c r="B54" s="10" t="n">
        <v>7838</v>
      </c>
      <c r="C54" s="10" t="n">
        <v>7523</v>
      </c>
      <c r="D54" s="10" t="n">
        <v>10187</v>
      </c>
      <c r="E54" s="10" t="n">
        <v>7242</v>
      </c>
      <c r="F54" s="10" t="n">
        <v>10299</v>
      </c>
    </row>
    <row r="55" customFormat="false" ht="15" hidden="false" customHeight="false" outlineLevel="0" collapsed="false">
      <c r="A55" s="9" t="s">
        <v>119</v>
      </c>
      <c r="B55" s="10" t="n">
        <v>4728</v>
      </c>
      <c r="C55" s="10" t="n">
        <v>17693</v>
      </c>
      <c r="D55" s="10" t="n">
        <v>10555</v>
      </c>
      <c r="E55" s="10" t="n">
        <v>6768</v>
      </c>
      <c r="F55" s="10" t="n">
        <v>6243</v>
      </c>
    </row>
    <row r="56" customFormat="false" ht="15" hidden="false" customHeight="false" outlineLevel="0" collapsed="false">
      <c r="A56" s="9" t="s">
        <v>120</v>
      </c>
      <c r="B56" s="10" t="n">
        <v>12566</v>
      </c>
      <c r="C56" s="10" t="n">
        <v>25216</v>
      </c>
      <c r="D56" s="10" t="n">
        <v>20742</v>
      </c>
      <c r="E56" s="10" t="n">
        <v>14010</v>
      </c>
      <c r="F56" s="10" t="n">
        <v>16542</v>
      </c>
    </row>
    <row r="57" customFormat="false" ht="15" hidden="false" customHeight="false" outlineLevel="0" collapsed="false">
      <c r="A57" s="9"/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9" t="s">
        <v>121</v>
      </c>
      <c r="B58" s="10" t="n">
        <v>22440</v>
      </c>
      <c r="C58" s="10" t="n">
        <v>52053</v>
      </c>
      <c r="D58" s="10" t="n">
        <v>41831</v>
      </c>
      <c r="E58" s="10" t="n">
        <v>33159</v>
      </c>
      <c r="F58" s="10" t="n">
        <v>32699</v>
      </c>
    </row>
    <row r="59" customFormat="false" ht="15" hidden="false" customHeight="false" outlineLevel="0" collapsed="false">
      <c r="A59" s="9" t="s">
        <v>122</v>
      </c>
      <c r="B59" s="10" t="n">
        <v>5889</v>
      </c>
      <c r="C59" s="10" t="n">
        <v>17971</v>
      </c>
      <c r="D59" s="10" t="n">
        <v>14592</v>
      </c>
      <c r="E59" s="10" t="n">
        <v>4763</v>
      </c>
      <c r="F59" s="10" t="n">
        <v>4764</v>
      </c>
    </row>
    <row r="60" customFormat="false" ht="15" hidden="false" customHeight="false" outlineLevel="0" collapsed="false">
      <c r="A60" s="9" t="s">
        <v>123</v>
      </c>
      <c r="B60" s="10" t="n">
        <v>8948</v>
      </c>
      <c r="C60" s="10" t="n">
        <v>21716</v>
      </c>
      <c r="D60" s="10" t="n">
        <v>15240</v>
      </c>
      <c r="E60" s="10" t="n">
        <v>14404</v>
      </c>
      <c r="F60" s="10" t="n">
        <v>14104</v>
      </c>
    </row>
    <row r="61" customFormat="false" ht="15" hidden="false" customHeight="false" outlineLevel="0" collapsed="false">
      <c r="A61" s="9"/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9" t="s">
        <v>124</v>
      </c>
      <c r="B62" s="10" t="n">
        <v>6677</v>
      </c>
      <c r="C62" s="10" t="n">
        <v>7245</v>
      </c>
      <c r="D62" s="10" t="n">
        <v>6150</v>
      </c>
      <c r="E62" s="10" t="n">
        <v>9247</v>
      </c>
      <c r="F62" s="10" t="n">
        <v>11778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8" min="4" style="0" width="12"/>
  </cols>
  <sheetData>
    <row r="1" customFormat="false" ht="17.35" hidden="false" customHeight="false" outlineLevel="0" collapsed="false">
      <c r="A1" s="2" t="s">
        <v>125</v>
      </c>
    </row>
    <row r="3" customFormat="false" ht="15" hidden="false" customHeight="false" outlineLevel="0" collapsed="false">
      <c r="A3" s="3" t="s">
        <v>126</v>
      </c>
    </row>
    <row r="4" customFormat="false" ht="15" hidden="false" customHeight="false" outlineLevel="0" collapsed="false">
      <c r="A4" s="7" t="s">
        <v>127</v>
      </c>
      <c r="B4" s="7" t="s">
        <v>128</v>
      </c>
      <c r="C4" s="7" t="s">
        <v>129</v>
      </c>
    </row>
    <row r="5" customFormat="false" ht="15" hidden="false" customHeight="false" outlineLevel="0" collapsed="false">
      <c r="A5" s="8" t="s">
        <v>130</v>
      </c>
      <c r="B5" s="13" t="n">
        <v>26832</v>
      </c>
      <c r="C5" s="8" t="s">
        <v>131</v>
      </c>
    </row>
    <row r="6" customFormat="false" ht="15" hidden="false" customHeight="false" outlineLevel="0" collapsed="false">
      <c r="A6" s="8" t="s">
        <v>132</v>
      </c>
      <c r="B6" s="13" t="s">
        <v>133</v>
      </c>
      <c r="C6" s="8" t="s">
        <v>134</v>
      </c>
    </row>
    <row r="7" customFormat="false" ht="15" hidden="false" customHeight="false" outlineLevel="0" collapsed="false">
      <c r="A7" s="8" t="s">
        <v>135</v>
      </c>
      <c r="B7" s="13" t="s">
        <v>136</v>
      </c>
      <c r="C7" s="8" t="s">
        <v>137</v>
      </c>
    </row>
    <row r="8" customFormat="false" ht="15" hidden="false" customHeight="false" outlineLevel="0" collapsed="false">
      <c r="A8" s="8" t="s">
        <v>138</v>
      </c>
      <c r="B8" s="13" t="s">
        <v>133</v>
      </c>
      <c r="C8" s="8" t="s">
        <v>139</v>
      </c>
    </row>
    <row r="9" customFormat="false" ht="15" hidden="false" customHeight="false" outlineLevel="0" collapsed="false">
      <c r="A9" s="8" t="s">
        <v>140</v>
      </c>
      <c r="B9" s="13" t="s">
        <v>141</v>
      </c>
      <c r="C9" s="8" t="s">
        <v>142</v>
      </c>
    </row>
    <row r="10" customFormat="false" ht="15" hidden="false" customHeight="false" outlineLevel="0" collapsed="false">
      <c r="A10" s="8" t="s">
        <v>143</v>
      </c>
      <c r="B10" s="13" t="s">
        <v>144</v>
      </c>
      <c r="C10" s="8" t="s">
        <v>145</v>
      </c>
    </row>
    <row r="11" customFormat="false" ht="15" hidden="false" customHeight="false" outlineLevel="0" collapsed="false">
      <c r="A11" s="8" t="s">
        <v>146</v>
      </c>
      <c r="B11" s="13" t="s">
        <v>147</v>
      </c>
      <c r="C11" s="8" t="s">
        <v>148</v>
      </c>
    </row>
    <row r="12" customFormat="false" ht="15" hidden="false" customHeight="false" outlineLevel="0" collapsed="false">
      <c r="A12" s="8"/>
      <c r="B12" s="13"/>
      <c r="C12" s="8"/>
    </row>
    <row r="13" customFormat="false" ht="15" hidden="false" customHeight="false" outlineLevel="0" collapsed="false">
      <c r="A13" s="8" t="s">
        <v>149</v>
      </c>
      <c r="B13" s="13" t="s">
        <v>150</v>
      </c>
      <c r="C13" s="8" t="s">
        <v>151</v>
      </c>
    </row>
    <row r="14" customFormat="false" ht="15" hidden="false" customHeight="false" outlineLevel="0" collapsed="false">
      <c r="A14" s="8" t="s">
        <v>152</v>
      </c>
      <c r="B14" s="13" t="s">
        <v>153</v>
      </c>
      <c r="C14" s="8" t="s">
        <v>154</v>
      </c>
    </row>
    <row r="15" customFormat="false" ht="15" hidden="false" customHeight="false" outlineLevel="0" collapsed="false">
      <c r="A15" s="8" t="s">
        <v>155</v>
      </c>
      <c r="B15" s="13" t="s">
        <v>156</v>
      </c>
      <c r="C15" s="8" t="s">
        <v>157</v>
      </c>
    </row>
    <row r="16" customFormat="false" ht="15" hidden="false" customHeight="false" outlineLevel="0" collapsed="false">
      <c r="A16" s="8" t="s">
        <v>158</v>
      </c>
      <c r="B16" s="13" t="s">
        <v>159</v>
      </c>
      <c r="C16" s="8" t="s">
        <v>160</v>
      </c>
    </row>
    <row r="17" customFormat="false" ht="15" hidden="false" customHeight="false" outlineLevel="0" collapsed="false">
      <c r="A17" s="8" t="s">
        <v>161</v>
      </c>
      <c r="B17" s="13" t="s">
        <v>162</v>
      </c>
      <c r="C17" s="8" t="s">
        <v>163</v>
      </c>
    </row>
    <row r="18" customFormat="false" ht="15" hidden="false" customHeight="false" outlineLevel="0" collapsed="false">
      <c r="A18" s="8"/>
      <c r="B18" s="13"/>
      <c r="C18" s="8"/>
    </row>
    <row r="19" customFormat="false" ht="15" hidden="false" customHeight="false" outlineLevel="0" collapsed="false">
      <c r="A19" s="8" t="s">
        <v>164</v>
      </c>
      <c r="B19" s="13" t="s">
        <v>165</v>
      </c>
      <c r="C19" s="8" t="s">
        <v>166</v>
      </c>
    </row>
    <row r="20" customFormat="false" ht="15" hidden="false" customHeight="false" outlineLevel="0" collapsed="false">
      <c r="A20" s="8" t="s">
        <v>167</v>
      </c>
      <c r="B20" s="13" t="s">
        <v>141</v>
      </c>
      <c r="C20" s="8" t="s">
        <v>168</v>
      </c>
    </row>
    <row r="21" customFormat="false" ht="15" hidden="false" customHeight="false" outlineLevel="0" collapsed="false">
      <c r="A21" s="8" t="s">
        <v>169</v>
      </c>
      <c r="B21" s="13" t="s">
        <v>147</v>
      </c>
      <c r="C21" s="8" t="s">
        <v>170</v>
      </c>
    </row>
    <row r="22" customFormat="false" ht="15" hidden="false" customHeight="false" outlineLevel="0" collapsed="false">
      <c r="A22" s="8" t="s">
        <v>171</v>
      </c>
      <c r="B22" s="13" t="s">
        <v>172</v>
      </c>
      <c r="C22" s="8" t="s">
        <v>173</v>
      </c>
    </row>
    <row r="23" customFormat="false" ht="15" hidden="false" customHeight="false" outlineLevel="0" collapsed="false">
      <c r="A23" s="8"/>
      <c r="B23" s="13"/>
      <c r="C23" s="8"/>
    </row>
    <row r="24" customFormat="false" ht="15" hidden="false" customHeight="false" outlineLevel="0" collapsed="false">
      <c r="A24" s="8" t="s">
        <v>174</v>
      </c>
      <c r="B24" s="13" t="s">
        <v>175</v>
      </c>
      <c r="C24" s="8" t="s">
        <v>176</v>
      </c>
    </row>
    <row r="25" customFormat="false" ht="15" hidden="false" customHeight="false" outlineLevel="0" collapsed="false">
      <c r="A25" s="8" t="s">
        <v>177</v>
      </c>
      <c r="B25" s="13" t="s">
        <v>178</v>
      </c>
      <c r="C25" s="8" t="s">
        <v>179</v>
      </c>
    </row>
    <row r="26" customFormat="false" ht="15" hidden="false" customHeight="false" outlineLevel="0" collapsed="false">
      <c r="A26" s="8" t="s">
        <v>180</v>
      </c>
      <c r="B26" s="13" t="s">
        <v>181</v>
      </c>
      <c r="C26" s="8" t="s">
        <v>182</v>
      </c>
    </row>
    <row r="27" customFormat="false" ht="15" hidden="false" customHeight="false" outlineLevel="0" collapsed="false">
      <c r="A27" s="8" t="s">
        <v>183</v>
      </c>
      <c r="B27" s="13" t="s">
        <v>144</v>
      </c>
      <c r="C27" s="8" t="s">
        <v>184</v>
      </c>
    </row>
    <row r="28" customFormat="false" ht="15" hidden="false" customHeight="false" outlineLevel="0" collapsed="false">
      <c r="A28" s="8" t="s">
        <v>185</v>
      </c>
      <c r="B28" s="13" t="s">
        <v>186</v>
      </c>
      <c r="C28" s="8" t="s">
        <v>187</v>
      </c>
    </row>
    <row r="31" customFormat="false" ht="15" hidden="false" customHeight="false" outlineLevel="0" collapsed="false">
      <c r="A31" s="3" t="s">
        <v>188</v>
      </c>
    </row>
    <row r="32" customFormat="false" ht="15" hidden="false" customHeight="false" outlineLevel="0" collapsed="false">
      <c r="A32" s="7" t="s">
        <v>189</v>
      </c>
      <c r="B32" s="7" t="s">
        <v>128</v>
      </c>
      <c r="C32" s="7" t="s">
        <v>190</v>
      </c>
    </row>
    <row r="33" customFormat="false" ht="15" hidden="false" customHeight="false" outlineLevel="0" collapsed="false">
      <c r="A33" s="8" t="s">
        <v>191</v>
      </c>
      <c r="B33" s="8"/>
      <c r="C33" s="8"/>
    </row>
    <row r="34" customFormat="false" ht="15" hidden="false" customHeight="false" outlineLevel="0" collapsed="false">
      <c r="A34" s="8" t="s">
        <v>192</v>
      </c>
      <c r="B34" s="8" t="s">
        <v>175</v>
      </c>
      <c r="C34" s="8" t="s">
        <v>193</v>
      </c>
    </row>
    <row r="35" customFormat="false" ht="15" hidden="false" customHeight="false" outlineLevel="0" collapsed="false">
      <c r="A35" s="8" t="s">
        <v>194</v>
      </c>
      <c r="B35" s="8" t="s">
        <v>178</v>
      </c>
      <c r="C35" s="8" t="s">
        <v>193</v>
      </c>
    </row>
    <row r="36" customFormat="false" ht="15" hidden="false" customHeight="false" outlineLevel="0" collapsed="false">
      <c r="A36" s="8" t="s">
        <v>195</v>
      </c>
      <c r="B36" s="8" t="n">
        <f aca="false">B33+B34*B35</f>
        <v>0.002925</v>
      </c>
      <c r="C36" s="8" t="s">
        <v>193</v>
      </c>
    </row>
    <row r="37" customFormat="false" ht="15" hidden="false" customHeight="false" outlineLevel="0" collapsed="false">
      <c r="A37" s="8" t="s">
        <v>196</v>
      </c>
      <c r="B37" s="8"/>
      <c r="C37" s="8" t="n">
        <f aca="false">B33+B34*B35</f>
        <v>0.002925</v>
      </c>
    </row>
    <row r="38" customFormat="false" ht="15" hidden="false" customHeight="false" outlineLevel="0" collapsed="false">
      <c r="A38" s="8"/>
      <c r="B38" s="8"/>
      <c r="C38" s="8"/>
    </row>
    <row r="39" customFormat="false" ht="15" hidden="false" customHeight="false" outlineLevel="0" collapsed="false">
      <c r="A39" s="8" t="s">
        <v>197</v>
      </c>
      <c r="B39" s="8"/>
      <c r="C39" s="8"/>
    </row>
    <row r="40" customFormat="false" ht="15" hidden="false" customHeight="false" outlineLevel="0" collapsed="false">
      <c r="A40" s="8" t="s">
        <v>198</v>
      </c>
      <c r="B40" s="8" t="s">
        <v>144</v>
      </c>
      <c r="C40" s="8" t="s">
        <v>193</v>
      </c>
    </row>
    <row r="41" customFormat="false" ht="15" hidden="false" customHeight="false" outlineLevel="0" collapsed="false">
      <c r="A41" s="8" t="s">
        <v>199</v>
      </c>
      <c r="B41" s="8" t="n">
        <f aca="false">B39*(1-B40)</f>
        <v>0</v>
      </c>
      <c r="C41" s="8" t="s">
        <v>193</v>
      </c>
    </row>
    <row r="42" customFormat="false" ht="15" hidden="false" customHeight="false" outlineLevel="0" collapsed="false">
      <c r="A42" s="8" t="s">
        <v>200</v>
      </c>
      <c r="B42" s="8"/>
      <c r="C42" s="8" t="n">
        <f aca="false">B39*(1-B40)</f>
        <v>0</v>
      </c>
    </row>
    <row r="43" customFormat="false" ht="15" hidden="false" customHeight="false" outlineLevel="0" collapsed="false">
      <c r="A43" s="8"/>
      <c r="B43" s="8"/>
      <c r="C43" s="8"/>
    </row>
    <row r="44" customFormat="false" ht="15" hidden="false" customHeight="false" outlineLevel="0" collapsed="false">
      <c r="A44" s="8" t="s">
        <v>201</v>
      </c>
      <c r="B44" s="8"/>
      <c r="C44" s="8"/>
    </row>
    <row r="45" customFormat="false" ht="15" hidden="false" customHeight="false" outlineLevel="0" collapsed="false">
      <c r="A45" s="8" t="s">
        <v>202</v>
      </c>
      <c r="B45" s="8" t="s">
        <v>203</v>
      </c>
      <c r="C45" s="8" t="s">
        <v>204</v>
      </c>
    </row>
    <row r="46" customFormat="false" ht="15" hidden="false" customHeight="false" outlineLevel="0" collapsed="false">
      <c r="A46" s="8" t="s">
        <v>205</v>
      </c>
      <c r="B46" s="8" t="s">
        <v>206</v>
      </c>
      <c r="C46" s="8" t="s">
        <v>207</v>
      </c>
    </row>
    <row r="47" customFormat="false" ht="15" hidden="false" customHeight="false" outlineLevel="0" collapsed="false">
      <c r="A47" s="8"/>
      <c r="B47" s="8" t="n">
        <f aca="false">B43*B36+B44*B41</f>
        <v>0</v>
      </c>
      <c r="C47" s="8"/>
    </row>
    <row r="48" customFormat="false" ht="15" hidden="false" customHeight="false" outlineLevel="0" collapsed="false">
      <c r="A48" s="8" t="s">
        <v>208</v>
      </c>
      <c r="B48" s="8"/>
      <c r="C48" s="8" t="n">
        <f aca="false">B43*B36+B44*B41</f>
        <v>0</v>
      </c>
    </row>
    <row r="50" customFormat="false" ht="15" hidden="false" customHeight="false" outlineLevel="0" collapsed="false">
      <c r="A50" s="3" t="s">
        <v>209</v>
      </c>
    </row>
    <row r="51" customFormat="false" ht="15" hidden="false" customHeight="false" outlineLevel="0" collapsed="false">
      <c r="A51" s="7"/>
      <c r="B51" s="7" t="s">
        <v>210</v>
      </c>
      <c r="C51" s="7" t="s">
        <v>211</v>
      </c>
      <c r="D51" s="7" t="s">
        <v>212</v>
      </c>
      <c r="E51" s="7" t="s">
        <v>213</v>
      </c>
      <c r="F51" s="7" t="s">
        <v>214</v>
      </c>
      <c r="G51" s="7" t="s">
        <v>215</v>
      </c>
      <c r="H51" s="7" t="s">
        <v>216</v>
      </c>
    </row>
    <row r="52" customFormat="false" ht="15" hidden="false" customHeight="false" outlineLevel="0" collapsed="false">
      <c r="A52" s="9" t="s">
        <v>217</v>
      </c>
      <c r="B52" s="10" t="n">
        <v>26832</v>
      </c>
      <c r="C52" s="14" t="n">
        <f aca="false">B52*(1+$B$6)</f>
        <v>29515.2</v>
      </c>
      <c r="D52" s="14" t="n">
        <f aca="false">C52*(1+$B$7)</f>
        <v>32761.872</v>
      </c>
      <c r="E52" s="14" t="n">
        <f aca="false">D52*(1+$B$8)</f>
        <v>36038.0592</v>
      </c>
      <c r="F52" s="14" t="n">
        <f aca="false">E52*(1+$B$9)</f>
        <v>38921.103936</v>
      </c>
      <c r="G52" s="14" t="n">
        <f aca="false">F52*(1+$B$10)</f>
        <v>41256.37017216</v>
      </c>
      <c r="H52" s="14" t="n">
        <f aca="false">G52*(1+$B$11)</f>
        <v>42494.0612773248</v>
      </c>
    </row>
    <row r="53" customFormat="false" ht="15" hidden="false" customHeight="false" outlineLevel="0" collapsed="false">
      <c r="A53" s="15" t="s">
        <v>218</v>
      </c>
      <c r="B53" s="16" t="s">
        <v>219</v>
      </c>
      <c r="C53" s="15" t="str">
        <f aca="false">$B$6</f>
        <v>10.0%</v>
      </c>
      <c r="D53" s="15" t="str">
        <f aca="false">$B$7</f>
        <v>11.0%</v>
      </c>
      <c r="E53" s="15" t="str">
        <f aca="false">$B$8</f>
        <v>10.0%</v>
      </c>
      <c r="F53" s="15" t="str">
        <f aca="false">$B$9</f>
        <v>8.0%</v>
      </c>
      <c r="G53" s="15" t="str">
        <f aca="false">$B$10</f>
        <v>6.0%</v>
      </c>
      <c r="H53" s="15" t="str">
        <f aca="false">$B$11</f>
        <v>3.0%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9" t="s">
        <v>220</v>
      </c>
      <c r="B55" s="10" t="n">
        <v>4027</v>
      </c>
      <c r="C55" s="14" t="n">
        <f aca="false">C52*$B$13</f>
        <v>5312.736</v>
      </c>
      <c r="D55" s="14" t="n">
        <f aca="false">D52*$B$14</f>
        <v>6552.3744</v>
      </c>
      <c r="E55" s="14" t="n">
        <f aca="false">E52*$B$15</f>
        <v>7928.373024</v>
      </c>
      <c r="F55" s="14" t="n">
        <f aca="false">F52*$B$16</f>
        <v>8951.85390528</v>
      </c>
      <c r="G55" s="14" t="n">
        <f aca="false">G52*$B$17</f>
        <v>9901.5288413184</v>
      </c>
      <c r="H55" s="14" t="n">
        <f aca="false">H52*$B$17</f>
        <v>10198.574706558</v>
      </c>
    </row>
    <row r="56" customFormat="false" ht="15" hidden="false" customHeight="false" outlineLevel="0" collapsed="false">
      <c r="A56" s="15" t="s">
        <v>221</v>
      </c>
      <c r="B56" s="16" t="s">
        <v>186</v>
      </c>
      <c r="C56" s="15" t="str">
        <f aca="false">$B$13</f>
        <v>18.0%</v>
      </c>
      <c r="D56" s="15" t="str">
        <f aca="false">$B$14</f>
        <v>20.0%</v>
      </c>
      <c r="E56" s="15" t="str">
        <f aca="false">$B$15</f>
        <v>22.0%</v>
      </c>
      <c r="F56" s="15" t="str">
        <f aca="false">$B$16</f>
        <v>23.0%</v>
      </c>
      <c r="G56" s="15" t="str">
        <f aca="false">$B$17</f>
        <v>24.0%</v>
      </c>
      <c r="H56" s="15" t="str">
        <f aca="false">$B$17</f>
        <v>24.0%</v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 t="s">
        <v>222</v>
      </c>
      <c r="B58" s="11" t="n">
        <v>-2501</v>
      </c>
      <c r="C58" s="8" t="n">
        <f aca="false">-C52*$B$20</f>
        <v>-2361.216</v>
      </c>
      <c r="D58" s="8" t="n">
        <f aca="false">-D52*$B$20</f>
        <v>-2620.94976</v>
      </c>
      <c r="E58" s="8" t="n">
        <f aca="false">-E52*$B$20</f>
        <v>-2883.044736</v>
      </c>
      <c r="F58" s="8" t="n">
        <f aca="false">-F52*$B$20</f>
        <v>-3113.68831488</v>
      </c>
      <c r="G58" s="8" t="n">
        <f aca="false">-G52*$B$20</f>
        <v>-3300.5096137728</v>
      </c>
      <c r="H58" s="8" t="n">
        <f aca="false">-H52*$B$20</f>
        <v>-3399.52490218598</v>
      </c>
    </row>
    <row r="59" customFormat="false" ht="15" hidden="false" customHeight="false" outlineLevel="0" collapsed="false">
      <c r="A59" s="9" t="s">
        <v>223</v>
      </c>
      <c r="B59" s="14" t="n">
        <f aca="false">B55+B58</f>
        <v>1526</v>
      </c>
      <c r="C59" s="14" t="n">
        <f aca="false">C55+C58</f>
        <v>2951.52</v>
      </c>
      <c r="D59" s="14" t="n">
        <f aca="false">D55+D58</f>
        <v>3931.42464</v>
      </c>
      <c r="E59" s="14" t="n">
        <f aca="false">E55+E58</f>
        <v>5045.328288</v>
      </c>
      <c r="F59" s="14" t="n">
        <f aca="false">F55+F58</f>
        <v>5838.1655904</v>
      </c>
      <c r="G59" s="14" t="n">
        <f aca="false">G55+G58</f>
        <v>6601.0192275456</v>
      </c>
      <c r="H59" s="14" t="n">
        <f aca="false">H55+H58</f>
        <v>6799.04980437197</v>
      </c>
    </row>
    <row r="60" customFormat="false" ht="15" hidden="false" customHeight="false" outlineLevel="0" collapsed="false">
      <c r="A60" s="8" t="s">
        <v>224</v>
      </c>
      <c r="B60" s="11" t="n">
        <v>0</v>
      </c>
      <c r="C60" s="8" t="n">
        <f aca="false">IF(C59&gt;0,-C59*$B$19,0)</f>
        <v>-737.88</v>
      </c>
      <c r="D60" s="8" t="n">
        <f aca="false">IF(D59&gt;0,-D59*$B$19,0)</f>
        <v>-982.85616</v>
      </c>
      <c r="E60" s="8" t="n">
        <f aca="false">IF(E59&gt;0,-E59*$B$19,0)</f>
        <v>-1261.332072</v>
      </c>
      <c r="F60" s="8" t="n">
        <f aca="false">IF(F59&gt;0,-F59*$B$19,0)</f>
        <v>-1459.5413976</v>
      </c>
      <c r="G60" s="8" t="n">
        <f aca="false">IF(G59&gt;0,-G59*$B$19,0)</f>
        <v>-1650.2548068864</v>
      </c>
      <c r="H60" s="8" t="n">
        <f aca="false">IF(H59&gt;0,-H59*$B$19,0)</f>
        <v>-1699.76245109299</v>
      </c>
    </row>
    <row r="61" customFormat="false" ht="15" hidden="false" customHeight="false" outlineLevel="0" collapsed="false">
      <c r="A61" s="9" t="s">
        <v>225</v>
      </c>
      <c r="B61" s="14" t="n">
        <f aca="false">B59+B60</f>
        <v>1526</v>
      </c>
      <c r="C61" s="14" t="n">
        <f aca="false">C59+C60</f>
        <v>2213.64</v>
      </c>
      <c r="D61" s="14" t="n">
        <f aca="false">D59+D60</f>
        <v>2948.56848</v>
      </c>
      <c r="E61" s="14" t="n">
        <f aca="false">E59+E60</f>
        <v>3783.996216</v>
      </c>
      <c r="F61" s="14" t="n">
        <f aca="false">F59+F60</f>
        <v>4378.6241928</v>
      </c>
      <c r="G61" s="14" t="n">
        <f aca="false">G59+G60</f>
        <v>4950.7644206592</v>
      </c>
      <c r="H61" s="14" t="n">
        <f aca="false">H59+H60</f>
        <v>5099.28735327898</v>
      </c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8" t="s">
        <v>226</v>
      </c>
      <c r="B63" s="8" t="n">
        <f aca="false">-B58</f>
        <v>2501</v>
      </c>
      <c r="C63" s="8" t="n">
        <f aca="false">-C58</f>
        <v>2361.216</v>
      </c>
      <c r="D63" s="8" t="n">
        <f aca="false">-D58</f>
        <v>2620.94976</v>
      </c>
      <c r="E63" s="8" t="n">
        <f aca="false">-E58</f>
        <v>2883.044736</v>
      </c>
      <c r="F63" s="8" t="n">
        <f aca="false">-F58</f>
        <v>3113.68831488</v>
      </c>
      <c r="G63" s="8" t="n">
        <f aca="false">-G58</f>
        <v>3300.5096137728</v>
      </c>
      <c r="H63" s="8" t="n">
        <f aca="false">-H58</f>
        <v>3399.52490218598</v>
      </c>
    </row>
    <row r="64" customFormat="false" ht="15" hidden="false" customHeight="false" outlineLevel="0" collapsed="false">
      <c r="A64" s="8" t="s">
        <v>227</v>
      </c>
      <c r="B64" s="11" t="n">
        <v>-465</v>
      </c>
      <c r="C64" s="8" t="n">
        <f aca="false">-C52*$B$21</f>
        <v>-885.456</v>
      </c>
      <c r="D64" s="8" t="n">
        <f aca="false">-D52*$B$21</f>
        <v>-982.85616</v>
      </c>
      <c r="E64" s="8" t="n">
        <f aca="false">-E52*$B$21</f>
        <v>-1081.141776</v>
      </c>
      <c r="F64" s="8" t="n">
        <f aca="false">-F52*$B$21</f>
        <v>-1167.63311808</v>
      </c>
      <c r="G64" s="8" t="n">
        <f aca="false">-G52*$B$21</f>
        <v>-1237.6911051648</v>
      </c>
      <c r="H64" s="8" t="n">
        <f aca="false">-H52*$B$21</f>
        <v>-1274.82183831974</v>
      </c>
    </row>
    <row r="65" customFormat="false" ht="15" hidden="false" customHeight="false" outlineLevel="0" collapsed="false">
      <c r="A65" s="8" t="s">
        <v>228</v>
      </c>
      <c r="B65" s="11" t="n">
        <v>-1355</v>
      </c>
      <c r="C65" s="8" t="n">
        <f aca="false">-(C52-B52)*$B$22</f>
        <v>-134.16</v>
      </c>
      <c r="D65" s="8" t="n">
        <f aca="false">-(D52-C52)*$B$22</f>
        <v>-162.3336</v>
      </c>
      <c r="E65" s="8" t="n">
        <f aca="false">-(E52-D52)*$B$22</f>
        <v>-163.80936</v>
      </c>
      <c r="F65" s="8" t="n">
        <f aca="false">-(F52-E52)*$B$22</f>
        <v>-144.1522368</v>
      </c>
      <c r="G65" s="8" t="n">
        <f aca="false">-(G52-F52)*$B$22</f>
        <v>-116.763311808</v>
      </c>
      <c r="H65" s="8" t="n">
        <f aca="false">-(H52-G52)*$B$22</f>
        <v>-61.8845552582399</v>
      </c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" hidden="false" customHeight="false" outlineLevel="0" collapsed="false">
      <c r="A67" s="9" t="s">
        <v>229</v>
      </c>
      <c r="B67" s="14" t="n">
        <f aca="false">B61+B63+B64+B65</f>
        <v>2207</v>
      </c>
      <c r="C67" s="14" t="n">
        <f aca="false">C61+C63+C64+C65</f>
        <v>3555.24</v>
      </c>
      <c r="D67" s="14" t="n">
        <f aca="false">D61+D63+D64+D65</f>
        <v>4424.32848</v>
      </c>
      <c r="E67" s="14" t="n">
        <f aca="false">E61+E63+E64+E65</f>
        <v>5422.089816</v>
      </c>
      <c r="F67" s="14" t="n">
        <f aca="false">F61+F63+F64+F65</f>
        <v>6180.5271528</v>
      </c>
      <c r="G67" s="14" t="n">
        <f aca="false">G61+G63+G64+G65</f>
        <v>6896.8196174592</v>
      </c>
      <c r="H67" s="14" t="n">
        <f aca="false">H61+H63+H64+H65</f>
        <v>7162.10586188698</v>
      </c>
    </row>
    <row r="68" customFormat="false" ht="15" hidden="false" customHeight="false" outlineLevel="0" collapsed="false">
      <c r="A68" s="15" t="s">
        <v>111</v>
      </c>
      <c r="B68" s="15" t="n">
        <f aca="false">B67/B52</f>
        <v>0.082252534287418</v>
      </c>
      <c r="C68" s="15" t="n">
        <f aca="false">C67/C52</f>
        <v>0.120454545454545</v>
      </c>
      <c r="D68" s="15" t="n">
        <f aca="false">D67/D52</f>
        <v>0.135045045045045</v>
      </c>
      <c r="E68" s="15" t="n">
        <f aca="false">E67/E52</f>
        <v>0.150454545454545</v>
      </c>
      <c r="F68" s="15" t="n">
        <f aca="false">F67/F52</f>
        <v>0.158796296296296</v>
      </c>
      <c r="G68" s="15" t="n">
        <f aca="false">G67/G52</f>
        <v>0.167169811320755</v>
      </c>
      <c r="H68" s="15" t="n">
        <f aca="false">H67/H52</f>
        <v>0.168543689320388</v>
      </c>
    </row>
    <row r="71" customFormat="false" ht="15" hidden="false" customHeight="false" outlineLevel="0" collapsed="false">
      <c r="A71" s="3" t="s">
        <v>230</v>
      </c>
    </row>
    <row r="73" customFormat="false" ht="15" hidden="false" customHeight="false" outlineLevel="0" collapsed="false">
      <c r="A73" s="0" t="s">
        <v>208</v>
      </c>
      <c r="B73" s="17" t="n">
        <v>0.1</v>
      </c>
    </row>
    <row r="74" customFormat="false" ht="15" hidden="false" customHeight="false" outlineLevel="0" collapsed="false">
      <c r="A74" s="0" t="s">
        <v>146</v>
      </c>
      <c r="B74" s="18" t="str">
        <f aca="false">$B$11</f>
        <v>3.0%</v>
      </c>
    </row>
    <row r="76" customFormat="false" ht="15" hidden="false" customHeight="false" outlineLevel="0" collapsed="false">
      <c r="A76" s="4" t="s">
        <v>231</v>
      </c>
    </row>
    <row r="77" customFormat="false" ht="15" hidden="false" customHeight="false" outlineLevel="0" collapsed="false">
      <c r="A77" s="0" t="s">
        <v>232</v>
      </c>
      <c r="B77" s="0" t="n">
        <v>1</v>
      </c>
      <c r="C77" s="0" t="n">
        <v>2</v>
      </c>
      <c r="D77" s="0" t="n">
        <v>3</v>
      </c>
      <c r="E77" s="0" t="n">
        <v>4</v>
      </c>
      <c r="F77" s="0" t="n">
        <v>5</v>
      </c>
    </row>
    <row r="78" customFormat="false" ht="15" hidden="false" customHeight="false" outlineLevel="0" collapsed="false">
      <c r="A78" s="0" t="s">
        <v>233</v>
      </c>
      <c r="B78" s="19" t="n">
        <f aca="false">C67</f>
        <v>3555.24</v>
      </c>
      <c r="C78" s="19" t="n">
        <f aca="false">D67</f>
        <v>4424.32848</v>
      </c>
      <c r="D78" s="19" t="n">
        <f aca="false">E67</f>
        <v>5422.089816</v>
      </c>
      <c r="E78" s="19" t="n">
        <f aca="false">F67</f>
        <v>6180.5271528</v>
      </c>
      <c r="F78" s="19" t="n">
        <f aca="false">G67</f>
        <v>6896.8196174592</v>
      </c>
    </row>
    <row r="79" customFormat="false" ht="15" hidden="false" customHeight="false" outlineLevel="0" collapsed="false">
      <c r="A79" s="0" t="s">
        <v>234</v>
      </c>
      <c r="B79" s="20" t="n">
        <f aca="false">1/(1+$B$73)^B77</f>
        <v>0.909090909090909</v>
      </c>
      <c r="C79" s="20" t="n">
        <f aca="false">1/(1+$B$73)^C77</f>
        <v>0.826446280991735</v>
      </c>
      <c r="D79" s="20" t="n">
        <f aca="false">1/(1+$B$73)^D77</f>
        <v>0.751314800901578</v>
      </c>
      <c r="E79" s="20" t="n">
        <f aca="false">1/(1+$B$73)^E77</f>
        <v>0.683013455365071</v>
      </c>
      <c r="F79" s="20" t="n">
        <f aca="false">1/(1+$B$73)^F77</f>
        <v>0.620921323059155</v>
      </c>
    </row>
    <row r="80" customFormat="false" ht="15" hidden="false" customHeight="false" outlineLevel="0" collapsed="false">
      <c r="A80" s="0" t="s">
        <v>235</v>
      </c>
      <c r="B80" s="19" t="n">
        <f aca="false">B78*B79</f>
        <v>3232.03636363636</v>
      </c>
      <c r="C80" s="19" t="n">
        <f aca="false">C78*C79</f>
        <v>3656.46981818182</v>
      </c>
      <c r="D80" s="19" t="n">
        <f aca="false">D78*D79</f>
        <v>4073.69633057851</v>
      </c>
      <c r="E80" s="19" t="n">
        <f aca="false">E78*E79</f>
        <v>4221.38320661157</v>
      </c>
      <c r="F80" s="19" t="n">
        <f aca="false">F78*F79</f>
        <v>4282.3823617731</v>
      </c>
    </row>
    <row r="82" customFormat="false" ht="15" hidden="false" customHeight="false" outlineLevel="0" collapsed="false">
      <c r="A82" s="4" t="s">
        <v>236</v>
      </c>
    </row>
    <row r="83" customFormat="false" ht="15" hidden="false" customHeight="false" outlineLevel="0" collapsed="false">
      <c r="A83" s="0" t="s">
        <v>237</v>
      </c>
      <c r="B83" s="19" t="n">
        <f aca="false">H67</f>
        <v>7162.10586188698</v>
      </c>
    </row>
    <row r="84" customFormat="false" ht="15" hidden="false" customHeight="false" outlineLevel="0" collapsed="false">
      <c r="A84" s="0" t="s">
        <v>238</v>
      </c>
      <c r="B84" s="19" t="n">
        <f aca="false">B83/($B$73-$B$74)</f>
        <v>102315.798026957</v>
      </c>
    </row>
    <row r="85" customFormat="false" ht="15" hidden="false" customHeight="false" outlineLevel="0" collapsed="false">
      <c r="A85" s="0" t="s">
        <v>239</v>
      </c>
      <c r="B85" s="19" t="n">
        <f aca="false">B84*F79</f>
        <v>63530.0606807513</v>
      </c>
    </row>
    <row r="86" customFormat="false" ht="15" hidden="false" customHeight="false" outlineLevel="0" collapsed="false">
      <c r="A86" s="0" t="s">
        <v>240</v>
      </c>
      <c r="B86" s="21" t="n">
        <f aca="false">B84/H55</f>
        <v>10.0323624595469</v>
      </c>
    </row>
    <row r="88" customFormat="false" ht="15" hidden="false" customHeight="false" outlineLevel="0" collapsed="false">
      <c r="A88" s="3" t="s">
        <v>241</v>
      </c>
    </row>
    <row r="89" customFormat="false" ht="15" hidden="false" customHeight="false" outlineLevel="0" collapsed="false">
      <c r="A89" s="0" t="s">
        <v>242</v>
      </c>
      <c r="B89" s="19" t="n">
        <f aca="false">SUM(B80:F80)</f>
        <v>19465.9680807814</v>
      </c>
    </row>
    <row r="90" customFormat="false" ht="15" hidden="false" customHeight="false" outlineLevel="0" collapsed="false">
      <c r="A90" s="0" t="s">
        <v>239</v>
      </c>
      <c r="B90" s="19" t="n">
        <f aca="false">B85</f>
        <v>63530.0606807513</v>
      </c>
    </row>
    <row r="91" customFormat="false" ht="15" hidden="false" customHeight="false" outlineLevel="0" collapsed="false">
      <c r="A91" s="4" t="s">
        <v>243</v>
      </c>
      <c r="B91" s="22" t="n">
        <f aca="false">B89+B90</f>
        <v>82996.0287615327</v>
      </c>
    </row>
    <row r="93" customFormat="false" ht="15" hidden="false" customHeight="false" outlineLevel="0" collapsed="false">
      <c r="A93" s="3" t="s">
        <v>244</v>
      </c>
    </row>
    <row r="94" customFormat="false" ht="15" hidden="false" customHeight="false" outlineLevel="0" collapsed="false">
      <c r="A94" s="0" t="s">
        <v>243</v>
      </c>
      <c r="B94" s="19" t="n">
        <f aca="false">B91</f>
        <v>82996.0287615327</v>
      </c>
    </row>
    <row r="95" customFormat="false" ht="15" hidden="false" customHeight="false" outlineLevel="0" collapsed="false">
      <c r="A95" s="0" t="s">
        <v>245</v>
      </c>
      <c r="B95" s="23" t="n">
        <v>-4764</v>
      </c>
    </row>
    <row r="96" customFormat="false" ht="15" hidden="false" customHeight="false" outlineLevel="0" collapsed="false">
      <c r="A96" s="0" t="s">
        <v>246</v>
      </c>
      <c r="B96" s="23" t="n">
        <v>16542</v>
      </c>
    </row>
    <row r="97" customFormat="false" ht="15" hidden="false" customHeight="false" outlineLevel="0" collapsed="false">
      <c r="A97" s="4" t="s">
        <v>247</v>
      </c>
      <c r="B97" s="22" t="n">
        <f aca="false">B94+B95+B96</f>
        <v>94774.0287615327</v>
      </c>
    </row>
    <row r="99" customFormat="false" ht="15" hidden="false" customHeight="false" outlineLevel="0" collapsed="false">
      <c r="A99" s="3" t="s">
        <v>248</v>
      </c>
    </row>
    <row r="100" customFormat="false" ht="15" hidden="false" customHeight="false" outlineLevel="0" collapsed="false">
      <c r="A100" s="0" t="s">
        <v>249</v>
      </c>
      <c r="B100" s="24" t="n">
        <v>416</v>
      </c>
      <c r="C100" s="5" t="s">
        <v>250</v>
      </c>
    </row>
    <row r="101" customFormat="false" ht="15" hidden="false" customHeight="false" outlineLevel="0" collapsed="false">
      <c r="A101" s="0" t="s">
        <v>251</v>
      </c>
      <c r="B101" s="25" t="n">
        <f aca="false">B97/B100</f>
        <v>227.822184522915</v>
      </c>
    </row>
    <row r="102" customFormat="false" ht="15" hidden="false" customHeight="false" outlineLevel="0" collapsed="false">
      <c r="A102" s="0" t="s">
        <v>252</v>
      </c>
      <c r="B102" s="24" t="n">
        <v>7.3</v>
      </c>
    </row>
    <row r="103" customFormat="false" ht="15" hidden="false" customHeight="false" outlineLevel="0" collapsed="false">
      <c r="A103" s="0" t="s">
        <v>253</v>
      </c>
      <c r="B103" s="26" t="n">
        <f aca="false">B101/B102</f>
        <v>31.2085184277966</v>
      </c>
    </row>
    <row r="104" customFormat="false" ht="15" hidden="false" customHeight="false" outlineLevel="0" collapsed="false">
      <c r="A104" s="0" t="s">
        <v>254</v>
      </c>
      <c r="B104" s="24" t="n">
        <v>1.07</v>
      </c>
    </row>
    <row r="105" customFormat="false" ht="15" hidden="false" customHeight="false" outlineLevel="0" collapsed="false">
      <c r="A105" s="0" t="s">
        <v>255</v>
      </c>
      <c r="B105" s="25" t="n">
        <f aca="false">B101*B104</f>
        <v>243.769737439519</v>
      </c>
    </row>
    <row r="107" customFormat="false" ht="15" hidden="false" customHeight="false" outlineLevel="0" collapsed="false">
      <c r="A107" s="3" t="s">
        <v>256</v>
      </c>
    </row>
    <row r="108" customFormat="false" ht="15" hidden="false" customHeight="false" outlineLevel="0" collapsed="false">
      <c r="A108" s="0" t="s">
        <v>257</v>
      </c>
      <c r="B108" s="27" t="n">
        <v>260</v>
      </c>
    </row>
    <row r="109" customFormat="false" ht="15" hidden="false" customHeight="false" outlineLevel="0" collapsed="false">
      <c r="A109" s="0" t="s">
        <v>258</v>
      </c>
      <c r="B109" s="18" t="n">
        <f aca="false">(B105-B108)/B108</f>
        <v>-0.0624240867710805</v>
      </c>
    </row>
    <row r="110" customFormat="false" ht="15" hidden="false" customHeight="false" outlineLevel="0" collapsed="false">
      <c r="A110" s="0" t="s">
        <v>259</v>
      </c>
      <c r="B110" s="28" t="n">
        <v>25</v>
      </c>
    </row>
    <row r="111" customFormat="false" ht="15" hidden="false" customHeight="false" outlineLevel="0" collapsed="false">
      <c r="A111" s="0" t="s">
        <v>258</v>
      </c>
      <c r="B111" s="18" t="n">
        <f aca="false">(B103-B110)/B110</f>
        <v>0.248340737111863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7" min="3" style="0" width="10"/>
  </cols>
  <sheetData>
    <row r="1" customFormat="false" ht="17.35" hidden="false" customHeight="false" outlineLevel="0" collapsed="false">
      <c r="A1" s="2" t="s">
        <v>260</v>
      </c>
    </row>
    <row r="3" customFormat="false" ht="15" hidden="false" customHeight="false" outlineLevel="0" collapsed="false">
      <c r="A3" s="3" t="s">
        <v>261</v>
      </c>
    </row>
    <row r="5" customFormat="false" ht="15" hidden="false" customHeight="false" outlineLevel="0" collapsed="false">
      <c r="A5" s="4" t="s">
        <v>146</v>
      </c>
      <c r="C5" s="7" t="s">
        <v>262</v>
      </c>
      <c r="D5" s="7" t="s">
        <v>263</v>
      </c>
      <c r="E5" s="7" t="s">
        <v>147</v>
      </c>
      <c r="F5" s="7" t="s">
        <v>264</v>
      </c>
      <c r="G5" s="7" t="s">
        <v>265</v>
      </c>
    </row>
    <row r="6" customFormat="false" ht="15" hidden="false" customHeight="false" outlineLevel="0" collapsed="false">
      <c r="A6" s="4" t="s">
        <v>208</v>
      </c>
      <c r="B6" s="7" t="s">
        <v>141</v>
      </c>
      <c r="C6" s="29" t="n">
        <v>332.1</v>
      </c>
      <c r="D6" s="29" t="n">
        <v>344.1</v>
      </c>
      <c r="E6" s="29" t="n">
        <v>358.5</v>
      </c>
      <c r="F6" s="29" t="n">
        <v>376.1</v>
      </c>
      <c r="G6" s="29" t="n">
        <v>398.1</v>
      </c>
    </row>
    <row r="7" customFormat="false" ht="15" hidden="false" customHeight="false" outlineLevel="0" collapsed="false">
      <c r="B7" s="7" t="s">
        <v>266</v>
      </c>
      <c r="C7" s="29" t="n">
        <v>313.2</v>
      </c>
      <c r="D7" s="29" t="n">
        <v>321.9</v>
      </c>
      <c r="E7" s="29" t="n">
        <v>332.1</v>
      </c>
      <c r="F7" s="29" t="n">
        <v>344.1</v>
      </c>
      <c r="G7" s="29" t="n">
        <v>358.5</v>
      </c>
    </row>
    <row r="8" customFormat="false" ht="15" hidden="false" customHeight="false" outlineLevel="0" collapsed="false">
      <c r="B8" s="7" t="s">
        <v>133</v>
      </c>
      <c r="C8" s="29" t="n">
        <v>299.1</v>
      </c>
      <c r="D8" s="29" t="n">
        <v>305.7</v>
      </c>
      <c r="E8" s="30" t="n">
        <v>313.2</v>
      </c>
      <c r="F8" s="29" t="n">
        <v>321.9</v>
      </c>
      <c r="G8" s="29" t="n">
        <v>332.1</v>
      </c>
    </row>
    <row r="9" customFormat="false" ht="15" hidden="false" customHeight="false" outlineLevel="0" collapsed="false">
      <c r="B9" s="7" t="s">
        <v>136</v>
      </c>
      <c r="C9" s="29" t="n">
        <v>288.1</v>
      </c>
      <c r="D9" s="29" t="n">
        <v>293.3</v>
      </c>
      <c r="E9" s="29" t="n">
        <v>299.1</v>
      </c>
      <c r="F9" s="29" t="n">
        <v>305.7</v>
      </c>
      <c r="G9" s="29" t="n">
        <v>313.2</v>
      </c>
    </row>
    <row r="10" customFormat="false" ht="15" hidden="false" customHeight="false" outlineLevel="0" collapsed="false">
      <c r="B10" s="7" t="s">
        <v>267</v>
      </c>
      <c r="C10" s="29" t="n">
        <v>279.3</v>
      </c>
      <c r="D10" s="29" t="n">
        <v>283.4</v>
      </c>
      <c r="E10" s="29" t="n">
        <v>288.1</v>
      </c>
      <c r="F10" s="29" t="n">
        <v>293.3</v>
      </c>
      <c r="G10" s="29" t="n">
        <v>299.1</v>
      </c>
    </row>
    <row r="14" customFormat="false" ht="15" hidden="false" customHeight="false" outlineLevel="0" collapsed="false">
      <c r="A14" s="3" t="s">
        <v>268</v>
      </c>
    </row>
    <row r="16" customFormat="false" ht="15" hidden="false" customHeight="false" outlineLevel="0" collapsed="false">
      <c r="A16" s="4" t="s">
        <v>269</v>
      </c>
      <c r="C16" s="7" t="s">
        <v>144</v>
      </c>
      <c r="D16" s="7" t="s">
        <v>270</v>
      </c>
      <c r="E16" s="7" t="s">
        <v>266</v>
      </c>
      <c r="F16" s="7" t="s">
        <v>271</v>
      </c>
      <c r="G16" s="7" t="s">
        <v>267</v>
      </c>
    </row>
    <row r="17" customFormat="false" ht="15" hidden="false" customHeight="false" outlineLevel="0" collapsed="false">
      <c r="A17" s="4" t="s">
        <v>272</v>
      </c>
      <c r="B17" s="7" t="s">
        <v>153</v>
      </c>
      <c r="C17" s="29" t="n">
        <v>185.5</v>
      </c>
      <c r="D17" s="29" t="n">
        <v>196.7</v>
      </c>
      <c r="E17" s="29" t="n">
        <v>208.7</v>
      </c>
      <c r="F17" s="29" t="n">
        <v>221.3</v>
      </c>
      <c r="G17" s="29" t="n">
        <v>234.6</v>
      </c>
    </row>
    <row r="18" customFormat="false" ht="15" hidden="false" customHeight="false" outlineLevel="0" collapsed="false">
      <c r="B18" s="7" t="s">
        <v>156</v>
      </c>
      <c r="C18" s="29" t="n">
        <v>201</v>
      </c>
      <c r="D18" s="29" t="n">
        <v>213.4</v>
      </c>
      <c r="E18" s="29" t="n">
        <v>226.5</v>
      </c>
      <c r="F18" s="29" t="n">
        <v>240.4</v>
      </c>
      <c r="G18" s="29" t="n">
        <v>255.1</v>
      </c>
    </row>
    <row r="19" customFormat="false" ht="15" hidden="false" customHeight="false" outlineLevel="0" collapsed="false">
      <c r="B19" s="7" t="s">
        <v>162</v>
      </c>
      <c r="C19" s="29" t="n">
        <v>216.5</v>
      </c>
      <c r="D19" s="29" t="n">
        <v>230</v>
      </c>
      <c r="E19" s="30" t="n">
        <v>244.4</v>
      </c>
      <c r="F19" s="29" t="n">
        <v>259.5</v>
      </c>
      <c r="G19" s="29" t="n">
        <v>275.5</v>
      </c>
    </row>
    <row r="20" customFormat="false" ht="15" hidden="false" customHeight="false" outlineLevel="0" collapsed="false">
      <c r="B20" s="7" t="s">
        <v>273</v>
      </c>
      <c r="C20" s="29" t="n">
        <v>232</v>
      </c>
      <c r="D20" s="29" t="n">
        <v>246.7</v>
      </c>
      <c r="E20" s="29" t="n">
        <v>262.2</v>
      </c>
      <c r="F20" s="29" t="n">
        <v>278.6</v>
      </c>
      <c r="G20" s="29" t="n">
        <v>295.9</v>
      </c>
    </row>
    <row r="21" customFormat="false" ht="15" hidden="false" customHeight="false" outlineLevel="0" collapsed="false">
      <c r="B21" s="7" t="s">
        <v>274</v>
      </c>
      <c r="C21" s="29" t="n">
        <v>247.5</v>
      </c>
      <c r="D21" s="29" t="n">
        <v>263.3</v>
      </c>
      <c r="E21" s="29" t="n">
        <v>280</v>
      </c>
      <c r="F21" s="29" t="n">
        <v>297.7</v>
      </c>
      <c r="G21" s="29" t="n">
        <v>316.4</v>
      </c>
    </row>
    <row r="24" customFormat="false" ht="15" hidden="false" customHeight="false" outlineLevel="0" collapsed="false">
      <c r="A24" s="31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2" t="s">
        <v>276</v>
      </c>
    </row>
    <row r="3" customFormat="false" ht="15" hidden="false" customHeight="false" outlineLevel="0" collapsed="false">
      <c r="A3" s="3" t="s">
        <v>277</v>
      </c>
    </row>
    <row r="4" customFormat="false" ht="15" hidden="false" customHeight="false" outlineLevel="0" collapsed="false">
      <c r="A4" s="7" t="s">
        <v>278</v>
      </c>
      <c r="B4" s="7" t="s">
        <v>279</v>
      </c>
      <c r="C4" s="7" t="s">
        <v>280</v>
      </c>
      <c r="D4" s="7" t="s">
        <v>281</v>
      </c>
      <c r="E4" s="7" t="s">
        <v>282</v>
      </c>
      <c r="F4" s="7" t="s">
        <v>283</v>
      </c>
      <c r="G4" s="7" t="s">
        <v>284</v>
      </c>
      <c r="H4" s="7" t="s">
        <v>285</v>
      </c>
      <c r="I4" s="7" t="s">
        <v>286</v>
      </c>
    </row>
    <row r="5" customFormat="false" ht="15" hidden="false" customHeight="false" outlineLevel="0" collapsed="false">
      <c r="A5" s="32" t="s">
        <v>287</v>
      </c>
      <c r="B5" s="32" t="s">
        <v>288</v>
      </c>
      <c r="C5" s="32" t="n">
        <v>10.5</v>
      </c>
      <c r="D5" s="32" t="n">
        <v>9</v>
      </c>
      <c r="E5" s="32" t="s">
        <v>289</v>
      </c>
      <c r="F5" s="32" t="s">
        <v>290</v>
      </c>
      <c r="G5" s="32" t="s">
        <v>291</v>
      </c>
      <c r="H5" s="32" t="s">
        <v>292</v>
      </c>
      <c r="I5" s="32" t="s">
        <v>293</v>
      </c>
    </row>
    <row r="6" customFormat="false" ht="15" hidden="false" customHeight="false" outlineLevel="0" collapsed="false">
      <c r="A6" s="8" t="s">
        <v>294</v>
      </c>
      <c r="B6" s="8" t="s">
        <v>295</v>
      </c>
      <c r="C6" s="8" t="n">
        <v>43</v>
      </c>
      <c r="D6" s="8" t="n">
        <v>35</v>
      </c>
      <c r="E6" s="8" t="s">
        <v>291</v>
      </c>
      <c r="F6" s="8" t="s">
        <v>296</v>
      </c>
      <c r="G6" s="8" t="s">
        <v>297</v>
      </c>
      <c r="H6" s="8" t="s">
        <v>298</v>
      </c>
      <c r="I6" s="8" t="s">
        <v>299</v>
      </c>
    </row>
    <row r="7" customFormat="false" ht="15" hidden="false" customHeight="false" outlineLevel="0" collapsed="false">
      <c r="A7" s="8" t="s">
        <v>300</v>
      </c>
      <c r="B7" s="8" t="s">
        <v>301</v>
      </c>
      <c r="C7" s="8" t="n">
        <v>18.5</v>
      </c>
      <c r="D7" s="8" t="n">
        <v>11</v>
      </c>
      <c r="E7" s="8" t="s">
        <v>302</v>
      </c>
      <c r="F7" s="8" t="s">
        <v>303</v>
      </c>
      <c r="G7" s="8" t="s">
        <v>304</v>
      </c>
      <c r="H7" s="8" t="s">
        <v>305</v>
      </c>
      <c r="I7" s="8" t="s">
        <v>306</v>
      </c>
    </row>
    <row r="8" customFormat="false" ht="15" hidden="false" customHeight="false" outlineLevel="0" collapsed="false">
      <c r="A8" s="8" t="s">
        <v>307</v>
      </c>
      <c r="B8" s="8" t="s">
        <v>308</v>
      </c>
      <c r="C8" s="8" t="n">
        <v>4.2</v>
      </c>
      <c r="D8" s="8" t="n">
        <v>5.8</v>
      </c>
      <c r="E8" s="8" t="s">
        <v>309</v>
      </c>
      <c r="F8" s="8" t="s">
        <v>310</v>
      </c>
      <c r="G8" s="8" t="s">
        <v>311</v>
      </c>
      <c r="H8" s="8" t="s">
        <v>312</v>
      </c>
      <c r="I8" s="8" t="s">
        <v>313</v>
      </c>
    </row>
    <row r="9" customFormat="false" ht="15" hidden="false" customHeight="false" outlineLevel="0" collapsed="false">
      <c r="A9" s="8" t="s">
        <v>314</v>
      </c>
      <c r="B9" s="8" t="s">
        <v>315</v>
      </c>
      <c r="C9" s="8" t="n">
        <v>2.5</v>
      </c>
      <c r="D9" s="8" t="n">
        <v>1.2</v>
      </c>
      <c r="E9" s="8" t="s">
        <v>316</v>
      </c>
      <c r="F9" s="8" t="s">
        <v>317</v>
      </c>
      <c r="G9" s="8" t="s">
        <v>318</v>
      </c>
      <c r="H9" s="8" t="s">
        <v>319</v>
      </c>
      <c r="I9" s="8" t="s">
        <v>320</v>
      </c>
    </row>
    <row r="10" customFormat="false" ht="15" hidden="false" customHeight="false" outlineLevel="0" collapsed="false">
      <c r="A10" s="8" t="s">
        <v>321</v>
      </c>
      <c r="B10" s="8" t="s">
        <v>322</v>
      </c>
      <c r="C10" s="8" t="n">
        <v>38</v>
      </c>
      <c r="D10" s="8" t="n">
        <v>28</v>
      </c>
      <c r="E10" s="8" t="s">
        <v>323</v>
      </c>
      <c r="F10" s="8" t="s">
        <v>324</v>
      </c>
      <c r="G10" s="8" t="s">
        <v>304</v>
      </c>
      <c r="H10" s="8" t="s">
        <v>325</v>
      </c>
      <c r="I10" s="8" t="s">
        <v>326</v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9" t="s">
        <v>327</v>
      </c>
      <c r="B12" s="9"/>
      <c r="C12" s="9"/>
      <c r="D12" s="9"/>
      <c r="E12" s="9" t="s">
        <v>323</v>
      </c>
      <c r="F12" s="9" t="s">
        <v>328</v>
      </c>
      <c r="G12" s="9" t="s">
        <v>310</v>
      </c>
      <c r="H12" s="9" t="s">
        <v>329</v>
      </c>
      <c r="I12" s="9" t="s">
        <v>330</v>
      </c>
    </row>
    <row r="13" customFormat="false" ht="15" hidden="false" customHeight="false" outlineLevel="0" collapsed="false">
      <c r="A13" s="9" t="s">
        <v>331</v>
      </c>
      <c r="B13" s="9"/>
      <c r="C13" s="9"/>
      <c r="D13" s="9"/>
      <c r="E13" s="9" t="s">
        <v>311</v>
      </c>
      <c r="F13" s="9" t="s">
        <v>332</v>
      </c>
      <c r="G13" s="9" t="s">
        <v>289</v>
      </c>
      <c r="H13" s="9" t="s">
        <v>333</v>
      </c>
      <c r="I13" s="9" t="s">
        <v>334</v>
      </c>
    </row>
    <row r="16" customFormat="false" ht="15" hidden="false" customHeight="false" outlineLevel="0" collapsed="false">
      <c r="A16" s="3" t="s">
        <v>335</v>
      </c>
    </row>
    <row r="17" customFormat="false" ht="15" hidden="false" customHeight="false" outlineLevel="0" collapsed="false">
      <c r="A17" s="7" t="s">
        <v>336</v>
      </c>
      <c r="B17" s="7" t="s">
        <v>337</v>
      </c>
      <c r="C17" s="7" t="s">
        <v>338</v>
      </c>
      <c r="D17" s="7" t="s">
        <v>339</v>
      </c>
      <c r="E17" s="7" t="s">
        <v>340</v>
      </c>
      <c r="F17" s="7" t="s">
        <v>341</v>
      </c>
    </row>
    <row r="18" customFormat="false" ht="15" hidden="false" customHeight="false" outlineLevel="0" collapsed="false">
      <c r="A18" s="8" t="s">
        <v>342</v>
      </c>
      <c r="B18" s="14" t="n">
        <v>29515</v>
      </c>
      <c r="C18" s="8" t="s">
        <v>312</v>
      </c>
      <c r="D18" s="8" t="s">
        <v>305</v>
      </c>
      <c r="E18" s="14" t="n">
        <v>44273</v>
      </c>
      <c r="F18" s="14" t="n">
        <v>73788</v>
      </c>
    </row>
    <row r="19" customFormat="false" ht="15" hidden="false" customHeight="false" outlineLevel="0" collapsed="false">
      <c r="A19" s="8" t="s">
        <v>343</v>
      </c>
      <c r="B19" s="14" t="n">
        <v>5313</v>
      </c>
      <c r="C19" s="8" t="s">
        <v>344</v>
      </c>
      <c r="D19" s="8" t="s">
        <v>345</v>
      </c>
      <c r="E19" s="14" t="n">
        <v>53130</v>
      </c>
      <c r="F19" s="14" t="n">
        <v>79695</v>
      </c>
    </row>
    <row r="22" customFormat="false" ht="15" hidden="false" customHeight="false" outlineLevel="0" collapsed="false">
      <c r="A22" s="3" t="s">
        <v>346</v>
      </c>
    </row>
    <row r="23" customFormat="false" ht="15" hidden="false" customHeight="false" outlineLevel="0" collapsed="false">
      <c r="A23" s="7"/>
      <c r="B23" s="7" t="s">
        <v>347</v>
      </c>
      <c r="C23" s="7" t="s">
        <v>348</v>
      </c>
    </row>
    <row r="24" customFormat="false" ht="15" hidden="false" customHeight="false" outlineLevel="0" collapsed="false">
      <c r="A24" s="9" t="s">
        <v>243</v>
      </c>
      <c r="B24" s="14" t="n">
        <v>44273</v>
      </c>
      <c r="C24" s="14" t="n">
        <v>79695</v>
      </c>
    </row>
    <row r="25" customFormat="false" ht="15" hidden="false" customHeight="false" outlineLevel="0" collapsed="false">
      <c r="A25" s="9" t="s">
        <v>349</v>
      </c>
      <c r="B25" s="14" t="n">
        <v>-4764</v>
      </c>
      <c r="C25" s="14" t="n">
        <v>-4764</v>
      </c>
    </row>
    <row r="26" customFormat="false" ht="15" hidden="false" customHeight="false" outlineLevel="0" collapsed="false">
      <c r="A26" s="9" t="s">
        <v>350</v>
      </c>
      <c r="B26" s="14" t="n">
        <v>16542</v>
      </c>
      <c r="C26" s="14" t="n">
        <v>16542</v>
      </c>
    </row>
    <row r="27" customFormat="false" ht="15" hidden="false" customHeight="false" outlineLevel="0" collapsed="false">
      <c r="A27" s="9" t="s">
        <v>351</v>
      </c>
      <c r="B27" s="33" t="n">
        <v>56051</v>
      </c>
      <c r="C27" s="33" t="n">
        <v>91473</v>
      </c>
    </row>
    <row r="28" customFormat="false" ht="15" hidden="false" customHeight="false" outlineLevel="0" collapsed="false">
      <c r="A28" s="9" t="s">
        <v>352</v>
      </c>
      <c r="B28" s="33" t="n">
        <v>416</v>
      </c>
      <c r="C28" s="33" t="n">
        <v>416</v>
      </c>
    </row>
    <row r="29" customFormat="false" ht="15" hidden="false" customHeight="false" outlineLevel="0" collapsed="false">
      <c r="A29" s="9" t="s">
        <v>251</v>
      </c>
      <c r="B29" s="34" t="n">
        <v>134.7</v>
      </c>
      <c r="C29" s="34" t="n">
        <v>219.9</v>
      </c>
    </row>
    <row r="30" customFormat="false" ht="15" hidden="false" customHeight="false" outlineLevel="0" collapsed="false">
      <c r="A30" s="9" t="s">
        <v>255</v>
      </c>
      <c r="B30" s="34" t="n">
        <v>144.2</v>
      </c>
      <c r="C30" s="34" t="n">
        <v>235.3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2" t="s">
        <v>353</v>
      </c>
    </row>
    <row r="3" customFormat="false" ht="15" hidden="false" customHeight="false" outlineLevel="0" collapsed="false">
      <c r="A3" s="3" t="s">
        <v>354</v>
      </c>
    </row>
    <row r="4" customFormat="false" ht="15" hidden="false" customHeight="false" outlineLevel="0" collapsed="false">
      <c r="A4" s="7" t="s">
        <v>355</v>
      </c>
      <c r="B4" s="7" t="s">
        <v>356</v>
      </c>
      <c r="C4" s="7" t="s">
        <v>357</v>
      </c>
      <c r="D4" s="7" t="s">
        <v>358</v>
      </c>
    </row>
    <row r="5" customFormat="false" ht="15" hidden="false" customHeight="false" outlineLevel="0" collapsed="false">
      <c r="A5" s="8" t="s">
        <v>359</v>
      </c>
      <c r="B5" s="8" t="n">
        <v>280</v>
      </c>
      <c r="C5" s="8" t="s">
        <v>296</v>
      </c>
      <c r="D5" s="8" t="n">
        <v>140</v>
      </c>
    </row>
    <row r="6" customFormat="false" ht="15" hidden="false" customHeight="false" outlineLevel="0" collapsed="false">
      <c r="A6" s="8" t="s">
        <v>360</v>
      </c>
      <c r="B6" s="8" t="n">
        <v>144</v>
      </c>
      <c r="C6" s="8" t="s">
        <v>291</v>
      </c>
      <c r="D6" s="8" t="n">
        <v>22</v>
      </c>
    </row>
    <row r="7" customFormat="false" ht="15" hidden="false" customHeight="false" outlineLevel="0" collapsed="false">
      <c r="A7" s="8" t="s">
        <v>361</v>
      </c>
      <c r="B7" s="8" t="n">
        <v>235</v>
      </c>
      <c r="C7" s="8" t="s">
        <v>291</v>
      </c>
      <c r="D7" s="8" t="n">
        <v>35</v>
      </c>
    </row>
    <row r="8" customFormat="false" ht="15" hidden="false" customHeight="false" outlineLevel="0" collapsed="false">
      <c r="A8" s="8" t="s">
        <v>362</v>
      </c>
      <c r="B8" s="8" t="n">
        <v>248</v>
      </c>
      <c r="C8" s="8" t="s">
        <v>363</v>
      </c>
      <c r="D8" s="8" t="n">
        <v>50</v>
      </c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9" t="s">
        <v>364</v>
      </c>
      <c r="B10" s="9"/>
      <c r="C10" s="9"/>
      <c r="D10" s="9" t="n">
        <v>247</v>
      </c>
    </row>
    <row r="11" customFormat="false" ht="15" hidden="false" customHeight="false" outlineLevel="0" collapsed="false">
      <c r="A11" s="9" t="s">
        <v>365</v>
      </c>
      <c r="B11" s="9" t="n">
        <v>260</v>
      </c>
      <c r="C11" s="9"/>
      <c r="D11" s="9"/>
    </row>
    <row r="12" customFormat="false" ht="15" hidden="false" customHeight="false" outlineLevel="0" collapsed="false">
      <c r="A12" s="9" t="s">
        <v>366</v>
      </c>
      <c r="B12" s="9" t="s">
        <v>367</v>
      </c>
      <c r="C12" s="9"/>
      <c r="D12" s="9"/>
    </row>
    <row r="15" customFormat="false" ht="15" hidden="false" customHeight="false" outlineLevel="0" collapsed="false">
      <c r="A15" s="3" t="s">
        <v>368</v>
      </c>
    </row>
    <row r="16" customFormat="false" ht="15" hidden="false" customHeight="false" outlineLevel="0" collapsed="false">
      <c r="A16" s="4" t="s">
        <v>369</v>
      </c>
    </row>
    <row r="17" customFormat="false" ht="15" hidden="false" customHeight="false" outlineLevel="0" collapsed="false">
      <c r="A17" s="35"/>
      <c r="B17" s="5" t="s">
        <v>370</v>
      </c>
    </row>
    <row r="18" customFormat="false" ht="15" hidden="false" customHeight="false" outlineLevel="0" collapsed="false">
      <c r="A18" s="35"/>
      <c r="B18" s="5" t="s">
        <v>371</v>
      </c>
    </row>
    <row r="19" customFormat="false" ht="15" hidden="false" customHeight="false" outlineLevel="0" collapsed="false">
      <c r="A19" s="35"/>
      <c r="B19" s="5" t="s">
        <v>372</v>
      </c>
    </row>
    <row r="20" customFormat="false" ht="15" hidden="false" customHeight="false" outlineLevel="0" collapsed="false">
      <c r="A20" s="35"/>
      <c r="B20" s="5" t="s">
        <v>373</v>
      </c>
    </row>
    <row r="21" customFormat="false" ht="15" hidden="false" customHeight="false" outlineLevel="0" collapsed="false">
      <c r="A21" s="35"/>
      <c r="B21" s="5" t="s">
        <v>374</v>
      </c>
    </row>
    <row r="22" customFormat="false" ht="15" hidden="false" customHeight="false" outlineLevel="0" collapsed="false">
      <c r="A22" s="35"/>
      <c r="B22" s="5" t="s">
        <v>375</v>
      </c>
    </row>
    <row r="23" customFormat="false" ht="15" hidden="false" customHeight="false" outlineLevel="0" collapsed="false">
      <c r="A23" s="35"/>
    </row>
    <row r="24" customFormat="false" ht="15" hidden="false" customHeight="false" outlineLevel="0" collapsed="false">
      <c r="A24" s="4" t="s">
        <v>376</v>
      </c>
    </row>
    <row r="25" customFormat="false" ht="15" hidden="false" customHeight="false" outlineLevel="0" collapsed="false">
      <c r="A25" s="35"/>
      <c r="B25" s="5" t="s">
        <v>377</v>
      </c>
    </row>
    <row r="26" customFormat="false" ht="15" hidden="false" customHeight="false" outlineLevel="0" collapsed="false">
      <c r="A26" s="35"/>
      <c r="B26" s="5" t="s">
        <v>378</v>
      </c>
    </row>
    <row r="27" customFormat="false" ht="15" hidden="false" customHeight="false" outlineLevel="0" collapsed="false">
      <c r="A27" s="35"/>
      <c r="B27" s="5" t="s">
        <v>379</v>
      </c>
    </row>
    <row r="28" customFormat="false" ht="15" hidden="false" customHeight="false" outlineLevel="0" collapsed="false">
      <c r="A28" s="35"/>
      <c r="B28" s="5" t="s">
        <v>380</v>
      </c>
    </row>
    <row r="29" customFormat="false" ht="15" hidden="false" customHeight="false" outlineLevel="0" collapsed="false">
      <c r="A29" s="35"/>
      <c r="B29" s="5" t="s">
        <v>381</v>
      </c>
    </row>
    <row r="30" customFormat="false" ht="15" hidden="false" customHeight="false" outlineLevel="0" collapsed="false">
      <c r="A30" s="35"/>
    </row>
    <row r="31" customFormat="false" ht="15" hidden="false" customHeight="false" outlineLevel="0" collapsed="false">
      <c r="A31" s="4" t="s">
        <v>382</v>
      </c>
    </row>
    <row r="32" customFormat="false" ht="15" hidden="false" customHeight="false" outlineLevel="0" collapsed="false">
      <c r="A32" s="35"/>
      <c r="B32" s="5" t="s">
        <v>383</v>
      </c>
    </row>
    <row r="33" customFormat="false" ht="15" hidden="false" customHeight="false" outlineLevel="0" collapsed="false">
      <c r="A33" s="35"/>
      <c r="B33" s="5" t="s">
        <v>384</v>
      </c>
    </row>
    <row r="34" customFormat="false" ht="15" hidden="false" customHeight="false" outlineLevel="0" collapsed="false">
      <c r="A34" s="35"/>
      <c r="B34" s="5" t="s">
        <v>385</v>
      </c>
    </row>
    <row r="35" customFormat="false" ht="15" hidden="false" customHeight="false" outlineLevel="0" collapsed="false">
      <c r="A35" s="35"/>
      <c r="B35" s="5" t="s">
        <v>386</v>
      </c>
    </row>
    <row r="36" customFormat="false" ht="15" hidden="false" customHeight="false" outlineLevel="0" collapsed="false">
      <c r="A36" s="35"/>
      <c r="B36" s="5" t="s">
        <v>387</v>
      </c>
    </row>
    <row r="40" customFormat="false" ht="15" hidden="false" customHeight="false" outlineLevel="0" collapsed="false">
      <c r="A40" s="3" t="s">
        <v>388</v>
      </c>
    </row>
    <row r="41" customFormat="false" ht="17.35" hidden="false" customHeight="false" outlineLevel="0" collapsed="false">
      <c r="A41" s="0" t="s">
        <v>389</v>
      </c>
      <c r="B41" s="36" t="s">
        <v>390</v>
      </c>
    </row>
    <row r="42" customFormat="false" ht="15" hidden="false" customHeight="false" outlineLevel="0" collapsed="false">
      <c r="A42" s="0" t="s">
        <v>391</v>
      </c>
      <c r="B42" s="22" t="n">
        <v>247</v>
      </c>
    </row>
    <row r="43" customFormat="false" ht="15" hidden="false" customHeight="false" outlineLevel="0" collapsed="false">
      <c r="A43" s="0" t="s">
        <v>392</v>
      </c>
      <c r="B43" s="19" t="n">
        <v>260</v>
      </c>
    </row>
    <row r="44" customFormat="false" ht="15" hidden="false" customHeight="false" outlineLevel="0" collapsed="false">
      <c r="A44" s="0" t="s">
        <v>393</v>
      </c>
      <c r="B44" s="18" t="n">
        <f aca="false">(B42-B43)/B43</f>
        <v>-0.05</v>
      </c>
    </row>
    <row r="46" customFormat="false" ht="15" hidden="false" customHeight="false" outlineLevel="0" collapsed="false">
      <c r="A46" s="0" t="s">
        <v>394</v>
      </c>
      <c r="B46" s="0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2026-01-30T22:39:35Z</dcterms:created>
  <dc:creator>openpyxl</dc:creator>
  <dc:description/>
  <dc:language>en-US</dc:language>
  <cp:lastModifiedBy/>
  <dcterms:modified xsi:type="dcterms:W3CDTF">2026-01-30T22:39:35Z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