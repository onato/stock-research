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</sheets>
  <calcPr calcId="124519" fullCalcOnLoad="1"/>
</workbook>
</file>

<file path=xl/sharedStrings.xml><?xml version="1.0" encoding="utf-8"?>
<sst xmlns="http://schemas.openxmlformats.org/spreadsheetml/2006/main" count="94" uniqueCount="84">
  <si>
    <t>SPOT - Spotify Technology S.A. - DCF Valuation Model</t>
  </si>
  <si>
    <t>Valuation date: 2026-02-17 | EUR millions | Stock in USD | EUR/USD: 1.05 | Gray = editable</t>
  </si>
  <si>
    <t>KEY INPUTS</t>
  </si>
  <si>
    <t>Current Stock Price (USD)</t>
  </si>
  <si>
    <t>EUR/USD Rate</t>
  </si>
  <si>
    <t>Current Price (EUR)</t>
  </si>
  <si>
    <t>Shares Outstanding (M)</t>
  </si>
  <si>
    <t>Cash &amp; Equivalents (EUR M)</t>
  </si>
  <si>
    <t>Short-Term Investments (EUR M)</t>
  </si>
  <si>
    <t>Total Cash + ST Inv (EUR M)</t>
  </si>
  <si>
    <t>Debt / Exchangeable Notes (EUR M)</t>
  </si>
  <si>
    <t>Net Debt (EUR M) [neg = net cash]</t>
  </si>
  <si>
    <t>Base Year FCF (EUR M, FY2025)</t>
  </si>
  <si>
    <t>SCENARIO ASSUMPTIONS</t>
  </si>
  <si>
    <t>Parameter</t>
  </si>
  <si>
    <t>Base</t>
  </si>
  <si>
    <t>Bull</t>
  </si>
  <si>
    <t>Bear</t>
  </si>
  <si>
    <t>WACC</t>
  </si>
  <si>
    <t>Terminal Growth</t>
  </si>
  <si>
    <t>FCF GROWTH RATES (editable)</t>
  </si>
  <si>
    <t>Scenario \ Year</t>
  </si>
  <si>
    <t>Year 1</t>
  </si>
  <si>
    <t>Year 2</t>
  </si>
  <si>
    <t>Year 3</t>
  </si>
  <si>
    <t>Year 4</t>
  </si>
  <si>
    <t>Year 5</t>
  </si>
  <si>
    <t>Base Growth</t>
  </si>
  <si>
    <t>Bull Growth</t>
  </si>
  <si>
    <t>Bear Growth</t>
  </si>
  <si>
    <t>FCF PROJECTIONS (EUR M, formulas)</t>
  </si>
  <si>
    <t>Base FCF</t>
  </si>
  <si>
    <t>Bull FCF</t>
  </si>
  <si>
    <t>Bear FCF</t>
  </si>
  <si>
    <t>Base DF</t>
  </si>
  <si>
    <t>Bull DF</t>
  </si>
  <si>
    <t>Bear DF</t>
  </si>
  <si>
    <t>PV Base FCF</t>
  </si>
  <si>
    <t>PV Bull FCF</t>
  </si>
  <si>
    <t>PV Bear FCF</t>
  </si>
  <si>
    <t>VALUATION</t>
  </si>
  <si>
    <t>Sum PV FCF (EUR M)</t>
  </si>
  <si>
    <t>Terminal FCF [Y5*(1+g)]</t>
  </si>
  <si>
    <t>Terminal Value</t>
  </si>
  <si>
    <t>PV Terminal Value</t>
  </si>
  <si>
    <t>Enterprise Value</t>
  </si>
  <si>
    <t>Less: Net Debt</t>
  </si>
  <si>
    <t>Equity Value (EUR M)</t>
  </si>
  <si>
    <t>IV per Share (EUR)</t>
  </si>
  <si>
    <t>IV per Share (USD)</t>
  </si>
  <si>
    <t>Upside/(Downside)</t>
  </si>
  <si>
    <t>ENTRY PRICE (15% CAGR target)</t>
  </si>
  <si>
    <t>Target CAGR</t>
  </si>
  <si>
    <t>Years</t>
  </si>
  <si>
    <t>Entry Price (USD) - Base</t>
  </si>
  <si>
    <t>Entry Price (USD) - Bull</t>
  </si>
  <si>
    <t>Entry Price (USD) - Bear</t>
  </si>
  <si>
    <t>SPOT Sensitivity: IV (USD) by WACC &amp; Terminal Growth</t>
  </si>
  <si>
    <t>WACC \ Term G</t>
  </si>
  <si>
    <t>2.0%</t>
  </si>
  <si>
    <t>2.5%</t>
  </si>
  <si>
    <t>3.0%</t>
  </si>
  <si>
    <t>3.5%</t>
  </si>
  <si>
    <t>4.0%</t>
  </si>
  <si>
    <t>8.0%</t>
  </si>
  <si>
    <t>9.0%</t>
  </si>
  <si>
    <t>10.0%</t>
  </si>
  <si>
    <t>11.0%</t>
  </si>
  <si>
    <t>12.0%</t>
  </si>
  <si>
    <t>SPOT - Historical Growth Rates</t>
  </si>
  <si>
    <t>Metric</t>
  </si>
  <si>
    <t>3-Year CAGR</t>
  </si>
  <si>
    <t>4/5yr CAGR</t>
  </si>
  <si>
    <t>Notes</t>
  </si>
  <si>
    <t>Revenue</t>
  </si>
  <si>
    <t>Most stable. FY2020-&gt;FY2025</t>
  </si>
  <si>
    <t>EPS</t>
  </si>
  <si>
    <t>N/A</t>
  </si>
  <si>
    <t>Negative through FY2023</t>
  </si>
  <si>
    <t>Equity</t>
  </si>
  <si>
    <t>Distorted by profitability inflection</t>
  </si>
  <si>
    <t>FCF</t>
  </si>
  <si>
    <t>Near-zero FY2022 base (EUR 21M)</t>
  </si>
  <si>
    <t>Selected Rate:</t>
  </si>
</sst>
</file>

<file path=xl/styles.xml><?xml version="1.0" encoding="utf-8"?>
<styleSheet xmlns="http://schemas.openxmlformats.org/spreadsheetml/2006/main">
  <numFmts count="6">
    <numFmt numFmtId="164" formatCode="&quot;$&quot;#,##0.00"/>
    <numFmt numFmtId="165" formatCode="#,##0.0"/>
    <numFmt numFmtId="166" formatCode="&quot;€&quot;#,##0.00"/>
    <numFmt numFmtId="167" formatCode="0.0%"/>
    <numFmt numFmtId="168" formatCode="#,##0.0000"/>
    <numFmt numFmtId="169" formatCode="&quot;$&quot;#,##0"/>
  </numFmts>
  <fonts count="9">
    <font>
      <sz val="11"/>
      <color theme="1"/>
      <name val="Calibri"/>
      <family val="2"/>
      <scheme val="minor"/>
    </font>
    <font>
      <b/>
      <sz val="18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D3436"/>
      <name val="Calibri"/>
      <family val="2"/>
      <scheme val="minor"/>
    </font>
    <font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FAB1A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2" xfId="0" applyBorder="1" applyAlignment="1">
      <alignment horizontal="left"/>
    </xf>
    <xf numFmtId="164" fontId="0" fillId="2" borderId="2" xfId="0" applyNumberFormat="1" applyFill="1" applyBorder="1" applyAlignment="1">
      <alignment horizontal="right"/>
    </xf>
    <xf numFmtId="165" fontId="0" fillId="2" borderId="2" xfId="0" applyNumberFormat="1" applyFill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67" fontId="0" fillId="2" borderId="2" xfId="0" applyNumberFormat="1" applyFill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165" fontId="0" fillId="7" borderId="2" xfId="0" applyNumberFormat="1" applyFill="1" applyBorder="1" applyAlignment="1">
      <alignment horizontal="right"/>
    </xf>
    <xf numFmtId="165" fontId="0" fillId="8" borderId="2" xfId="0" applyNumberFormat="1" applyFill="1" applyBorder="1" applyAlignment="1">
      <alignment horizontal="right"/>
    </xf>
    <xf numFmtId="165" fontId="0" fillId="9" borderId="2" xfId="0" applyNumberFormat="1" applyFill="1" applyBorder="1" applyAlignment="1">
      <alignment horizontal="right"/>
    </xf>
    <xf numFmtId="166" fontId="4" fillId="5" borderId="3" xfId="0" applyNumberFormat="1" applyFont="1" applyFill="1" applyBorder="1" applyAlignment="1">
      <alignment horizontal="right"/>
    </xf>
    <xf numFmtId="164" fontId="4" fillId="5" borderId="3" xfId="0" applyNumberFormat="1" applyFont="1" applyFill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4" fontId="4" fillId="4" borderId="3" xfId="0" applyNumberFormat="1" applyFont="1" applyFill="1" applyBorder="1" applyAlignment="1">
      <alignment horizontal="right"/>
    </xf>
    <xf numFmtId="169" fontId="5" fillId="10" borderId="2" xfId="0" applyNumberFormat="1" applyFont="1" applyFill="1" applyBorder="1" applyAlignment="1">
      <alignment horizontal="right"/>
    </xf>
    <xf numFmtId="169" fontId="6" fillId="5" borderId="2" xfId="0" applyNumberFormat="1" applyFont="1" applyFill="1" applyBorder="1" applyAlignment="1">
      <alignment horizontal="right"/>
    </xf>
    <xf numFmtId="169" fontId="5" fillId="11" borderId="2" xfId="0" applyNumberFormat="1" applyFont="1" applyFill="1" applyBorder="1" applyAlignment="1">
      <alignment horizontal="right"/>
    </xf>
    <xf numFmtId="169" fontId="6" fillId="6" borderId="2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left" wrapText="1"/>
    </xf>
    <xf numFmtId="167" fontId="3" fillId="10" borderId="2" xfId="0" applyNumberFormat="1" applyFont="1" applyFill="1" applyBorder="1" applyAlignment="1">
      <alignment horizontal="right"/>
    </xf>
    <xf numFmtId="0" fontId="8" fillId="0" borderId="0" xfId="0" applyFont="1" applyAlignment="1">
      <alignment horizontal="left"/>
    </xf>
    <xf numFmtId="167" fontId="4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cols>
    <col min="1" max="1" width="36.7109375" customWidth="1"/>
    <col min="2" max="2" width="16.7109375" customWidth="1"/>
    <col min="3" max="7" width="14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s="4" t="s">
        <v>3</v>
      </c>
      <c r="B5" s="5">
        <v>458</v>
      </c>
    </row>
    <row r="6" spans="1:7">
      <c r="A6" s="4" t="s">
        <v>4</v>
      </c>
      <c r="B6" s="6">
        <v>1.05</v>
      </c>
    </row>
    <row r="7" spans="1:7">
      <c r="A7" s="4" t="s">
        <v>5</v>
      </c>
      <c r="B7" s="7">
        <f>B5/B6</f>
        <v>0</v>
      </c>
    </row>
    <row r="8" spans="1:7">
      <c r="A8" s="4" t="s">
        <v>6</v>
      </c>
      <c r="B8" s="6">
        <v>210.5</v>
      </c>
    </row>
    <row r="9" spans="1:7">
      <c r="A9" s="4" t="s">
        <v>7</v>
      </c>
      <c r="B9" s="6">
        <v>5258</v>
      </c>
    </row>
    <row r="10" spans="1:7">
      <c r="A10" s="4" t="s">
        <v>8</v>
      </c>
      <c r="B10" s="6">
        <v>4209</v>
      </c>
    </row>
    <row r="11" spans="1:7">
      <c r="A11" s="4" t="s">
        <v>9</v>
      </c>
      <c r="B11" s="8">
        <f>B9+B10</f>
        <v>0</v>
      </c>
    </row>
    <row r="12" spans="1:7">
      <c r="A12" s="4" t="s">
        <v>10</v>
      </c>
      <c r="B12" s="6">
        <v>1458</v>
      </c>
    </row>
    <row r="13" spans="1:7">
      <c r="A13" s="4" t="s">
        <v>11</v>
      </c>
      <c r="B13" s="8">
        <f>B12-B11</f>
        <v>0</v>
      </c>
    </row>
    <row r="14" spans="1:7">
      <c r="A14" s="4" t="s">
        <v>12</v>
      </c>
      <c r="B14" s="6">
        <v>2874</v>
      </c>
    </row>
    <row r="16" spans="1:7">
      <c r="A16" s="3" t="s">
        <v>13</v>
      </c>
      <c r="B16" s="3"/>
      <c r="C16" s="3"/>
      <c r="D16" s="3"/>
      <c r="E16" s="3"/>
      <c r="F16" s="3"/>
      <c r="G16" s="3"/>
    </row>
    <row r="17" spans="1:7">
      <c r="A17" s="9" t="s">
        <v>14</v>
      </c>
      <c r="B17" s="10" t="s">
        <v>15</v>
      </c>
      <c r="C17" s="11" t="s">
        <v>16</v>
      </c>
      <c r="D17" s="12" t="s">
        <v>17</v>
      </c>
    </row>
    <row r="18" spans="1:7">
      <c r="A18" s="4" t="s">
        <v>18</v>
      </c>
      <c r="B18" s="13">
        <v>0.1</v>
      </c>
      <c r="C18" s="13">
        <v>0.09</v>
      </c>
      <c r="D18" s="13">
        <v>0.12</v>
      </c>
    </row>
    <row r="19" spans="1:7">
      <c r="A19" s="4" t="s">
        <v>19</v>
      </c>
      <c r="B19" s="13">
        <v>0.03</v>
      </c>
      <c r="C19" s="13">
        <v>0.035</v>
      </c>
      <c r="D19" s="13">
        <v>0.02</v>
      </c>
    </row>
    <row r="21" spans="1:7">
      <c r="A21" s="3" t="s">
        <v>20</v>
      </c>
      <c r="B21" s="3"/>
      <c r="C21" s="3"/>
      <c r="D21" s="3"/>
      <c r="E21" s="3"/>
      <c r="F21" s="3"/>
      <c r="G21" s="3"/>
    </row>
    <row r="22" spans="1:7">
      <c r="A22" s="9" t="s">
        <v>21</v>
      </c>
      <c r="B22" s="9" t="s">
        <v>22</v>
      </c>
      <c r="C22" s="9" t="s">
        <v>23</v>
      </c>
      <c r="D22" s="9" t="s">
        <v>24</v>
      </c>
      <c r="E22" s="9" t="s">
        <v>25</v>
      </c>
      <c r="F22" s="9" t="s">
        <v>26</v>
      </c>
    </row>
    <row r="23" spans="1:7">
      <c r="A23" s="4" t="s">
        <v>27</v>
      </c>
      <c r="B23" s="13">
        <v>0.18</v>
      </c>
      <c r="C23" s="13">
        <v>0.16</v>
      </c>
      <c r="D23" s="13">
        <v>0.14</v>
      </c>
      <c r="E23" s="13">
        <v>0.12</v>
      </c>
      <c r="F23" s="13">
        <v>0.1</v>
      </c>
    </row>
    <row r="24" spans="1:7">
      <c r="A24" s="4" t="s">
        <v>28</v>
      </c>
      <c r="B24" s="13">
        <v>0.25</v>
      </c>
      <c r="C24" s="13">
        <v>0.22</v>
      </c>
      <c r="D24" s="13">
        <v>0.2</v>
      </c>
      <c r="E24" s="13">
        <v>0.18</v>
      </c>
      <c r="F24" s="13">
        <v>0.16</v>
      </c>
    </row>
    <row r="25" spans="1:7">
      <c r="A25" s="4" t="s">
        <v>29</v>
      </c>
      <c r="B25" s="13">
        <v>0.1</v>
      </c>
      <c r="C25" s="13">
        <v>0.08</v>
      </c>
      <c r="D25" s="13">
        <v>0.06</v>
      </c>
      <c r="E25" s="13">
        <v>0.05</v>
      </c>
      <c r="F25" s="13">
        <v>0.04</v>
      </c>
    </row>
    <row r="27" spans="1:7">
      <c r="A27" s="3" t="s">
        <v>30</v>
      </c>
      <c r="B27" s="3"/>
      <c r="C27" s="3"/>
      <c r="D27" s="3"/>
      <c r="E27" s="3"/>
      <c r="F27" s="3"/>
      <c r="G27" s="3"/>
    </row>
    <row r="28" spans="1:7">
      <c r="A28" s="9"/>
      <c r="B28" s="9" t="s">
        <v>31</v>
      </c>
      <c r="C28" s="9" t="s">
        <v>22</v>
      </c>
      <c r="D28" s="9" t="s">
        <v>23</v>
      </c>
      <c r="E28" s="9" t="s">
        <v>24</v>
      </c>
      <c r="F28" s="9" t="s">
        <v>25</v>
      </c>
      <c r="G28" s="9" t="s">
        <v>26</v>
      </c>
    </row>
    <row r="29" spans="1:7">
      <c r="A29" s="4" t="s">
        <v>31</v>
      </c>
      <c r="B29" s="8">
        <f>$B$14</f>
        <v>0</v>
      </c>
      <c r="C29" s="8">
        <f>B29*(1+B23)</f>
        <v>0</v>
      </c>
      <c r="D29" s="8">
        <f>C29*(1+C23)</f>
        <v>0</v>
      </c>
      <c r="E29" s="8">
        <f>D29*(1+D23)</f>
        <v>0</v>
      </c>
      <c r="F29" s="8">
        <f>E29*(1+E23)</f>
        <v>0</v>
      </c>
      <c r="G29" s="8">
        <f>F29*(1+F23)</f>
        <v>0</v>
      </c>
    </row>
    <row r="30" spans="1:7">
      <c r="A30" s="4" t="s">
        <v>32</v>
      </c>
      <c r="B30" s="8">
        <f>$B$14</f>
        <v>0</v>
      </c>
      <c r="C30" s="8">
        <f>B30*(1+B24)</f>
        <v>0</v>
      </c>
      <c r="D30" s="8">
        <f>C30*(1+C24)</f>
        <v>0</v>
      </c>
      <c r="E30" s="8">
        <f>D30*(1+D24)</f>
        <v>0</v>
      </c>
      <c r="F30" s="8">
        <f>E30*(1+E24)</f>
        <v>0</v>
      </c>
      <c r="G30" s="8">
        <f>F30*(1+F24)</f>
        <v>0</v>
      </c>
    </row>
    <row r="31" spans="1:7">
      <c r="A31" s="4" t="s">
        <v>33</v>
      </c>
      <c r="B31" s="8">
        <f>$B$14</f>
        <v>0</v>
      </c>
      <c r="C31" s="8">
        <f>B31*(1+B25)</f>
        <v>0</v>
      </c>
      <c r="D31" s="8">
        <f>C31*(1+C25)</f>
        <v>0</v>
      </c>
      <c r="E31" s="8">
        <f>D31*(1+D25)</f>
        <v>0</v>
      </c>
      <c r="F31" s="8">
        <f>E31*(1+E25)</f>
        <v>0</v>
      </c>
      <c r="G31" s="8">
        <f>F31*(1+F25)</f>
        <v>0</v>
      </c>
    </row>
    <row r="32" spans="1:7">
      <c r="A32" s="4" t="s">
        <v>34</v>
      </c>
      <c r="C32" s="14">
        <f>1/(1+$B$18)^1</f>
        <v>0</v>
      </c>
      <c r="D32" s="14">
        <f>1/(1+$B$18)^2</f>
        <v>0</v>
      </c>
      <c r="E32" s="14">
        <f>1/(1+$B$18)^3</f>
        <v>0</v>
      </c>
      <c r="F32" s="14">
        <f>1/(1+$B$18)^4</f>
        <v>0</v>
      </c>
      <c r="G32" s="14">
        <f>1/(1+$B$18)^5</f>
        <v>0</v>
      </c>
    </row>
    <row r="33" spans="1:7">
      <c r="A33" s="4" t="s">
        <v>35</v>
      </c>
      <c r="C33" s="14">
        <f>1/(1+$C$18)^1</f>
        <v>0</v>
      </c>
      <c r="D33" s="14">
        <f>1/(1+$C$18)^2</f>
        <v>0</v>
      </c>
      <c r="E33" s="14">
        <f>1/(1+$C$18)^3</f>
        <v>0</v>
      </c>
      <c r="F33" s="14">
        <f>1/(1+$C$18)^4</f>
        <v>0</v>
      </c>
      <c r="G33" s="14">
        <f>1/(1+$C$18)^5</f>
        <v>0</v>
      </c>
    </row>
    <row r="34" spans="1:7">
      <c r="A34" s="4" t="s">
        <v>36</v>
      </c>
      <c r="C34" s="14">
        <f>1/(1+$D$18)^1</f>
        <v>0</v>
      </c>
      <c r="D34" s="14">
        <f>1/(1+$D$18)^2</f>
        <v>0</v>
      </c>
      <c r="E34" s="14">
        <f>1/(1+$D$18)^3</f>
        <v>0</v>
      </c>
      <c r="F34" s="14">
        <f>1/(1+$D$18)^4</f>
        <v>0</v>
      </c>
      <c r="G34" s="14">
        <f>1/(1+$D$18)^5</f>
        <v>0</v>
      </c>
    </row>
    <row r="35" spans="1:7">
      <c r="A35" s="4" t="s">
        <v>37</v>
      </c>
      <c r="C35" s="8">
        <f>C29*C32</f>
        <v>0</v>
      </c>
      <c r="D35" s="8">
        <f>D29*D32</f>
        <v>0</v>
      </c>
      <c r="E35" s="8">
        <f>E29*E32</f>
        <v>0</v>
      </c>
      <c r="F35" s="8">
        <f>F29*F32</f>
        <v>0</v>
      </c>
      <c r="G35" s="8">
        <f>G29*G32</f>
        <v>0</v>
      </c>
    </row>
    <row r="36" spans="1:7">
      <c r="A36" s="4" t="s">
        <v>38</v>
      </c>
      <c r="C36" s="8">
        <f>C30*C33</f>
        <v>0</v>
      </c>
      <c r="D36" s="8">
        <f>D30*D33</f>
        <v>0</v>
      </c>
      <c r="E36" s="8">
        <f>E30*E33</f>
        <v>0</v>
      </c>
      <c r="F36" s="8">
        <f>F30*F33</f>
        <v>0</v>
      </c>
      <c r="G36" s="8">
        <f>G30*G33</f>
        <v>0</v>
      </c>
    </row>
    <row r="37" spans="1:7">
      <c r="A37" s="4" t="s">
        <v>39</v>
      </c>
      <c r="C37" s="8">
        <f>C31*C34</f>
        <v>0</v>
      </c>
      <c r="D37" s="8">
        <f>D31*D34</f>
        <v>0</v>
      </c>
      <c r="E37" s="8">
        <f>E31*E34</f>
        <v>0</v>
      </c>
      <c r="F37" s="8">
        <f>F31*F34</f>
        <v>0</v>
      </c>
      <c r="G37" s="8">
        <f>G31*G34</f>
        <v>0</v>
      </c>
    </row>
    <row r="39" spans="1:7">
      <c r="A39" s="3" t="s">
        <v>40</v>
      </c>
      <c r="B39" s="3"/>
      <c r="C39" s="3"/>
      <c r="D39" s="3"/>
      <c r="E39" s="3"/>
      <c r="F39" s="3"/>
      <c r="G39" s="3"/>
    </row>
    <row r="40" spans="1:7">
      <c r="A40" s="9"/>
      <c r="B40" s="10" t="s">
        <v>15</v>
      </c>
      <c r="C40" s="11" t="s">
        <v>16</v>
      </c>
      <c r="D40" s="12" t="s">
        <v>17</v>
      </c>
    </row>
    <row r="41" spans="1:7">
      <c r="A41" s="4" t="s">
        <v>41</v>
      </c>
      <c r="B41" s="15">
        <f>SUM(C35:G35)</f>
        <v>0</v>
      </c>
      <c r="C41" s="16">
        <f>SUM(C36:G36)</f>
        <v>0</v>
      </c>
      <c r="D41" s="17">
        <f>SUM(C37:G37)</f>
        <v>0</v>
      </c>
    </row>
    <row r="42" spans="1:7">
      <c r="A42" s="4" t="s">
        <v>42</v>
      </c>
      <c r="B42" s="15">
        <f>G29*(1+$B$19)</f>
        <v>0</v>
      </c>
      <c r="C42" s="16">
        <f>G30*(1+$C$19)</f>
        <v>0</v>
      </c>
      <c r="D42" s="17">
        <f>G31*(1+$D$19)</f>
        <v>0</v>
      </c>
    </row>
    <row r="43" spans="1:7">
      <c r="A43" s="4" t="s">
        <v>43</v>
      </c>
      <c r="B43" s="15">
        <f>B42/($B$18-$B$19)</f>
        <v>0</v>
      </c>
      <c r="C43" s="16">
        <f>C42/($C$18-$C$19)</f>
        <v>0</v>
      </c>
      <c r="D43" s="17">
        <f>D42/($D$18-$D$19)</f>
        <v>0</v>
      </c>
    </row>
    <row r="44" spans="1:7">
      <c r="A44" s="4" t="s">
        <v>44</v>
      </c>
      <c r="B44" s="15">
        <f>B43*G32</f>
        <v>0</v>
      </c>
      <c r="C44" s="16">
        <f>C43*G33</f>
        <v>0</v>
      </c>
      <c r="D44" s="17">
        <f>D43*G34</f>
        <v>0</v>
      </c>
    </row>
    <row r="45" spans="1:7">
      <c r="A45" s="4" t="s">
        <v>45</v>
      </c>
      <c r="B45" s="15">
        <f>B41+B44</f>
        <v>0</v>
      </c>
      <c r="C45" s="16">
        <f>C41+C44</f>
        <v>0</v>
      </c>
      <c r="D45" s="17">
        <f>D41+D44</f>
        <v>0</v>
      </c>
    </row>
    <row r="46" spans="1:7">
      <c r="A46" s="4" t="s">
        <v>46</v>
      </c>
      <c r="B46" s="15">
        <f>$B$13</f>
        <v>0</v>
      </c>
      <c r="C46" s="16">
        <f>$B$13</f>
        <v>0</v>
      </c>
      <c r="D46" s="17">
        <f>$B$13</f>
        <v>0</v>
      </c>
    </row>
    <row r="47" spans="1:7">
      <c r="A47" s="4" t="s">
        <v>47</v>
      </c>
      <c r="B47" s="15">
        <f>B45-B46</f>
        <v>0</v>
      </c>
      <c r="C47" s="16">
        <f>C45-C46</f>
        <v>0</v>
      </c>
      <c r="D47" s="17">
        <f>D45-D46</f>
        <v>0</v>
      </c>
    </row>
    <row r="48" spans="1:7">
      <c r="A48" s="4" t="s">
        <v>48</v>
      </c>
      <c r="B48" s="18">
        <f>B47/$B$8</f>
        <v>0</v>
      </c>
      <c r="C48" s="18">
        <f>C47/$B$8</f>
        <v>0</v>
      </c>
      <c r="D48" s="18">
        <f>D47/$B$8</f>
        <v>0</v>
      </c>
    </row>
    <row r="49" spans="1:7">
      <c r="A49" s="4" t="s">
        <v>49</v>
      </c>
      <c r="B49" s="19">
        <f>B48*$B$6</f>
        <v>0</v>
      </c>
      <c r="C49" s="19">
        <f>C48*$B$6</f>
        <v>0</v>
      </c>
      <c r="D49" s="19">
        <f>D48*$B$6</f>
        <v>0</v>
      </c>
    </row>
    <row r="50" spans="1:7">
      <c r="A50" s="4" t="s">
        <v>50</v>
      </c>
      <c r="B50" s="20">
        <f>(B49-$B$5)/$B$5</f>
        <v>0</v>
      </c>
      <c r="C50" s="20">
        <f>(C49-$B$5)/$B$5</f>
        <v>0</v>
      </c>
      <c r="D50" s="20">
        <f>(D49-$B$5)/$B$5</f>
        <v>0</v>
      </c>
    </row>
    <row r="52" spans="1:7">
      <c r="A52" s="3" t="s">
        <v>51</v>
      </c>
      <c r="B52" s="3"/>
      <c r="C52" s="3"/>
      <c r="D52" s="3"/>
      <c r="E52" s="3"/>
      <c r="F52" s="3"/>
      <c r="G52" s="3"/>
    </row>
    <row r="53" spans="1:7">
      <c r="A53" s="4" t="s">
        <v>52</v>
      </c>
      <c r="B53" s="13">
        <v>0.15</v>
      </c>
    </row>
    <row r="54" spans="1:7">
      <c r="A54" s="4" t="s">
        <v>53</v>
      </c>
      <c r="B54" s="6">
        <v>5</v>
      </c>
    </row>
    <row r="55" spans="1:7">
      <c r="A55" s="4" t="s">
        <v>54</v>
      </c>
      <c r="B55" s="21">
        <f>(B43/$B$8*$B$6)/(1+$B$53)^$B$54</f>
        <v>0</v>
      </c>
    </row>
    <row r="56" spans="1:7">
      <c r="A56" s="4" t="s">
        <v>55</v>
      </c>
      <c r="B56" s="21">
        <f>(C43/$B$8*$B$6)/(1+$B$53)^$B$54</f>
        <v>0</v>
      </c>
    </row>
    <row r="57" spans="1:7">
      <c r="A57" s="4" t="s">
        <v>56</v>
      </c>
      <c r="B57" s="21">
        <f>(D43/$B$8*$B$6)/(1+$B$53)^$B$54</f>
        <v>0</v>
      </c>
    </row>
  </sheetData>
  <mergeCells count="8">
    <mergeCell ref="A1:G1"/>
    <mergeCell ref="A2:G2"/>
    <mergeCell ref="A4:G4"/>
    <mergeCell ref="A16:G16"/>
    <mergeCell ref="A21:G21"/>
    <mergeCell ref="A27:G27"/>
    <mergeCell ref="A39:G39"/>
    <mergeCell ref="A52:G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>
      <c r="A1" s="1" t="s">
        <v>57</v>
      </c>
      <c r="B1" s="1"/>
      <c r="C1" s="1"/>
      <c r="D1" s="1"/>
      <c r="E1" s="1"/>
      <c r="F1" s="1"/>
    </row>
    <row r="4" spans="1:6">
      <c r="A4" s="9" t="s">
        <v>58</v>
      </c>
      <c r="B4" s="9" t="s">
        <v>59</v>
      </c>
      <c r="C4" s="9" t="s">
        <v>60</v>
      </c>
      <c r="D4" s="9" t="s">
        <v>61</v>
      </c>
      <c r="E4" s="9" t="s">
        <v>62</v>
      </c>
      <c r="F4" s="9" t="s">
        <v>63</v>
      </c>
    </row>
    <row r="5" spans="1:6">
      <c r="A5" s="9" t="s">
        <v>64</v>
      </c>
      <c r="B5" s="22">
        <v>446.24</v>
      </c>
      <c r="C5" s="22">
        <v>476.94</v>
      </c>
      <c r="D5" s="23">
        <v>513.75</v>
      </c>
      <c r="E5" s="23">
        <v>558.78</v>
      </c>
      <c r="F5" s="23">
        <v>615.24</v>
      </c>
    </row>
    <row r="6" spans="1:6">
      <c r="A6" s="9" t="s">
        <v>65</v>
      </c>
      <c r="B6" s="24">
        <v>386.22</v>
      </c>
      <c r="C6" s="24">
        <v>407.33</v>
      </c>
      <c r="D6" s="24">
        <v>432.43</v>
      </c>
      <c r="E6" s="22">
        <v>462.02</v>
      </c>
      <c r="F6" s="23">
        <v>497.59</v>
      </c>
    </row>
    <row r="7" spans="1:6">
      <c r="A7" s="9" t="s">
        <v>66</v>
      </c>
      <c r="B7" s="25">
        <v>340.6</v>
      </c>
      <c r="C7" s="25">
        <v>356.5</v>
      </c>
      <c r="D7" s="24">
        <v>374.43</v>
      </c>
      <c r="E7" s="24">
        <v>395.17</v>
      </c>
      <c r="F7" s="24">
        <v>419.45</v>
      </c>
    </row>
    <row r="8" spans="1:6">
      <c r="A8" s="9" t="s">
        <v>67</v>
      </c>
      <c r="B8" s="25">
        <v>305.55</v>
      </c>
      <c r="C8" s="25">
        <v>317.58</v>
      </c>
      <c r="D8" s="25">
        <v>330.93</v>
      </c>
      <c r="E8" s="25">
        <v>346.02</v>
      </c>
      <c r="F8" s="25">
        <v>363.36</v>
      </c>
    </row>
    <row r="9" spans="1:6">
      <c r="A9" s="9" t="s">
        <v>68</v>
      </c>
      <c r="B9" s="25">
        <v>277.73</v>
      </c>
      <c r="C9" s="25">
        <v>286.94</v>
      </c>
      <c r="D9" s="25">
        <v>297.19</v>
      </c>
      <c r="E9" s="25">
        <v>308.7</v>
      </c>
      <c r="F9" s="25">
        <v>321.55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8.7109375" customWidth="1"/>
    <col min="2" max="3" width="16.7109375" customWidth="1"/>
    <col min="4" max="4" width="55.7109375" customWidth="1"/>
  </cols>
  <sheetData>
    <row r="1" spans="1:4">
      <c r="A1" s="1" t="s">
        <v>69</v>
      </c>
      <c r="B1" s="1"/>
      <c r="C1" s="1"/>
      <c r="D1" s="1"/>
    </row>
    <row r="3" spans="1:4">
      <c r="A3" s="9" t="s">
        <v>70</v>
      </c>
      <c r="B3" s="9" t="s">
        <v>71</v>
      </c>
      <c r="C3" s="9" t="s">
        <v>72</v>
      </c>
      <c r="D3" s="9" t="s">
        <v>73</v>
      </c>
    </row>
    <row r="4" spans="1:4">
      <c r="A4" s="4" t="s">
        <v>74</v>
      </c>
      <c r="B4" s="20">
        <v>0.136</v>
      </c>
      <c r="C4" s="20">
        <v>0.169</v>
      </c>
      <c r="D4" s="26" t="s">
        <v>75</v>
      </c>
    </row>
    <row r="5" spans="1:4">
      <c r="A5" s="4" t="s">
        <v>76</v>
      </c>
      <c r="B5" s="4" t="s">
        <v>77</v>
      </c>
      <c r="C5" s="4" t="s">
        <v>77</v>
      </c>
      <c r="D5" s="26" t="s">
        <v>78</v>
      </c>
    </row>
    <row r="6" spans="1:4">
      <c r="A6" s="4" t="s">
        <v>79</v>
      </c>
      <c r="B6" s="27">
        <v>0.514</v>
      </c>
      <c r="C6" s="27">
        <v>0.408</v>
      </c>
      <c r="D6" s="26" t="s">
        <v>80</v>
      </c>
    </row>
    <row r="7" spans="1:4">
      <c r="A7" s="4" t="s">
        <v>81</v>
      </c>
      <c r="B7" s="27">
        <v>4.88</v>
      </c>
      <c r="C7" s="27">
        <v>0.795</v>
      </c>
      <c r="D7" s="26" t="s">
        <v>82</v>
      </c>
    </row>
    <row r="8" spans="1:4">
      <c r="A8" s="28" t="s">
        <v>83</v>
      </c>
      <c r="B8" s="29">
        <v>0.169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 Model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2026-02-17T01:13:39Z</dcterms:created>
  <dcterms:modified xsi:type="dcterms:W3CDTF">2026-02-17T01:13:39Z</dcterms:modified>
</cp:coreProperties>
</file>