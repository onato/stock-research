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</sheets>
  <calcPr calcId="124519" fullCalcOnLoad="1"/>
</workbook>
</file>

<file path=xl/sharedStrings.xml><?xml version="1.0" encoding="utf-8"?>
<sst xmlns="http://schemas.openxmlformats.org/spreadsheetml/2006/main" count="93" uniqueCount="81">
  <si>
    <t>SPOT DCF Valuation Model</t>
  </si>
  <si>
    <t>Gray cells are INPUTS - adjust to see valuation change</t>
  </si>
  <si>
    <t>All financials in EUR (€) unless noted</t>
  </si>
  <si>
    <t>KEY INPUTS</t>
  </si>
  <si>
    <t>Current Stock Price (USD)</t>
  </si>
  <si>
    <t>EUR/USD Exchange Rate</t>
  </si>
  <si>
    <t>Shares Outstanding (M)</t>
  </si>
  <si>
    <t>Cash &amp; Equivalents (€M)</t>
  </si>
  <si>
    <t>Total Debt (€M)</t>
  </si>
  <si>
    <t>Net Debt (€M)</t>
  </si>
  <si>
    <t>Base Year FCF (€M)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</si>
  <si>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</si>
  <si>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</si>
  <si>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</si>
  <si>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</si>
  <si>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</si>
  <si>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</si>
  <si>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</si>
  <si>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</si>
  <si>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</si>
  <si>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</si>
  <si>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</si>
  <si>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 (€M)</t>
  </si>
  <si>
    <t>Discount Factor</t>
  </si>
  <si>
    <t>PV of FCF (€M)</t>
  </si>
  <si>
    <t>VALUATION</t>
  </si>
  <si>
    <t>Sum of PV of FCF (€M)</t>
  </si>
  <si>
    <t>Terminal FCF (Year 5 × (1+g))</t>
  </si>
  <si>
    <t>Terminal Value (€M)</t>
  </si>
  <si>
    <t>PV of Terminal Value (€M)</t>
  </si>
  <si>
    <t>Enterprise Value (€M)</t>
  </si>
  <si>
    <t>Less: Net Debt (€M)</t>
  </si>
  <si>
    <t>Equity Value (€M)</t>
  </si>
  <si>
    <t>INTRINSIC VALUE/SHARE (€)</t>
  </si>
  <si>
    <t>INTRINSIC VALUE/SHARE ($)</t>
  </si>
  <si>
    <t>ENTRY PRICE (15% CAGR Target)</t>
  </si>
  <si>
    <t>Terminal Value per Share (€)</t>
  </si>
  <si>
    <t>Terminal Value per Share ($)</t>
  </si>
  <si>
    <t>Entry Price for 15% CAGR (€)</t>
  </si>
  <si>
    <t>Entry Price for 15% CAGR ($)</t>
  </si>
  <si>
    <t>Upside to IV (%)</t>
  </si>
  <si>
    <t>Discount to Entry Price (%)</t>
  </si>
  <si>
    <t>SCENARIO COMPARISON</t>
  </si>
  <si>
    <t>Scenario</t>
  </si>
  <si>
    <t>Growth Y1-Y5</t>
  </si>
  <si>
    <t>Term G</t>
  </si>
  <si>
    <t>IV (€)</t>
  </si>
  <si>
    <t>IV ($)</t>
  </si>
  <si>
    <t>Upside</t>
  </si>
  <si>
    <t>22/18/15/12/10%</t>
  </si>
  <si>
    <t>Bull</t>
  </si>
  <si>
    <t>28/24/20/16/13%</t>
  </si>
  <si>
    <t>Bear</t>
  </si>
  <si>
    <t>15/12/8/6/5%</t>
  </si>
  <si>
    <t>Probability Weighted IV</t>
  </si>
  <si>
    <t>30% Bull / 45% Base / 25% Bear</t>
  </si>
  <si>
    <t>Sensitivity Analysis</t>
  </si>
  <si>
    <t>Intrinsic Value (EUR) by WACC &amp; Terminal Growth</t>
  </si>
  <si>
    <t>WACC \ Term G</t>
  </si>
  <si>
    <t>Intrinsic Value (USD) by WACC &amp; Terminal Growth</t>
  </si>
  <si>
    <t>Historical Growth Rates</t>
  </si>
  <si>
    <t>Metric</t>
  </si>
  <si>
    <t>3-Year CAGR</t>
  </si>
  <si>
    <t>5-Year CAGR</t>
  </si>
  <si>
    <t>Revenue</t>
  </si>
  <si>
    <t>EPS</t>
  </si>
  <si>
    <t>N/A - Turnaround</t>
  </si>
  <si>
    <t>Shareholders Equity</t>
  </si>
  <si>
    <t>Free Cash Flow</t>
  </si>
  <si>
    <t>Key Historical Financials (€M)</t>
  </si>
  <si>
    <t>Period</t>
  </si>
  <si>
    <t>GM%</t>
  </si>
  <si>
    <t>OM%</t>
  </si>
  <si>
    <t>FCF</t>
  </si>
  <si>
    <t>Equity</t>
  </si>
  <si>
    <t>FY2021</t>
  </si>
  <si>
    <t>N/A</t>
  </si>
  <si>
    <t>FY2022</t>
  </si>
  <si>
    <t>FY2023</t>
  </si>
  <si>
    <t>FY2024</t>
  </si>
  <si>
    <t>Q3 2025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</si>
</sst>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#,##0.0"/>
    <numFmt numFmtId="166" formatCode="0.0%"/>
    <numFmt numFmtId="167" formatCode="&quot;€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5" fillId="3" borderId="2" xfId="0" applyFont="1" applyFill="1" applyBorder="1"/>
    <xf numFmtId="0" fontId="6" fillId="0" borderId="0" xfId="0" applyFont="1"/>
    <xf numFmtId="167" fontId="5" fillId="4" borderId="2" xfId="0" applyNumberFormat="1" applyFont="1" applyFill="1" applyBorder="1"/>
    <xf numFmtId="164" fontId="5" fillId="4" borderId="2" xfId="0" applyNumberFormat="1" applyFont="1" applyFill="1" applyBorder="1"/>
    <xf numFmtId="167" fontId="0" fillId="0" borderId="2" xfId="0" applyNumberFormat="1" applyBorder="1"/>
    <xf numFmtId="164" fontId="0" fillId="0" borderId="2" xfId="0" applyNumberFormat="1" applyBorder="1"/>
    <xf numFmtId="166" fontId="0" fillId="0" borderId="2" xfId="0" applyNumberFormat="1" applyBorder="1"/>
    <xf numFmtId="167" fontId="6" fillId="0" borderId="2" xfId="0" applyNumberFormat="1" applyFont="1" applyBorder="1"/>
    <xf numFmtId="164" fontId="6" fillId="0" borderId="2" xfId="0" applyNumberFormat="1" applyFont="1" applyBorder="1"/>
    <xf numFmtId="166" fontId="6" fillId="0" borderId="2" xfId="0" applyNumberFormat="1" applyFont="1" applyBorder="1"/>
    <xf numFmtId="166" fontId="5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2"/>
  <sheetViews>
    <sheetView tabSelected="1" workbookViewId="0"/>
  </sheetViews>
  <sheetFormatPr defaultRowHeight="15"/>
  <cols>
    <col min="1" max="1" width="30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626</v>
      </c>
    </row>
    <row r="7" spans="1:2">
      <c r="A7" t="s">
        <v>5</v>
      </c>
      <c r="B7" s="6">
        <v>1.1</v>
      </c>
    </row>
    <row r="8" spans="1:2">
      <c r="A8" t="s">
        <v>6</v>
      </c>
      <c r="B8" s="6">
        <v>213.8</v>
      </c>
    </row>
    <row r="9" spans="1:2">
      <c r="A9" t="s">
        <v>7</v>
      </c>
      <c r="B9" s="6">
        <v>5456</v>
      </c>
    </row>
    <row r="10" spans="1:2">
      <c r="A10" t="s">
        <v>8</v>
      </c>
      <c r="B10" s="6">
        <v>1741</v>
      </c>
    </row>
    <row r="11" spans="1:2">
      <c r="A11" t="s">
        <v>9</v>
      </c>
      <c r="B11" s="7">
        <f>B10-B9</f>
        <v>0</v>
      </c>
    </row>
    <row r="12" spans="1:2">
      <c r="A12" t="s">
        <v>10</v>
      </c>
      <c r="B12" s="6">
        <v>2285</v>
      </c>
    </row>
    <row r="14" spans="1:2">
      <c r="A14" t="s">
        <v>11</v>
      </c>
      <c r="B14" s="8">
        <v>0.1</v>
      </c>
    </row>
    <row r="15" spans="1:2">
      <c r="A15" t="s">
        <v>12</v>
      </c>
      <c r="B15" s="8">
        <v>0.03</v>
      </c>
    </row>
    <row r="17" spans="1:7">
      <c r="A17" s="4" t="s">
        <v>13</v>
      </c>
      <c r="B17" s="9" t="s">
        <v>15</v>
      </c>
      <c r="C17" s="9" t="s">
        <v>16</v>
      </c>
      <c r="D17" s="9" t="s">
        <v>17</v>
      </c>
      <c r="E17" s="9" t="s">
        <v>18</v>
      </c>
      <c r="F17" s="9" t="s">
        <v>19</v>
      </c>
    </row>
    <row r="18" spans="1:7">
      <c r="A18" t="s">
        <v>14</v>
      </c>
      <c r="B18" s="8">
        <v>0.22</v>
      </c>
      <c r="C18" s="8">
        <v>0.18</v>
      </c>
      <c r="D18" s="8">
        <v>0.15</v>
      </c>
      <c r="E18" s="8">
        <v>0.12</v>
      </c>
      <c r="F18" s="8">
        <v>0.1</v>
      </c>
    </row>
    <row r="20" spans="1:7">
      <c r="A20" s="4" t="s">
        <v>20</v>
      </c>
    </row>
    <row r="21" spans="1:7">
      <c r="A21" s="9"/>
      <c r="B21" s="9" t="s">
        <v>21</v>
      </c>
      <c r="C21" s="9" t="s">
        <v>15</v>
      </c>
      <c r="D21" s="9" t="s">
        <v>16</v>
      </c>
      <c r="E21" s="9" t="s">
        <v>17</v>
      </c>
      <c r="F21" s="9" t="s">
        <v>18</v>
      </c>
      <c r="G21" s="9" t="s">
        <v>19</v>
      </c>
    </row>
    <row r="22" spans="1:7">
      <c r="A22" t="s">
        <v>22</v>
      </c>
      <c r="B22" s="7">
        <f>B12</f>
        <v>0</v>
      </c>
      <c r="C22" s="7">
        <f>B22*(1+B18)</f>
        <v>0</v>
      </c>
      <c r="D22" s="7">
        <f>C22*(1+C18)</f>
        <v>0</v>
      </c>
      <c r="E22" s="7">
        <f>D22*(1+D18)</f>
        <v>0</v>
      </c>
      <c r="F22" s="7">
        <f>E22*(1+E18)</f>
        <v>0</v>
      </c>
      <c r="G22" s="7">
        <f>F22*(1+F18)</f>
        <v>0</v>
      </c>
    </row>
    <row r="23" spans="1:7">
      <c r="A23" t="s">
        <v>23</v>
      </c>
      <c r="C23" s="7">
        <f>1/(1+$B$14)^1</f>
        <v>0</v>
      </c>
      <c r="D23" s="7">
        <f>1/(1+$B$14)^2</f>
        <v>0</v>
      </c>
      <c r="E23" s="7">
        <f>1/(1+$B$14)^3</f>
        <v>0</v>
      </c>
      <c r="F23" s="7">
        <f>1/(1+$B$14)^4</f>
        <v>0</v>
      </c>
      <c r="G23" s="7">
        <f>1/(1+$B$14)^5</f>
        <v>0</v>
      </c>
    </row>
    <row r="24" spans="1:7">
      <c r="A24" t="s">
        <v>24</v>
      </c>
      <c r="C24" s="7">
        <f>C22*C23</f>
        <v>0</v>
      </c>
      <c r="D24" s="7">
        <f>D22*D23</f>
        <v>0</v>
      </c>
      <c r="E24" s="7">
        <f>E22*E23</f>
        <v>0</v>
      </c>
      <c r="F24" s="7">
        <f>F22*F23</f>
        <v>0</v>
      </c>
      <c r="G24" s="7">
        <f>G22*G23</f>
        <v>0</v>
      </c>
    </row>
    <row r="26" spans="1:7">
      <c r="A26" s="4" t="s">
        <v>25</v>
      </c>
    </row>
    <row r="27" spans="1:7">
      <c r="A27" t="s">
        <v>26</v>
      </c>
      <c r="B27" s="7">
        <f>SUM(C24:G24)</f>
        <v>0</v>
      </c>
    </row>
    <row r="28" spans="1:7">
      <c r="A28" t="s">
        <v>27</v>
      </c>
      <c r="B28" s="7">
        <f>G22*(1+$B$15)</f>
        <v>0</v>
      </c>
    </row>
    <row r="29" spans="1:7">
      <c r="A29" t="s">
        <v>28</v>
      </c>
      <c r="B29" s="7">
        <f>B28/($B$14-$B$15)</f>
        <v>0</v>
      </c>
    </row>
    <row r="30" spans="1:7">
      <c r="A30" t="s">
        <v>29</v>
      </c>
      <c r="B30" s="7">
        <f>B29*G23</f>
        <v>0</v>
      </c>
    </row>
    <row r="31" spans="1:7">
      <c r="A31" t="s">
        <v>30</v>
      </c>
      <c r="B31" s="7">
        <f>B27+B30</f>
        <v>0</v>
      </c>
    </row>
    <row r="32" spans="1:7">
      <c r="A32" t="s">
        <v>31</v>
      </c>
      <c r="B32" s="7">
        <f>B11</f>
        <v>0</v>
      </c>
    </row>
    <row r="33" spans="1:7">
      <c r="A33" t="s">
        <v>32</v>
      </c>
      <c r="B33" s="7">
        <f>B31-B32</f>
        <v>0</v>
      </c>
    </row>
    <row r="34" spans="1:7">
      <c r="A34" s="10" t="s">
        <v>33</v>
      </c>
      <c r="B34" s="11">
        <f>B33/B8</f>
        <v>0</v>
      </c>
    </row>
    <row r="35" spans="1:7">
      <c r="A35" s="10" t="s">
        <v>34</v>
      </c>
      <c r="B35" s="12">
        <f>B34*B7</f>
        <v>0</v>
      </c>
    </row>
    <row r="37" spans="1:7">
      <c r="A37" s="4" t="s">
        <v>35</v>
      </c>
    </row>
    <row r="38" spans="1:7">
      <c r="A38" t="s">
        <v>36</v>
      </c>
      <c r="B38" s="13">
        <f>B29/B8</f>
        <v>0</v>
      </c>
    </row>
    <row r="39" spans="1:7">
      <c r="A39" t="s">
        <v>37</v>
      </c>
      <c r="B39" s="14">
        <f>B38*B7</f>
        <v>0</v>
      </c>
    </row>
    <row r="40" spans="1:7">
      <c r="A40" t="s">
        <v>38</v>
      </c>
      <c r="B40" s="11">
        <f>B38/(1.15^5)</f>
        <v>0</v>
      </c>
    </row>
    <row r="41" spans="1:7">
      <c r="A41" t="s">
        <v>39</v>
      </c>
      <c r="B41" s="12">
        <f>B40*B7</f>
        <v>0</v>
      </c>
    </row>
    <row r="43" spans="1:7">
      <c r="A43" t="s">
        <v>40</v>
      </c>
      <c r="B43" s="15">
        <f>(B35-B6)/B6</f>
        <v>0</v>
      </c>
    </row>
    <row r="44" spans="1:7">
      <c r="A44" t="s">
        <v>41</v>
      </c>
      <c r="B44" s="15">
        <f>(B6-B41)/B6</f>
        <v>0</v>
      </c>
    </row>
    <row r="46" spans="1:7">
      <c r="A46" s="4" t="s">
        <v>42</v>
      </c>
    </row>
    <row r="47" spans="1:7">
      <c r="A47" s="9" t="s">
        <v>43</v>
      </c>
      <c r="B47" s="9" t="s">
        <v>44</v>
      </c>
      <c r="C47" s="9" t="s">
        <v>11</v>
      </c>
      <c r="D47" s="9" t="s">
        <v>45</v>
      </c>
      <c r="E47" s="9" t="s">
        <v>46</v>
      </c>
      <c r="F47" s="9" t="s">
        <v>47</v>
      </c>
      <c r="G47" s="9" t="s">
        <v>48</v>
      </c>
    </row>
    <row r="48" spans="1:7">
      <c r="A48" s="10" t="s">
        <v>21</v>
      </c>
      <c r="B48" t="s">
        <v>49</v>
      </c>
      <c r="C48" s="15">
        <f>B14</f>
        <v>0</v>
      </c>
      <c r="D48" s="15">
        <f>B15</f>
        <v>0</v>
      </c>
      <c r="E48" s="13">
        <f>B34</f>
        <v>0</v>
      </c>
      <c r="F48" s="14">
        <f>B35</f>
        <v>0</v>
      </c>
      <c r="G48" s="15">
        <f>B43</f>
        <v>0</v>
      </c>
    </row>
    <row r="49" spans="1:7">
      <c r="A49" s="10" t="s">
        <v>50</v>
      </c>
      <c r="B49" t="s">
        <v>51</v>
      </c>
      <c r="C49" s="15">
        <v>0.09</v>
      </c>
      <c r="D49" s="15">
        <v>0.035</v>
      </c>
      <c r="E49" s="13">
        <v>557.84</v>
      </c>
      <c r="F49" s="14">
        <v>613.62</v>
      </c>
      <c r="G49" s="15">
        <v>-0.02</v>
      </c>
    </row>
    <row r="50" spans="1:7">
      <c r="A50" s="10" t="s">
        <v>52</v>
      </c>
      <c r="B50" t="s">
        <v>53</v>
      </c>
      <c r="C50" s="15">
        <v>0.12</v>
      </c>
      <c r="D50" s="15">
        <v>0.025</v>
      </c>
      <c r="E50" s="13">
        <v>140.3</v>
      </c>
      <c r="F50" s="14">
        <v>154.33</v>
      </c>
      <c r="G50" s="15">
        <v>-0.753</v>
      </c>
    </row>
    <row r="52" spans="1:7">
      <c r="A52" s="10" t="s">
        <v>54</v>
      </c>
      <c r="B52" t="s">
        <v>55</v>
      </c>
      <c r="E52" s="16">
        <v>314.83</v>
      </c>
      <c r="F52" s="17">
        <v>346.31</v>
      </c>
      <c r="G52" s="18">
        <v>-0.447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56</v>
      </c>
    </row>
    <row r="2" spans="1:6">
      <c r="A2" t="s">
        <v>57</v>
      </c>
    </row>
    <row r="5" spans="1:6">
      <c r="A5" s="9" t="s">
        <v>58</v>
      </c>
      <c r="B5" s="19">
        <v>0.02</v>
      </c>
      <c r="C5" s="19">
        <v>0.025</v>
      </c>
      <c r="D5" s="19">
        <v>0.03</v>
      </c>
      <c r="E5" s="19">
        <v>0.035</v>
      </c>
      <c r="F5" s="19">
        <v>0.04</v>
      </c>
    </row>
    <row r="6" spans="1:6">
      <c r="A6" s="19">
        <v>0.08</v>
      </c>
      <c r="B6" s="13">
        <v>404.52</v>
      </c>
      <c r="C6" s="13">
        <v>440.57</v>
      </c>
      <c r="D6" s="13">
        <v>485.71</v>
      </c>
      <c r="E6" s="13">
        <v>542.86</v>
      </c>
      <c r="F6" s="13">
        <v>618.5700000000001</v>
      </c>
    </row>
    <row r="7" spans="1:6">
      <c r="A7" s="19">
        <v>0.09</v>
      </c>
      <c r="B7" s="13">
        <v>348.29</v>
      </c>
      <c r="C7" s="13">
        <v>375.71</v>
      </c>
      <c r="D7" s="13">
        <v>409.14</v>
      </c>
      <c r="E7" s="13">
        <v>450.86</v>
      </c>
      <c r="F7" s="13">
        <v>503.43</v>
      </c>
    </row>
    <row r="8" spans="1:6">
      <c r="A8" s="19">
        <v>0.1</v>
      </c>
      <c r="B8" s="13">
        <v>304.57</v>
      </c>
      <c r="C8" s="13">
        <v>325.71</v>
      </c>
      <c r="D8" s="13">
        <v>351.43</v>
      </c>
      <c r="E8" s="13">
        <v>382.86</v>
      </c>
      <c r="F8" s="13">
        <v>421.71</v>
      </c>
    </row>
    <row r="9" spans="1:6">
      <c r="A9" s="19">
        <v>0.11</v>
      </c>
      <c r="B9" s="13">
        <v>269.14</v>
      </c>
      <c r="C9" s="13">
        <v>285.71</v>
      </c>
      <c r="D9" s="13">
        <v>305.71</v>
      </c>
      <c r="E9" s="13">
        <v>329.71</v>
      </c>
      <c r="F9" s="13">
        <v>358.86</v>
      </c>
    </row>
    <row r="10" spans="1:6">
      <c r="A10" s="19">
        <v>0.12</v>
      </c>
      <c r="B10" s="13">
        <v>240</v>
      </c>
      <c r="C10" s="13">
        <v>252.86</v>
      </c>
      <c r="D10" s="13">
        <v>268</v>
      </c>
      <c r="E10" s="13">
        <v>286</v>
      </c>
      <c r="F10" s="13">
        <v>307.43</v>
      </c>
    </row>
    <row r="12" spans="1:6">
      <c r="A12" t="s">
        <v>59</v>
      </c>
    </row>
    <row r="15" spans="1:6">
      <c r="A15" s="9" t="s">
        <v>58</v>
      </c>
      <c r="B15" s="19">
        <v>0.02</v>
      </c>
      <c r="C15" s="19">
        <v>0.025</v>
      </c>
      <c r="D15" s="19">
        <v>0.03</v>
      </c>
      <c r="E15" s="19">
        <v>0.035</v>
      </c>
      <c r="F15" s="19">
        <v>0.04</v>
      </c>
    </row>
    <row r="16" spans="1:6">
      <c r="A16" s="19">
        <v>0.08</v>
      </c>
      <c r="B16" s="14">
        <f>B6*'DCF Model'!$B$7</f>
        <v>0</v>
      </c>
      <c r="C16" s="14">
        <f>C6*'DCF Model'!$B$7</f>
        <v>0</v>
      </c>
      <c r="D16" s="14">
        <f>D6*'DCF Model'!$B$7</f>
        <v>0</v>
      </c>
      <c r="E16" s="14">
        <f>E6*'DCF Model'!$B$7</f>
        <v>0</v>
      </c>
      <c r="F16" s="14">
        <f>F6*'DCF Model'!$B$7</f>
        <v>0</v>
      </c>
    </row>
    <row r="17" spans="1:6">
      <c r="A17" s="19">
        <v>0.09</v>
      </c>
      <c r="B17" s="14">
        <f>B7*'DCF Model'!$B$7</f>
        <v>0</v>
      </c>
      <c r="C17" s="14">
        <f>C7*'DCF Model'!$B$7</f>
        <v>0</v>
      </c>
      <c r="D17" s="14">
        <f>D7*'DCF Model'!$B$7</f>
        <v>0</v>
      </c>
      <c r="E17" s="14">
        <f>E7*'DCF Model'!$B$7</f>
        <v>0</v>
      </c>
      <c r="F17" s="14">
        <f>F7*'DCF Model'!$B$7</f>
        <v>0</v>
      </c>
    </row>
    <row r="18" spans="1:6">
      <c r="A18" s="19">
        <v>0.1</v>
      </c>
      <c r="B18" s="14">
        <f>B8*'DCF Model'!$B$7</f>
        <v>0</v>
      </c>
      <c r="C18" s="14">
        <f>C8*'DCF Model'!$B$7</f>
        <v>0</v>
      </c>
      <c r="D18" s="14">
        <f>D8*'DCF Model'!$B$7</f>
        <v>0</v>
      </c>
      <c r="E18" s="14">
        <f>E8*'DCF Model'!$B$7</f>
        <v>0</v>
      </c>
      <c r="F18" s="14">
        <f>F8*'DCF Model'!$B$7</f>
        <v>0</v>
      </c>
    </row>
    <row r="19" spans="1:6">
      <c r="A19" s="19">
        <v>0.11</v>
      </c>
      <c r="B19" s="14">
        <f>B9*'DCF Model'!$B$7</f>
        <v>0</v>
      </c>
      <c r="C19" s="14">
        <f>C9*'DCF Model'!$B$7</f>
        <v>0</v>
      </c>
      <c r="D19" s="14">
        <f>D9*'DCF Model'!$B$7</f>
        <v>0</v>
      </c>
      <c r="E19" s="14">
        <f>E9*'DCF Model'!$B$7</f>
        <v>0</v>
      </c>
      <c r="F19" s="14">
        <f>F9*'DCF Model'!$B$7</f>
        <v>0</v>
      </c>
    </row>
    <row r="20" spans="1:6">
      <c r="A20" s="19">
        <v>0.12</v>
      </c>
      <c r="B20" s="14">
        <f>B10*'DCF Model'!$B$7</f>
        <v>0</v>
      </c>
      <c r="C20" s="14">
        <f>C10*'DCF Model'!$B$7</f>
        <v>0</v>
      </c>
      <c r="D20" s="14">
        <f>D10*'DCF Model'!$B$7</f>
        <v>0</v>
      </c>
      <c r="E20" s="14">
        <f>E10*'DCF Model'!$B$7</f>
        <v>0</v>
      </c>
      <c r="F20" s="14">
        <f>F10*'DCF Model'!$B$7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cols>
    <col min="1" max="1" width="25.7109375" customWidth="1"/>
    <col min="2" max="6" width="15.7109375" customWidth="1"/>
  </cols>
  <sheetData>
    <row r="1" spans="1:6">
      <c r="A1" s="1" t="s">
        <v>60</v>
      </c>
    </row>
    <row r="4" spans="1:6">
      <c r="A4" s="9" t="s">
        <v>61</v>
      </c>
      <c r="B4" s="9" t="s">
        <v>62</v>
      </c>
      <c r="C4" s="9" t="s">
        <v>63</v>
      </c>
    </row>
    <row r="5" spans="1:6">
      <c r="A5" t="s">
        <v>64</v>
      </c>
      <c r="B5" s="15">
        <v>0.176</v>
      </c>
      <c r="C5" s="15">
        <v>0.183</v>
      </c>
    </row>
    <row r="6" spans="1:6">
      <c r="A6" t="s">
        <v>65</v>
      </c>
      <c r="B6" t="s">
        <v>66</v>
      </c>
      <c r="C6" t="s">
        <v>66</v>
      </c>
    </row>
    <row r="7" spans="1:6">
      <c r="A7" t="s">
        <v>67</v>
      </c>
      <c r="B7" s="15">
        <v>0.376</v>
      </c>
      <c r="C7" s="15">
        <v>0.304</v>
      </c>
    </row>
    <row r="8" spans="1:6">
      <c r="A8" t="s">
        <v>68</v>
      </c>
      <c r="B8" t="s">
        <v>66</v>
      </c>
      <c r="C8" t="s">
        <v>66</v>
      </c>
    </row>
    <row r="14" spans="1:6">
      <c r="A14" s="4" t="s">
        <v>69</v>
      </c>
    </row>
    <row r="15" spans="1:6">
      <c r="A15" s="9" t="s">
        <v>70</v>
      </c>
      <c r="B15" s="9" t="s">
        <v>64</v>
      </c>
      <c r="C15" s="9" t="s">
        <v>71</v>
      </c>
      <c r="D15" s="9" t="s">
        <v>72</v>
      </c>
      <c r="E15" s="9" t="s">
        <v>73</v>
      </c>
      <c r="F15" s="9" t="s">
        <v>74</v>
      </c>
    </row>
    <row r="17" spans="1:6">
      <c r="A17" t="s">
        <v>75</v>
      </c>
      <c r="B17" s="7">
        <v>9668</v>
      </c>
      <c r="C17" s="15">
        <v>0.268</v>
      </c>
      <c r="D17" s="15">
        <v>0.01</v>
      </c>
      <c r="E17" t="s">
        <v>76</v>
      </c>
      <c r="F17" s="7">
        <v>2119</v>
      </c>
    </row>
    <row r="18" spans="1:6">
      <c r="A18" t="s">
        <v>77</v>
      </c>
      <c r="B18" s="7">
        <v>11727</v>
      </c>
      <c r="C18" s="15">
        <v>0.249</v>
      </c>
      <c r="D18" s="15">
        <v>-0.05599999999999999</v>
      </c>
      <c r="E18" s="7">
        <v>21</v>
      </c>
      <c r="F18" s="7">
        <v>2401</v>
      </c>
    </row>
    <row r="19" spans="1:6">
      <c r="A19" t="s">
        <v>78</v>
      </c>
      <c r="B19" s="7">
        <v>13247</v>
      </c>
      <c r="C19" s="15">
        <v>0.256</v>
      </c>
      <c r="D19" s="15">
        <v>-0.034</v>
      </c>
      <c r="E19" s="7">
        <v>678</v>
      </c>
      <c r="F19" s="7">
        <v>2523</v>
      </c>
    </row>
    <row r="20" spans="1:6">
      <c r="A20" t="s">
        <v>79</v>
      </c>
      <c r="B20" s="7">
        <v>15673</v>
      </c>
      <c r="C20" s="15">
        <v>0.301</v>
      </c>
      <c r="D20" s="15">
        <v>0.08699999999999999</v>
      </c>
      <c r="E20" s="7">
        <v>2285</v>
      </c>
      <c r="F20" s="7">
        <v>5525</v>
      </c>
    </row>
    <row r="21" spans="1:6">
      <c r="A21" t="s">
        <v>80</v>
      </c>
      <c r="B21" s="7">
        <v>17089</v>
      </c>
      <c r="C21" s="15">
        <v>0.316</v>
      </c>
      <c r="D21" s="15">
        <v>0.136</v>
      </c>
      <c r="E21" s="7">
        <v>2900</v>
      </c>
      <c r="F21" s="7">
        <v>7779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Model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2026-01-22T20:29:23Z</dcterms:created>
  <dcterms:modified xsi:type="dcterms:W3CDTF">2026-01-22T20:29:23Z</dcterms:modified>
</cp:coreProperties>
</file>