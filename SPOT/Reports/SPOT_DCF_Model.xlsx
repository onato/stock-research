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 Model" sheetId="1" state="visible" r:id="rId1"/>
    <sheet xmlns:r="http://schemas.openxmlformats.org/officeDocument/2006/relationships" name="Sensitivity" sheetId="2" state="visible" r:id="rId2"/>
    <sheet xmlns:r="http://schemas.openxmlformats.org/officeDocument/2006/relationships" name="Historic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SPOT - Spotify Technology S.A. - DCF Valuation Model</t>
        </is>
      </c>
    </row>
    <row r="2">
      <c r="A2" t="inlineStr">
        <is>
          <t>Valuation date: 2026-06-30 | EUR millions | Stock in USD | EUR/USD: 1.1392 | Base FCF = TTM through Q1-2026 | Gray = editable</t>
        </is>
      </c>
    </row>
    <row r="4">
      <c r="A4" s="2" t="inlineStr">
        <is>
          <t>KEY INPUTS</t>
        </is>
      </c>
    </row>
    <row r="5">
      <c r="A5" t="inlineStr">
        <is>
          <t>Current Stock Price (USD)</t>
        </is>
      </c>
      <c r="B5" s="3" t="n">
        <v>462.29</v>
      </c>
    </row>
    <row r="6">
      <c r="A6" t="inlineStr">
        <is>
          <t>EUR/USD Rate</t>
        </is>
      </c>
      <c r="B6" s="3" t="n">
        <v>1.1392</v>
      </c>
    </row>
    <row r="7">
      <c r="A7" t="inlineStr">
        <is>
          <t>Current Price (EUR)</t>
        </is>
      </c>
      <c r="B7">
        <f>B5/B6</f>
        <v/>
      </c>
    </row>
    <row r="8">
      <c r="A8" t="inlineStr">
        <is>
          <t>Shares Outstanding (M)</t>
        </is>
      </c>
      <c r="B8" s="3" t="n">
        <v>205.6</v>
      </c>
    </row>
    <row r="9">
      <c r="A9" t="inlineStr">
        <is>
          <t>Base FCF (EUR M, TTM)</t>
        </is>
      </c>
      <c r="B9" s="3" t="n">
        <v>3164</v>
      </c>
    </row>
    <row r="10">
      <c r="A10" t="inlineStr">
        <is>
          <t>Net Cash (EUR M)</t>
        </is>
      </c>
      <c r="B10" s="3" t="n">
        <v>8270</v>
      </c>
    </row>
    <row r="11">
      <c r="A11" t="inlineStr">
        <is>
          <t>WACC</t>
        </is>
      </c>
      <c r="B11" s="3" t="n">
        <v>0.1</v>
      </c>
    </row>
    <row r="12">
      <c r="A12" t="inlineStr">
        <is>
          <t>Terminal Growth</t>
        </is>
      </c>
      <c r="B12" s="3" t="n">
        <v>0.03</v>
      </c>
    </row>
    <row r="14">
      <c r="A14" s="2" t="inlineStr">
        <is>
          <t>BASE CASE PROJECTION</t>
        </is>
      </c>
    </row>
    <row r="15">
      <c r="A15" t="inlineStr">
        <is>
          <t>Year</t>
        </is>
      </c>
      <c r="B15" t="inlineStr">
        <is>
          <t>Y1</t>
        </is>
      </c>
      <c r="C15" t="inlineStr">
        <is>
          <t>Y2</t>
        </is>
      </c>
      <c r="D15" t="inlineStr">
        <is>
          <t>Y3</t>
        </is>
      </c>
      <c r="E15" t="inlineStr">
        <is>
          <t>Y4</t>
        </is>
      </c>
      <c r="F15" t="inlineStr">
        <is>
          <t>Y5</t>
        </is>
      </c>
    </row>
    <row r="16">
      <c r="A16" t="inlineStr">
        <is>
          <t>Growth %</t>
        </is>
      </c>
      <c r="B16" t="n">
        <v>0.18</v>
      </c>
      <c r="C16" t="n">
        <v>0.16</v>
      </c>
      <c r="D16" t="n">
        <v>0.14</v>
      </c>
      <c r="E16" t="n">
        <v>0.12</v>
      </c>
      <c r="F16" t="n">
        <v>0.1</v>
      </c>
    </row>
    <row r="17">
      <c r="A17" t="inlineStr">
        <is>
          <t>FCF (EUR M)</t>
        </is>
      </c>
      <c r="B17" t="n">
        <v>3733.5</v>
      </c>
      <c r="C17" t="n">
        <v>4330.9</v>
      </c>
      <c r="D17" t="n">
        <v>4937.2</v>
      </c>
      <c r="E17" t="n">
        <v>5529.7</v>
      </c>
      <c r="F17" t="n">
        <v>6082.6</v>
      </c>
    </row>
    <row r="18">
      <c r="A18" t="inlineStr">
        <is>
          <t>Discount Factor</t>
        </is>
      </c>
      <c r="B18" t="n">
        <v>0.9091</v>
      </c>
      <c r="C18" t="n">
        <v>0.8264</v>
      </c>
      <c r="D18" t="n">
        <v>0.7513</v>
      </c>
      <c r="E18" t="n">
        <v>0.6830000000000001</v>
      </c>
      <c r="F18" t="n">
        <v>0.6209</v>
      </c>
    </row>
    <row r="19">
      <c r="A19" t="inlineStr">
        <is>
          <t>PV of FCF (EUR M)</t>
        </is>
      </c>
      <c r="B19" t="n">
        <v>3394.1</v>
      </c>
      <c r="C19" t="n">
        <v>3579</v>
      </c>
      <c r="D19" t="n">
        <v>3709.3</v>
      </c>
      <c r="E19" t="n">
        <v>3776.8</v>
      </c>
      <c r="F19" t="n">
        <v>3776.7</v>
      </c>
    </row>
    <row r="21">
      <c r="A21" s="2" t="inlineStr">
        <is>
          <t>VALUATION OUTPUT</t>
        </is>
      </c>
    </row>
    <row r="22">
      <c r="A22" s="4" t="inlineStr">
        <is>
          <t>Sum PV of FCF (EUR M)</t>
        </is>
      </c>
      <c r="B22" t="n">
        <v>18235.98</v>
      </c>
    </row>
    <row r="23">
      <c r="A23" s="4" t="inlineStr">
        <is>
          <t>Terminal FCF (EUR M)</t>
        </is>
      </c>
      <c r="B23" t="n">
        <v>6265.12</v>
      </c>
    </row>
    <row r="24">
      <c r="A24" s="4" t="inlineStr">
        <is>
          <t>Terminal Value (EUR M)</t>
        </is>
      </c>
      <c r="B24" t="n">
        <v>89501.71000000001</v>
      </c>
    </row>
    <row r="25">
      <c r="A25" s="4" t="inlineStr">
        <is>
          <t>PV of Terminal (EUR M)</t>
        </is>
      </c>
      <c r="B25" t="n">
        <v>55571.61</v>
      </c>
    </row>
    <row r="26">
      <c r="A26" s="4" t="inlineStr">
        <is>
          <t>Enterprise Value (EUR M)</t>
        </is>
      </c>
      <c r="B26" t="n">
        <v>73807.59</v>
      </c>
    </row>
    <row r="27">
      <c r="A27" s="4" t="inlineStr">
        <is>
          <t>Plus Net Cash (EUR M)</t>
        </is>
      </c>
      <c r="B27" t="n">
        <v>8270</v>
      </c>
    </row>
    <row r="28">
      <c r="A28" s="4" t="inlineStr">
        <is>
          <t>Equity Value (EUR M)</t>
        </is>
      </c>
      <c r="B28" t="n">
        <v>82077.59</v>
      </c>
    </row>
    <row r="29">
      <c r="A29" s="2" t="inlineStr">
        <is>
          <t>Intrinsic Value (EUR)</t>
        </is>
      </c>
      <c r="B29" t="n">
        <v>399.21</v>
      </c>
    </row>
    <row r="30">
      <c r="A30" s="2" t="inlineStr">
        <is>
          <t>Intrinsic Value (USD)</t>
        </is>
      </c>
      <c r="B30" t="n">
        <v>454.78</v>
      </c>
    </row>
    <row r="31">
      <c r="A31" s="4" t="inlineStr">
        <is>
          <t>Upside vs Current %</t>
        </is>
      </c>
      <c r="B31" t="n">
        <v>-0.016</v>
      </c>
    </row>
    <row r="32">
      <c r="A32" s="2" t="inlineStr">
        <is>
          <t>Prob-Weighted IV (USD)</t>
        </is>
      </c>
      <c r="B32" t="n">
        <v>469.62</v>
      </c>
    </row>
    <row r="33">
      <c r="A33" s="2" t="inlineStr">
        <is>
          <t>Prob-Weighted Upside %</t>
        </is>
      </c>
      <c r="B33" t="n">
        <v>0.016</v>
      </c>
    </row>
    <row r="35">
      <c r="A35" s="2" t="inlineStr">
        <is>
          <t>SCENARIOS (IV USD / Upside)</t>
        </is>
      </c>
    </row>
    <row r="36">
      <c r="A36" t="inlineStr">
        <is>
          <t>Bull</t>
        </is>
      </c>
      <c r="B36" t="n">
        <v>705.63</v>
      </c>
      <c r="C36" t="inlineStr">
        <is>
          <t>52.6%</t>
        </is>
      </c>
    </row>
    <row r="37">
      <c r="A37" t="inlineStr">
        <is>
          <t>Base</t>
        </is>
      </c>
      <c r="B37" t="n">
        <v>454.78</v>
      </c>
      <c r="C37" t="inlineStr">
        <is>
          <t>-1.6%</t>
        </is>
      </c>
    </row>
    <row r="38">
      <c r="A38" t="inlineStr">
        <is>
          <t>Bear</t>
        </is>
      </c>
      <c r="B38" t="n">
        <v>263.29</v>
      </c>
      <c r="C38" t="inlineStr">
        <is>
          <t>-43.0%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SPOT Sensitivity: IV (USD) by WACC &amp; Terminal Growth</t>
        </is>
      </c>
    </row>
    <row r="4">
      <c r="A4" t="inlineStr">
        <is>
          <t>WACC \ Term G</t>
        </is>
      </c>
      <c r="B4" s="2" t="inlineStr">
        <is>
          <t>2.0%</t>
        </is>
      </c>
      <c r="C4" s="2" t="inlineStr">
        <is>
          <t>2.5%</t>
        </is>
      </c>
      <c r="D4" s="2" t="inlineStr">
        <is>
          <t>3.0%</t>
        </is>
      </c>
      <c r="E4" s="2" t="inlineStr">
        <is>
          <t>3.5%</t>
        </is>
      </c>
      <c r="F4" s="2" t="inlineStr">
        <is>
          <t>4.0%</t>
        </is>
      </c>
    </row>
    <row r="5">
      <c r="A5" s="2" t="inlineStr">
        <is>
          <t>8%</t>
        </is>
      </c>
      <c r="B5" t="n">
        <v>542.67</v>
      </c>
      <c r="C5" t="n">
        <v>580.2</v>
      </c>
      <c r="D5" t="n">
        <v>625.24</v>
      </c>
      <c r="E5" t="n">
        <v>680.29</v>
      </c>
      <c r="F5" t="n">
        <v>749.11</v>
      </c>
    </row>
    <row r="6">
      <c r="A6" s="2" t="inlineStr">
        <is>
          <t>9%</t>
        </is>
      </c>
      <c r="B6" t="n">
        <v>468.92</v>
      </c>
      <c r="C6" t="n">
        <v>495.15</v>
      </c>
      <c r="D6" t="n">
        <v>525.76</v>
      </c>
      <c r="E6" t="n">
        <v>561.9400000000001</v>
      </c>
      <c r="F6" t="n">
        <v>605.35</v>
      </c>
    </row>
    <row r="7">
      <c r="A7" s="2" t="inlineStr">
        <is>
          <t>10%</t>
        </is>
      </c>
      <c r="B7" t="n">
        <v>413.69</v>
      </c>
      <c r="C7" t="n">
        <v>432.87</v>
      </c>
      <c r="D7" t="n">
        <v>454.79</v>
      </c>
      <c r="E7" t="n">
        <v>480.09</v>
      </c>
      <c r="F7" t="n">
        <v>509.6</v>
      </c>
    </row>
    <row r="8">
      <c r="A8" s="2" t="inlineStr">
        <is>
          <t>11%</t>
        </is>
      </c>
      <c r="B8" t="n">
        <v>370.8</v>
      </c>
      <c r="C8" t="n">
        <v>385.31</v>
      </c>
      <c r="D8" t="n">
        <v>401.64</v>
      </c>
      <c r="E8" t="n">
        <v>420.14</v>
      </c>
      <c r="F8" t="n">
        <v>441.28</v>
      </c>
    </row>
    <row r="9">
      <c r="A9" s="2" t="inlineStr">
        <is>
          <t>12%</t>
        </is>
      </c>
      <c r="B9" t="n">
        <v>336.56</v>
      </c>
      <c r="C9" t="n">
        <v>347.83</v>
      </c>
      <c r="D9" t="n">
        <v>360.35</v>
      </c>
      <c r="E9" t="n">
        <v>374.35</v>
      </c>
      <c r="F9" t="n">
        <v>390.1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40" customWidth="1" min="4" max="4"/>
  </cols>
  <sheetData>
    <row r="1">
      <c r="A1" s="1" t="inlineStr">
        <is>
          <t>SPOT - Historical Growth Rates</t>
        </is>
      </c>
    </row>
    <row r="3">
      <c r="A3" t="inlineStr">
        <is>
          <t>Metric</t>
        </is>
      </c>
      <c r="B3" t="inlineStr">
        <is>
          <t>3-Year CAGR</t>
        </is>
      </c>
      <c r="C3" t="inlineStr">
        <is>
          <t>5yr CAGR</t>
        </is>
      </c>
      <c r="D3" t="inlineStr">
        <is>
          <t>Notes</t>
        </is>
      </c>
    </row>
    <row r="4">
      <c r="A4" t="inlineStr">
        <is>
          <t>Revenue</t>
        </is>
      </c>
      <c r="B4" t="n">
        <v>0.136</v>
      </c>
      <c r="C4" t="n">
        <v>0.169</v>
      </c>
      <c r="D4" t="inlineStr">
        <is>
          <t>Most stable. FY2020-&gt;FY2025</t>
        </is>
      </c>
    </row>
    <row r="5">
      <c r="A5" t="inlineStr">
        <is>
          <t>EPS</t>
        </is>
      </c>
      <c r="B5" t="inlineStr">
        <is>
          <t>N/A</t>
        </is>
      </c>
      <c r="C5" t="inlineStr">
        <is>
          <t>N/A</t>
        </is>
      </c>
      <c r="D5" t="inlineStr">
        <is>
          <t>Negative through FY2023</t>
        </is>
      </c>
    </row>
    <row r="6">
      <c r="A6" t="inlineStr">
        <is>
          <t>Equity</t>
        </is>
      </c>
      <c r="B6" t="n">
        <v>0.514</v>
      </c>
      <c r="C6" t="n">
        <v>0.408</v>
      </c>
      <c r="D6" t="inlineStr">
        <is>
          <t>Distorted by profitability inflection</t>
        </is>
      </c>
    </row>
    <row r="7">
      <c r="A7" t="inlineStr">
        <is>
          <t>FCF</t>
        </is>
      </c>
      <c r="B7" t="n">
        <v>4.88</v>
      </c>
      <c r="C7" t="n">
        <v>0.795</v>
      </c>
      <c r="D7" t="inlineStr">
        <is>
          <t>Near-zero FY2022 base</t>
        </is>
      </c>
    </row>
    <row r="8">
      <c r="A8" t="inlineStr">
        <is>
          <t>Selected Rate:</t>
        </is>
      </c>
      <c r="B8" t="n">
        <v>0.169</v>
      </c>
      <c r="D8" t="inlineStr">
        <is>
          <t>Revenue 5yr CAGR</t>
        </is>
      </c>
    </row>
    <row r="9">
      <c r="A9" t="inlineStr">
        <is>
          <t>Base FCF (TTM Q1-2026)</t>
        </is>
      </c>
      <c r="B9" t="n">
        <v>3164</v>
      </c>
      <c r="D9" t="inlineStr">
        <is>
          <t>EUR M, FY2025 - Q1'25 + Q1'26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2026-06-30T05:57:55Z</dcterms:created>
  <dcterms:modified xmlns:dcterms="http://purl.org/dc/terms/" xmlns:xsi="http://www.w3.org/2001/XMLSchema-instance" xsi:type="dcterms:W3CDTF">2026-06-30T05:57:55Z</dcterms:modified>
</cp:coreProperties>
</file>